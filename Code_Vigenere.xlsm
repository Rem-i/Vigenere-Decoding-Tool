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D:\Documents\PROJETS\Excel\Vigenere\"/>
    </mc:Choice>
  </mc:AlternateContent>
  <xr:revisionPtr revIDLastSave="0" documentId="8_{7F53158C-1FDB-4A27-88EC-19EA31889361}" xr6:coauthVersionLast="45" xr6:coauthVersionMax="45" xr10:uidLastSave="{00000000-0000-0000-0000-000000000000}"/>
  <bookViews>
    <workbookView xWindow="-120" yWindow="-120" windowWidth="24240" windowHeight="13140" xr2:uid="{6B42AA75-5D0C-47B9-9B34-7E86A94C553A}"/>
  </bookViews>
  <sheets>
    <sheet name="Traitement" sheetId="2" r:id="rId1"/>
    <sheet name="Test_De_Friedman" sheetId="1" r:id="rId2"/>
    <sheet name="Analyse_Des_Frequences" sheetId="3" r:id="rId3"/>
    <sheet name="De_Crypte_Avec_Cle" sheetId="5" r:id="rId4"/>
    <sheet name="TableauVigenere" sheetId="4" r:id="rId5"/>
    <sheet name="Test" sheetId="6" state="hidden"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6" i="5" l="1"/>
  <c r="H16" i="5" s="1"/>
  <c r="E53" i="1" l="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D323" i="1" a="1"/>
  <c r="D323" i="1" s="1"/>
  <c r="D324" i="1" a="1"/>
  <c r="D324" i="1" s="1"/>
  <c r="D325" i="1" a="1"/>
  <c r="D325" i="1" s="1"/>
  <c r="D326" i="1" a="1"/>
  <c r="D326" i="1" s="1"/>
  <c r="D327" i="1" a="1"/>
  <c r="D327" i="1" s="1"/>
  <c r="D328" i="1" a="1"/>
  <c r="D328" i="1" s="1"/>
  <c r="D329" i="1" a="1"/>
  <c r="D329" i="1" s="1"/>
  <c r="D330" i="1" a="1"/>
  <c r="D330" i="1" s="1"/>
  <c r="D331" i="1" a="1"/>
  <c r="D331" i="1" s="1"/>
  <c r="D332" i="1" a="1"/>
  <c r="D332" i="1" s="1"/>
  <c r="D333" i="1" a="1"/>
  <c r="D333" i="1" s="1"/>
  <c r="D334" i="1" a="1"/>
  <c r="D334" i="1" s="1"/>
  <c r="D335" i="1" a="1"/>
  <c r="D335" i="1" s="1"/>
  <c r="D336" i="1" a="1"/>
  <c r="D336" i="1" s="1"/>
  <c r="D337" i="1" a="1"/>
  <c r="D337" i="1" s="1"/>
  <c r="D338" i="1" a="1"/>
  <c r="D338" i="1" s="1"/>
  <c r="D339" i="1" a="1"/>
  <c r="D339" i="1" s="1"/>
  <c r="D340" i="1" a="1"/>
  <c r="D340" i="1" s="1"/>
  <c r="D341" i="1" a="1"/>
  <c r="D341" i="1" s="1"/>
  <c r="D342" i="1" a="1"/>
  <c r="D342" i="1" s="1"/>
  <c r="D343" i="1" a="1"/>
  <c r="D343" i="1" s="1"/>
  <c r="D344" i="1" a="1"/>
  <c r="D344" i="1" s="1"/>
  <c r="D345" i="1" a="1"/>
  <c r="D345" i="1" s="1"/>
  <c r="D346" i="1" a="1"/>
  <c r="D346" i="1" s="1"/>
  <c r="D347" i="1" a="1"/>
  <c r="D347" i="1" s="1"/>
  <c r="D348" i="1" a="1"/>
  <c r="D348" i="1" s="1"/>
  <c r="D349" i="1" a="1"/>
  <c r="D349" i="1" s="1"/>
  <c r="D350" i="1" a="1"/>
  <c r="D350" i="1" s="1"/>
  <c r="D351" i="1" a="1"/>
  <c r="D351" i="1" s="1"/>
  <c r="D352" i="1" a="1"/>
  <c r="D352" i="1" s="1"/>
  <c r="D353" i="1" a="1"/>
  <c r="D353" i="1" s="1"/>
  <c r="D354" i="1" a="1"/>
  <c r="D354" i="1" s="1"/>
  <c r="D355" i="1" a="1"/>
  <c r="D355" i="1" s="1"/>
  <c r="D356" i="1" a="1"/>
  <c r="D356" i="1" s="1"/>
  <c r="D357" i="1" a="1"/>
  <c r="D357" i="1" s="1"/>
  <c r="D358" i="1" a="1"/>
  <c r="D358" i="1" s="1"/>
  <c r="D359" i="1" a="1"/>
  <c r="D359" i="1" s="1"/>
  <c r="D360" i="1" a="1"/>
  <c r="D360" i="1" s="1"/>
  <c r="D361" i="1" a="1"/>
  <c r="D361" i="1" s="1"/>
  <c r="D362" i="1" a="1"/>
  <c r="D362" i="1" s="1"/>
  <c r="D363" i="1" a="1"/>
  <c r="D363" i="1" s="1"/>
  <c r="D364" i="1" a="1"/>
  <c r="D364" i="1" s="1"/>
  <c r="D365" i="1" a="1"/>
  <c r="D365" i="1" s="1"/>
  <c r="D366" i="1" a="1"/>
  <c r="D366" i="1" s="1"/>
  <c r="D367" i="1" a="1"/>
  <c r="D367" i="1" s="1"/>
  <c r="D368" i="1" a="1"/>
  <c r="D368" i="1" s="1"/>
  <c r="D369" i="1" a="1"/>
  <c r="D369" i="1" s="1"/>
  <c r="D370" i="1" a="1"/>
  <c r="D370" i="1" s="1"/>
  <c r="D371" i="1" a="1"/>
  <c r="D371" i="1" s="1"/>
  <c r="D372" i="1" a="1"/>
  <c r="D372" i="1" s="1"/>
  <c r="D373" i="1" a="1"/>
  <c r="D373" i="1" s="1"/>
  <c r="D374" i="1" a="1"/>
  <c r="D374" i="1" s="1"/>
  <c r="D375" i="1" a="1"/>
  <c r="D375" i="1" s="1"/>
  <c r="D376" i="1" a="1"/>
  <c r="D376" i="1" s="1"/>
  <c r="D377" i="1" a="1"/>
  <c r="D377" i="1" s="1"/>
  <c r="D378" i="1" a="1"/>
  <c r="D378" i="1" s="1"/>
  <c r="D379" i="1" a="1"/>
  <c r="D379" i="1" s="1"/>
  <c r="D380" i="1" a="1"/>
  <c r="D380" i="1" s="1"/>
  <c r="D381" i="1" a="1"/>
  <c r="D381" i="1" s="1"/>
  <c r="D382" i="1" a="1"/>
  <c r="D382" i="1" s="1"/>
  <c r="D383" i="1" a="1"/>
  <c r="D383" i="1" s="1"/>
  <c r="D384" i="1" a="1"/>
  <c r="D384" i="1" s="1"/>
  <c r="D385" i="1" a="1"/>
  <c r="D385" i="1" s="1"/>
  <c r="D386" i="1" a="1"/>
  <c r="D386" i="1" s="1"/>
  <c r="D387" i="1" a="1"/>
  <c r="D387" i="1" s="1"/>
  <c r="D388" i="1" a="1"/>
  <c r="D388" i="1" s="1"/>
  <c r="D389" i="1" a="1"/>
  <c r="D389" i="1" s="1"/>
  <c r="D390" i="1" a="1"/>
  <c r="D390" i="1" s="1"/>
  <c r="D391" i="1" a="1"/>
  <c r="D391" i="1" s="1"/>
  <c r="D392" i="1" a="1"/>
  <c r="D392" i="1" s="1"/>
  <c r="D393" i="1" a="1"/>
  <c r="D393" i="1" s="1"/>
  <c r="D394" i="1" a="1"/>
  <c r="D394" i="1" s="1"/>
  <c r="D395" i="1" a="1"/>
  <c r="D395" i="1" s="1"/>
  <c r="D396" i="1" a="1"/>
  <c r="D396" i="1" s="1"/>
  <c r="D397" i="1" a="1"/>
  <c r="D397" i="1" s="1"/>
  <c r="D398" i="1" a="1"/>
  <c r="D398" i="1" s="1"/>
  <c r="D399" i="1" a="1"/>
  <c r="D399" i="1" s="1"/>
  <c r="D400" i="1" a="1"/>
  <c r="D400" i="1" s="1"/>
  <c r="D401" i="1" a="1"/>
  <c r="D401" i="1" s="1"/>
  <c r="D402" i="1" a="1"/>
  <c r="D402" i="1" s="1"/>
  <c r="D403" i="1" a="1"/>
  <c r="D403" i="1" s="1"/>
  <c r="D404" i="1" a="1"/>
  <c r="D404" i="1" s="1"/>
  <c r="D405" i="1" a="1"/>
  <c r="D405" i="1" s="1"/>
  <c r="D406" i="1" a="1"/>
  <c r="D406" i="1" s="1"/>
  <c r="D407" i="1" a="1"/>
  <c r="D407" i="1" s="1"/>
  <c r="D408" i="1" a="1"/>
  <c r="D408" i="1" s="1"/>
  <c r="D409" i="1" a="1"/>
  <c r="D409" i="1" s="1"/>
  <c r="D410" i="1" a="1"/>
  <c r="D410" i="1" s="1"/>
  <c r="D411" i="1" a="1"/>
  <c r="D411" i="1" s="1"/>
  <c r="D412" i="1" a="1"/>
  <c r="D412" i="1" s="1"/>
  <c r="D413" i="1" a="1"/>
  <c r="D413" i="1" s="1"/>
  <c r="D414" i="1" a="1"/>
  <c r="D414" i="1" s="1"/>
  <c r="D415" i="1" a="1"/>
  <c r="D415" i="1" s="1"/>
  <c r="D416" i="1" a="1"/>
  <c r="D416" i="1" s="1"/>
  <c r="D417" i="1" a="1"/>
  <c r="D417" i="1" s="1"/>
  <c r="D418" i="1" a="1"/>
  <c r="D418" i="1" s="1"/>
  <c r="D419" i="1" a="1"/>
  <c r="D419" i="1" s="1"/>
  <c r="D420" i="1" a="1"/>
  <c r="D420" i="1" s="1"/>
  <c r="D421" i="1" a="1"/>
  <c r="D421" i="1" s="1"/>
  <c r="D422" i="1" a="1"/>
  <c r="D422" i="1" s="1"/>
  <c r="D423" i="1" a="1"/>
  <c r="D423" i="1" s="1"/>
  <c r="D424" i="1" a="1"/>
  <c r="D424" i="1" s="1"/>
  <c r="D425" i="1" a="1"/>
  <c r="D425" i="1" s="1"/>
  <c r="D426" i="1" a="1"/>
  <c r="D426" i="1" s="1"/>
  <c r="D427" i="1" a="1"/>
  <c r="D427" i="1" s="1"/>
  <c r="D428" i="1" a="1"/>
  <c r="D428" i="1" s="1"/>
  <c r="D429" i="1" a="1"/>
  <c r="D429" i="1" s="1"/>
  <c r="D430" i="1" a="1"/>
  <c r="D430" i="1" s="1"/>
  <c r="D431" i="1" a="1"/>
  <c r="D431" i="1" s="1"/>
  <c r="D432" i="1" a="1"/>
  <c r="D432" i="1" s="1"/>
  <c r="D433" i="1" a="1"/>
  <c r="D433" i="1" s="1"/>
  <c r="D434" i="1" a="1"/>
  <c r="D434" i="1" s="1"/>
  <c r="D435" i="1" a="1"/>
  <c r="D435" i="1" s="1"/>
  <c r="D436" i="1" a="1"/>
  <c r="D436" i="1" s="1"/>
  <c r="D437" i="1" a="1"/>
  <c r="D437" i="1" s="1"/>
  <c r="D438" i="1" a="1"/>
  <c r="D438" i="1" s="1"/>
  <c r="D439" i="1" a="1"/>
  <c r="D439" i="1" s="1"/>
  <c r="D440" i="1" a="1"/>
  <c r="D440" i="1" s="1"/>
  <c r="D441" i="1" a="1"/>
  <c r="D441" i="1" s="1"/>
  <c r="D442" i="1" a="1"/>
  <c r="D442" i="1" s="1"/>
  <c r="D443" i="1" a="1"/>
  <c r="D443" i="1" s="1"/>
  <c r="D444" i="1" a="1"/>
  <c r="D444" i="1" s="1"/>
  <c r="D445" i="1" a="1"/>
  <c r="D445" i="1" s="1"/>
  <c r="D446" i="1" a="1"/>
  <c r="D446" i="1" s="1"/>
  <c r="D447" i="1" a="1"/>
  <c r="D447" i="1" s="1"/>
  <c r="D448" i="1" a="1"/>
  <c r="D448" i="1" s="1"/>
  <c r="D449" i="1" a="1"/>
  <c r="D449" i="1" s="1"/>
  <c r="D450" i="1" a="1"/>
  <c r="D450" i="1" s="1"/>
  <c r="D451" i="1" a="1"/>
  <c r="D451" i="1" s="1"/>
  <c r="D452" i="1" a="1"/>
  <c r="D452" i="1" s="1"/>
  <c r="D453" i="1" a="1"/>
  <c r="D453" i="1" s="1"/>
  <c r="D454" i="1" a="1"/>
  <c r="D454" i="1" s="1"/>
  <c r="D455" i="1" a="1"/>
  <c r="D455" i="1" s="1"/>
  <c r="D456" i="1" a="1"/>
  <c r="D456" i="1" s="1"/>
  <c r="D457" i="1" a="1"/>
  <c r="D457" i="1" s="1"/>
  <c r="D458" i="1" a="1"/>
  <c r="D458" i="1" s="1"/>
  <c r="D459" i="1" a="1"/>
  <c r="D459" i="1" s="1"/>
  <c r="D460" i="1" a="1"/>
  <c r="D460" i="1" s="1"/>
  <c r="D461" i="1" a="1"/>
  <c r="D461" i="1" s="1"/>
  <c r="D462" i="1" a="1"/>
  <c r="D462" i="1" s="1"/>
  <c r="D463" i="1" a="1"/>
  <c r="D463" i="1" s="1"/>
  <c r="D464" i="1" a="1"/>
  <c r="D464" i="1" s="1"/>
  <c r="D465" i="1" a="1"/>
  <c r="D465" i="1" s="1"/>
  <c r="D466" i="1" a="1"/>
  <c r="D466" i="1" s="1"/>
  <c r="D467" i="1" a="1"/>
  <c r="D467" i="1" s="1"/>
  <c r="D468" i="1" a="1"/>
  <c r="D468" i="1" s="1"/>
  <c r="D469" i="1" a="1"/>
  <c r="D469" i="1" s="1"/>
  <c r="D470" i="1" a="1"/>
  <c r="D470" i="1" s="1"/>
  <c r="D471" i="1" a="1"/>
  <c r="D471" i="1" s="1"/>
  <c r="D472" i="1" a="1"/>
  <c r="D472" i="1" s="1"/>
  <c r="D473" i="1" a="1"/>
  <c r="D473" i="1" s="1"/>
  <c r="D474" i="1" a="1"/>
  <c r="D474" i="1" s="1"/>
  <c r="D475" i="1" a="1"/>
  <c r="D475" i="1" s="1"/>
  <c r="D476" i="1" a="1"/>
  <c r="D476" i="1" s="1"/>
  <c r="D477" i="1" a="1"/>
  <c r="D477" i="1" s="1"/>
  <c r="D478" i="1" a="1"/>
  <c r="D478" i="1" s="1"/>
  <c r="D479" i="1" a="1"/>
  <c r="D479" i="1" s="1"/>
  <c r="D480" i="1" a="1"/>
  <c r="D480" i="1" s="1"/>
  <c r="D481" i="1" a="1"/>
  <c r="D481" i="1" s="1"/>
  <c r="D482" i="1" a="1"/>
  <c r="D482" i="1" s="1"/>
  <c r="D483" i="1" a="1"/>
  <c r="D483" i="1" s="1"/>
  <c r="D484" i="1" a="1"/>
  <c r="D484" i="1" s="1"/>
  <c r="D485" i="1" a="1"/>
  <c r="D485" i="1" s="1"/>
  <c r="D486" i="1" a="1"/>
  <c r="D486" i="1" s="1"/>
  <c r="D487" i="1" a="1"/>
  <c r="D487" i="1" s="1"/>
  <c r="D488" i="1" a="1"/>
  <c r="D488" i="1" s="1"/>
  <c r="D489" i="1" a="1"/>
  <c r="D489" i="1" s="1"/>
  <c r="D490" i="1" a="1"/>
  <c r="D490" i="1" s="1"/>
  <c r="D491" i="1" a="1"/>
  <c r="D491" i="1" s="1"/>
  <c r="D492" i="1" a="1"/>
  <c r="D492" i="1" s="1"/>
  <c r="D493" i="1" a="1"/>
  <c r="D493" i="1" s="1"/>
  <c r="D494" i="1" a="1"/>
  <c r="D494" i="1" s="1"/>
  <c r="D495" i="1" a="1"/>
  <c r="D495" i="1" s="1"/>
  <c r="D496" i="1" a="1"/>
  <c r="D496" i="1" s="1"/>
  <c r="D497" i="1" a="1"/>
  <c r="D497" i="1" s="1"/>
  <c r="D498" i="1" a="1"/>
  <c r="D498" i="1" s="1"/>
  <c r="D499" i="1" a="1"/>
  <c r="D499" i="1" s="1"/>
  <c r="D500" i="1" a="1"/>
  <c r="D500" i="1" s="1"/>
  <c r="D501" i="1" a="1"/>
  <c r="D501" i="1" s="1"/>
  <c r="D502" i="1" a="1"/>
  <c r="D502" i="1" s="1"/>
  <c r="D503" i="1" a="1"/>
  <c r="D503" i="1" s="1"/>
  <c r="D504" i="1" a="1"/>
  <c r="D504" i="1" s="1"/>
  <c r="D505" i="1" a="1"/>
  <c r="D505" i="1" s="1"/>
  <c r="D506" i="1" a="1"/>
  <c r="D506" i="1" s="1"/>
  <c r="D507" i="1" a="1"/>
  <c r="D507" i="1" s="1"/>
  <c r="D508" i="1" a="1"/>
  <c r="D508" i="1" s="1"/>
  <c r="D509" i="1" a="1"/>
  <c r="D509" i="1" s="1"/>
  <c r="D510" i="1" a="1"/>
  <c r="D510" i="1" s="1"/>
  <c r="D511" i="1" a="1"/>
  <c r="D511" i="1" s="1"/>
  <c r="D512" i="1" a="1"/>
  <c r="D512" i="1" s="1"/>
  <c r="D513" i="1" a="1"/>
  <c r="D513" i="1" s="1"/>
  <c r="D514" i="1" a="1"/>
  <c r="D514" i="1" s="1"/>
  <c r="D515" i="1" a="1"/>
  <c r="D515" i="1" s="1"/>
  <c r="D516" i="1" a="1"/>
  <c r="D516" i="1" s="1"/>
  <c r="D517" i="1" a="1"/>
  <c r="D517" i="1" s="1"/>
  <c r="D518" i="1" a="1"/>
  <c r="D518" i="1" s="1"/>
  <c r="D519" i="1" a="1"/>
  <c r="D519" i="1" s="1"/>
  <c r="D520" i="1" a="1"/>
  <c r="D520" i="1" s="1"/>
  <c r="D521" i="1" a="1"/>
  <c r="D521" i="1" s="1"/>
  <c r="D522" i="1" a="1"/>
  <c r="D522" i="1" s="1"/>
  <c r="D523" i="1" a="1"/>
  <c r="D523" i="1" s="1"/>
  <c r="D524" i="1" a="1"/>
  <c r="D524" i="1" s="1"/>
  <c r="D525" i="1" a="1"/>
  <c r="D525" i="1" s="1"/>
  <c r="D526" i="1" a="1"/>
  <c r="D526" i="1" s="1"/>
  <c r="D527" i="1" a="1"/>
  <c r="D527" i="1" s="1"/>
  <c r="D528" i="1" a="1"/>
  <c r="D528" i="1" s="1"/>
  <c r="D529" i="1" a="1"/>
  <c r="D529" i="1" s="1"/>
  <c r="D530" i="1" a="1"/>
  <c r="D530" i="1" s="1"/>
  <c r="D531" i="1" a="1"/>
  <c r="D531" i="1" s="1"/>
  <c r="D532" i="1" a="1"/>
  <c r="D532" i="1" s="1"/>
  <c r="D533" i="1" a="1"/>
  <c r="D533" i="1" s="1"/>
  <c r="D534" i="1" a="1"/>
  <c r="D534" i="1" s="1"/>
  <c r="D535" i="1" a="1"/>
  <c r="D535" i="1" s="1"/>
  <c r="D536" i="1" a="1"/>
  <c r="D536" i="1" s="1"/>
  <c r="D537" i="1" a="1"/>
  <c r="D537" i="1" s="1"/>
  <c r="D538" i="1" a="1"/>
  <c r="D538" i="1" s="1"/>
  <c r="D539" i="1" a="1"/>
  <c r="D539" i="1" s="1"/>
  <c r="D540" i="1" a="1"/>
  <c r="D540" i="1" s="1"/>
  <c r="D541" i="1" a="1"/>
  <c r="D541" i="1" s="1"/>
  <c r="D542" i="1" a="1"/>
  <c r="D542" i="1" s="1"/>
  <c r="D543" i="1" a="1"/>
  <c r="D543" i="1" s="1"/>
  <c r="D544" i="1" a="1"/>
  <c r="D544" i="1" s="1"/>
  <c r="D545" i="1" a="1"/>
  <c r="D545" i="1" s="1"/>
  <c r="D546" i="1" a="1"/>
  <c r="D546" i="1" s="1"/>
  <c r="D547" i="1" a="1"/>
  <c r="D547" i="1" s="1"/>
  <c r="D548" i="1" a="1"/>
  <c r="D548" i="1" s="1"/>
  <c r="D549" i="1" a="1"/>
  <c r="D549" i="1" s="1"/>
  <c r="D550" i="1" a="1"/>
  <c r="D550" i="1" s="1"/>
  <c r="D551" i="1" a="1"/>
  <c r="D551" i="1" s="1"/>
  <c r="D552" i="1" a="1"/>
  <c r="D552" i="1" s="1"/>
  <c r="D553" i="1" a="1"/>
  <c r="D553" i="1" s="1"/>
  <c r="D554" i="1" a="1"/>
  <c r="D554" i="1" s="1"/>
  <c r="D555" i="1" a="1"/>
  <c r="D555" i="1" s="1"/>
  <c r="D556" i="1" a="1"/>
  <c r="D556" i="1" s="1"/>
  <c r="D557" i="1" a="1"/>
  <c r="D557" i="1" s="1"/>
  <c r="D558" i="1" a="1"/>
  <c r="D558" i="1" s="1"/>
  <c r="D559" i="1" a="1"/>
  <c r="D559" i="1" s="1"/>
  <c r="D560" i="1" a="1"/>
  <c r="D560" i="1" s="1"/>
  <c r="D561" i="1" a="1"/>
  <c r="D561" i="1" s="1"/>
  <c r="D562" i="1" a="1"/>
  <c r="D562" i="1" s="1"/>
  <c r="D563" i="1" a="1"/>
  <c r="D563" i="1" s="1"/>
  <c r="D564" i="1" a="1"/>
  <c r="D564" i="1" s="1"/>
  <c r="D565" i="1" a="1"/>
  <c r="D565" i="1" s="1"/>
  <c r="D566" i="1" a="1"/>
  <c r="D566" i="1" s="1"/>
  <c r="D567" i="1" a="1"/>
  <c r="D567" i="1" s="1"/>
  <c r="D568" i="1" a="1"/>
  <c r="D568" i="1" s="1"/>
  <c r="D569" i="1" a="1"/>
  <c r="D569" i="1" s="1"/>
  <c r="D570" i="1" a="1"/>
  <c r="D570" i="1" s="1"/>
  <c r="D571" i="1" a="1"/>
  <c r="D571" i="1" s="1"/>
  <c r="D572" i="1" a="1"/>
  <c r="D572" i="1" s="1"/>
  <c r="D573" i="1" a="1"/>
  <c r="D573" i="1" s="1"/>
  <c r="D574" i="1" a="1"/>
  <c r="D574" i="1" s="1"/>
  <c r="D575" i="1" a="1"/>
  <c r="D575" i="1" s="1"/>
  <c r="D576" i="1" a="1"/>
  <c r="D576" i="1" s="1"/>
  <c r="D577" i="1" a="1"/>
  <c r="D577" i="1" s="1"/>
  <c r="D578" i="1" a="1"/>
  <c r="D578" i="1" s="1"/>
  <c r="D579" i="1" a="1"/>
  <c r="D579" i="1" s="1"/>
  <c r="D580" i="1" a="1"/>
  <c r="D580" i="1" s="1"/>
  <c r="D581" i="1" a="1"/>
  <c r="D581" i="1" s="1"/>
  <c r="D582" i="1" a="1"/>
  <c r="D582" i="1" s="1"/>
  <c r="D583" i="1" a="1"/>
  <c r="D583" i="1" s="1"/>
  <c r="D584" i="1" a="1"/>
  <c r="D584" i="1" s="1"/>
  <c r="D585" i="1" a="1"/>
  <c r="D585" i="1" s="1"/>
  <c r="D586" i="1" a="1"/>
  <c r="D586" i="1" s="1"/>
  <c r="D587" i="1" a="1"/>
  <c r="D587" i="1" s="1"/>
  <c r="D588" i="1" a="1"/>
  <c r="D588" i="1" s="1"/>
  <c r="D589" i="1" a="1"/>
  <c r="D589" i="1" s="1"/>
  <c r="D590" i="1" a="1"/>
  <c r="D590" i="1" s="1"/>
  <c r="D591" i="1" a="1"/>
  <c r="D591" i="1" s="1"/>
  <c r="D592" i="1" a="1"/>
  <c r="D592" i="1" s="1"/>
  <c r="D593" i="1" a="1"/>
  <c r="D593" i="1" s="1"/>
  <c r="D594" i="1" a="1"/>
  <c r="D594" i="1" s="1"/>
  <c r="D595" i="1" a="1"/>
  <c r="D595" i="1" s="1"/>
  <c r="D596" i="1" a="1"/>
  <c r="D596" i="1" s="1"/>
  <c r="D597" i="1" a="1"/>
  <c r="D597" i="1" s="1"/>
  <c r="D598" i="1" a="1"/>
  <c r="D598" i="1" s="1"/>
  <c r="D599" i="1" a="1"/>
  <c r="D599" i="1" s="1"/>
  <c r="D600" i="1" a="1"/>
  <c r="D600" i="1" s="1"/>
  <c r="D601" i="1" a="1"/>
  <c r="D601" i="1" s="1"/>
  <c r="D602" i="1" a="1"/>
  <c r="D602" i="1" s="1"/>
  <c r="D603" i="1" a="1"/>
  <c r="D603" i="1" s="1"/>
  <c r="D604" i="1" a="1"/>
  <c r="D604" i="1" s="1"/>
  <c r="D605" i="1" a="1"/>
  <c r="D605" i="1" s="1"/>
  <c r="D606" i="1" a="1"/>
  <c r="D606" i="1" s="1"/>
  <c r="D607" i="1" a="1"/>
  <c r="D607" i="1" s="1"/>
  <c r="D608" i="1" a="1"/>
  <c r="D608" i="1" s="1"/>
  <c r="D609" i="1" a="1"/>
  <c r="D609" i="1" s="1"/>
  <c r="D610" i="1" a="1"/>
  <c r="D610" i="1" s="1"/>
  <c r="D611" i="1" a="1"/>
  <c r="D611" i="1" s="1"/>
  <c r="D612" i="1" a="1"/>
  <c r="D612" i="1" s="1"/>
  <c r="D613" i="1" a="1"/>
  <c r="D613" i="1" s="1"/>
  <c r="D614" i="1" a="1"/>
  <c r="D614" i="1" s="1"/>
  <c r="D615" i="1" a="1"/>
  <c r="D615" i="1" s="1"/>
  <c r="D616" i="1" a="1"/>
  <c r="D616" i="1" s="1"/>
  <c r="D617" i="1" a="1"/>
  <c r="D617" i="1" s="1"/>
  <c r="D618" i="1" a="1"/>
  <c r="D618" i="1" s="1"/>
  <c r="D619" i="1" a="1"/>
  <c r="D619" i="1" s="1"/>
  <c r="D620" i="1" a="1"/>
  <c r="D620" i="1" s="1"/>
  <c r="D621" i="1" a="1"/>
  <c r="D621" i="1" s="1"/>
  <c r="D622" i="1" a="1"/>
  <c r="D622" i="1" s="1"/>
  <c r="D623" i="1" a="1"/>
  <c r="D623" i="1" s="1"/>
  <c r="D624" i="1" a="1"/>
  <c r="D624" i="1" s="1"/>
  <c r="D625" i="1" a="1"/>
  <c r="D625" i="1" s="1"/>
  <c r="D626" i="1" a="1"/>
  <c r="D626" i="1" s="1"/>
  <c r="D627" i="1" a="1"/>
  <c r="D627" i="1" s="1"/>
  <c r="D628" i="1" a="1"/>
  <c r="D628" i="1" s="1"/>
  <c r="D629" i="1" a="1"/>
  <c r="D629" i="1" s="1"/>
  <c r="D630" i="1" a="1"/>
  <c r="D630" i="1" s="1"/>
  <c r="D631" i="1" a="1"/>
  <c r="D631" i="1" s="1"/>
  <c r="D632" i="1" a="1"/>
  <c r="D632" i="1" s="1"/>
  <c r="D633" i="1" a="1"/>
  <c r="D633" i="1" s="1"/>
  <c r="D634" i="1" a="1"/>
  <c r="D634" i="1" s="1"/>
  <c r="D635" i="1" a="1"/>
  <c r="D635" i="1" s="1"/>
  <c r="D636" i="1" a="1"/>
  <c r="D636" i="1" s="1"/>
  <c r="D637" i="1" a="1"/>
  <c r="D637" i="1" s="1"/>
  <c r="D638" i="1" a="1"/>
  <c r="D638" i="1" s="1"/>
  <c r="D639" i="1" a="1"/>
  <c r="D639" i="1" s="1"/>
  <c r="D640" i="1" a="1"/>
  <c r="D640" i="1" s="1"/>
  <c r="D641" i="1" a="1"/>
  <c r="D641" i="1" s="1"/>
  <c r="D642" i="1" a="1"/>
  <c r="D642" i="1" s="1"/>
  <c r="D643" i="1" a="1"/>
  <c r="D643" i="1" s="1"/>
  <c r="D644" i="1" a="1"/>
  <c r="D644" i="1" s="1"/>
  <c r="D645" i="1" a="1"/>
  <c r="D645" i="1" s="1"/>
  <c r="D646" i="1" a="1"/>
  <c r="D646" i="1" s="1"/>
  <c r="D647" i="1" a="1"/>
  <c r="D647" i="1" s="1"/>
  <c r="D648" i="1" a="1"/>
  <c r="D648" i="1" s="1"/>
  <c r="D649" i="1" a="1"/>
  <c r="D649" i="1" s="1"/>
  <c r="D650" i="1" a="1"/>
  <c r="D650" i="1" s="1"/>
  <c r="D651" i="1" a="1"/>
  <c r="D651" i="1" s="1"/>
  <c r="D652" i="1" a="1"/>
  <c r="D652" i="1" s="1"/>
  <c r="D653" i="1" a="1"/>
  <c r="D653" i="1" s="1"/>
  <c r="D654" i="1" a="1"/>
  <c r="D654" i="1" s="1"/>
  <c r="D655" i="1" a="1"/>
  <c r="D655" i="1" s="1"/>
  <c r="D656" i="1" a="1"/>
  <c r="D656" i="1" s="1"/>
  <c r="D657" i="1" a="1"/>
  <c r="D657" i="1" s="1"/>
  <c r="D658" i="1" a="1"/>
  <c r="D658" i="1" s="1"/>
  <c r="D659" i="1" a="1"/>
  <c r="D659" i="1" s="1"/>
  <c r="D660" i="1" a="1"/>
  <c r="D660" i="1" s="1"/>
  <c r="D661" i="1" a="1"/>
  <c r="D661" i="1" s="1"/>
  <c r="D662" i="1" a="1"/>
  <c r="D662" i="1" s="1"/>
  <c r="D663" i="1" a="1"/>
  <c r="D663" i="1" s="1"/>
  <c r="D664" i="1" a="1"/>
  <c r="D664" i="1" s="1"/>
  <c r="D665" i="1" a="1"/>
  <c r="D665" i="1" s="1"/>
  <c r="D666" i="1" a="1"/>
  <c r="D666" i="1" s="1"/>
  <c r="D667" i="1" a="1"/>
  <c r="D667" i="1" s="1"/>
  <c r="D668" i="1" a="1"/>
  <c r="D668" i="1" s="1"/>
  <c r="D669" i="1" a="1"/>
  <c r="D669" i="1" s="1"/>
  <c r="D670" i="1" a="1"/>
  <c r="D670" i="1" s="1"/>
  <c r="D671" i="1" a="1"/>
  <c r="D671" i="1" s="1"/>
  <c r="D672" i="1" a="1"/>
  <c r="D672" i="1" s="1"/>
  <c r="D673" i="1" a="1"/>
  <c r="D673" i="1" s="1"/>
  <c r="D674" i="1" a="1"/>
  <c r="D674" i="1" s="1"/>
  <c r="D675" i="1" a="1"/>
  <c r="D675" i="1" s="1"/>
  <c r="D676" i="1" a="1"/>
  <c r="D676" i="1" s="1"/>
  <c r="D677" i="1" a="1"/>
  <c r="D677" i="1" s="1"/>
  <c r="D678" i="1" a="1"/>
  <c r="D678" i="1" s="1"/>
  <c r="D679" i="1" a="1"/>
  <c r="D679" i="1" s="1"/>
  <c r="D680" i="1" a="1"/>
  <c r="D680" i="1" s="1"/>
  <c r="D681" i="1" a="1"/>
  <c r="D681" i="1" s="1"/>
  <c r="D682" i="1" a="1"/>
  <c r="D682" i="1" s="1"/>
  <c r="D683" i="1" a="1"/>
  <c r="D683" i="1" s="1"/>
  <c r="D684" i="1" a="1"/>
  <c r="D684" i="1" s="1"/>
  <c r="D685" i="1" a="1"/>
  <c r="D685" i="1" s="1"/>
  <c r="D686" i="1" a="1"/>
  <c r="D686" i="1" s="1"/>
  <c r="D687" i="1" a="1"/>
  <c r="D687" i="1" s="1"/>
  <c r="D688" i="1" a="1"/>
  <c r="D688" i="1" s="1"/>
  <c r="D689" i="1" a="1"/>
  <c r="D689" i="1" s="1"/>
  <c r="D690" i="1" a="1"/>
  <c r="D690" i="1" s="1"/>
  <c r="D691" i="1" a="1"/>
  <c r="D691" i="1" s="1"/>
  <c r="D692" i="1" a="1"/>
  <c r="D692" i="1" s="1"/>
  <c r="D693" i="1" a="1"/>
  <c r="D693" i="1" s="1"/>
  <c r="D694" i="1" a="1"/>
  <c r="D694" i="1" s="1"/>
  <c r="D695" i="1" a="1"/>
  <c r="D695" i="1" s="1"/>
  <c r="D696" i="1" a="1"/>
  <c r="D696" i="1" s="1"/>
  <c r="D697" i="1" a="1"/>
  <c r="D697" i="1" s="1"/>
  <c r="D698" i="1" a="1"/>
  <c r="D698" i="1" s="1"/>
  <c r="D699" i="1" a="1"/>
  <c r="D699" i="1" s="1"/>
  <c r="D700" i="1" a="1"/>
  <c r="D700" i="1" s="1"/>
  <c r="D701" i="1" a="1"/>
  <c r="D701" i="1" s="1"/>
  <c r="D702" i="1" a="1"/>
  <c r="D702" i="1" s="1"/>
  <c r="D703" i="1" a="1"/>
  <c r="D703" i="1" s="1"/>
  <c r="D704" i="1" a="1"/>
  <c r="D704" i="1" s="1"/>
  <c r="D705" i="1" a="1"/>
  <c r="D705" i="1" s="1"/>
  <c r="D706" i="1" a="1"/>
  <c r="D706" i="1" s="1"/>
  <c r="D707" i="1" a="1"/>
  <c r="D707" i="1" s="1"/>
  <c r="D708" i="1" a="1"/>
  <c r="D708" i="1" s="1"/>
  <c r="D709" i="1" a="1"/>
  <c r="D709" i="1" s="1"/>
  <c r="D710" i="1" a="1"/>
  <c r="D710" i="1" s="1"/>
  <c r="D711" i="1" a="1"/>
  <c r="D711" i="1" s="1"/>
  <c r="D712" i="1" a="1"/>
  <c r="D712" i="1" s="1"/>
  <c r="D713" i="1" a="1"/>
  <c r="D713" i="1" s="1"/>
  <c r="D714" i="1" a="1"/>
  <c r="D714" i="1" s="1"/>
  <c r="D715" i="1" a="1"/>
  <c r="D715" i="1" s="1"/>
  <c r="D716" i="1" a="1"/>
  <c r="D716" i="1" s="1"/>
  <c r="D717" i="1" a="1"/>
  <c r="D717" i="1" s="1"/>
  <c r="D718" i="1" a="1"/>
  <c r="D718" i="1" s="1"/>
  <c r="D719" i="1" a="1"/>
  <c r="D719" i="1" s="1"/>
  <c r="D720" i="1" a="1"/>
  <c r="D720" i="1" s="1"/>
  <c r="D721" i="1" a="1"/>
  <c r="D721" i="1" s="1"/>
  <c r="D722" i="1" a="1"/>
  <c r="D722" i="1" s="1"/>
  <c r="D723" i="1" a="1"/>
  <c r="D723" i="1" s="1"/>
  <c r="D724" i="1" a="1"/>
  <c r="D724" i="1" s="1"/>
  <c r="D725" i="1" a="1"/>
  <c r="D725" i="1" s="1"/>
  <c r="D726" i="1" a="1"/>
  <c r="D726" i="1" s="1"/>
  <c r="D727" i="1" a="1"/>
  <c r="D727" i="1" s="1"/>
  <c r="D728" i="1" a="1"/>
  <c r="D728" i="1" s="1"/>
  <c r="D729" i="1" a="1"/>
  <c r="D729" i="1" s="1"/>
  <c r="D730" i="1" a="1"/>
  <c r="D730" i="1" s="1"/>
  <c r="D731" i="1" a="1"/>
  <c r="D731" i="1" s="1"/>
  <c r="D732" i="1" a="1"/>
  <c r="D732" i="1" s="1"/>
  <c r="D733" i="1" a="1"/>
  <c r="D733" i="1" s="1"/>
  <c r="D734" i="1" a="1"/>
  <c r="D734" i="1" s="1"/>
  <c r="D735" i="1" a="1"/>
  <c r="D735" i="1" s="1"/>
  <c r="D736" i="1" a="1"/>
  <c r="D736" i="1" s="1"/>
  <c r="D737" i="1" a="1"/>
  <c r="D737" i="1" s="1"/>
  <c r="D738" i="1" a="1"/>
  <c r="D738" i="1" s="1"/>
  <c r="D739" i="1" a="1"/>
  <c r="D739" i="1" s="1"/>
  <c r="D740" i="1" a="1"/>
  <c r="D740" i="1" s="1"/>
  <c r="D741" i="1" a="1"/>
  <c r="D741" i="1" s="1"/>
  <c r="D742" i="1" a="1"/>
  <c r="D742" i="1" s="1"/>
  <c r="D743" i="1" a="1"/>
  <c r="D743" i="1" s="1"/>
  <c r="D744" i="1" a="1"/>
  <c r="D744" i="1" s="1"/>
  <c r="D745" i="1" a="1"/>
  <c r="D745" i="1" s="1"/>
  <c r="D746" i="1" a="1"/>
  <c r="D746" i="1" s="1"/>
  <c r="D747" i="1" a="1"/>
  <c r="D747" i="1" s="1"/>
  <c r="D748" i="1" a="1"/>
  <c r="D748" i="1" s="1"/>
  <c r="D749" i="1" a="1"/>
  <c r="D749" i="1" s="1"/>
  <c r="D750" i="1" a="1"/>
  <c r="D750" i="1" s="1"/>
  <c r="D751" i="1" a="1"/>
  <c r="D751" i="1" s="1"/>
  <c r="D752" i="1" a="1"/>
  <c r="D752" i="1" s="1"/>
  <c r="D753" i="1" a="1"/>
  <c r="D753" i="1" s="1"/>
  <c r="D754" i="1" a="1"/>
  <c r="D754" i="1" s="1"/>
  <c r="D755" i="1" a="1"/>
  <c r="D755" i="1" s="1"/>
  <c r="D756" i="1" a="1"/>
  <c r="D756" i="1" s="1"/>
  <c r="D757" i="1" a="1"/>
  <c r="D757" i="1" s="1"/>
  <c r="D758" i="1" a="1"/>
  <c r="D758" i="1" s="1"/>
  <c r="D759" i="1" a="1"/>
  <c r="D759" i="1" s="1"/>
  <c r="D760" i="1" a="1"/>
  <c r="D760" i="1" s="1"/>
  <c r="D761" i="1" a="1"/>
  <c r="D761" i="1" s="1"/>
  <c r="D762" i="1" a="1"/>
  <c r="D762" i="1" s="1"/>
  <c r="D763" i="1" a="1"/>
  <c r="D763" i="1" s="1"/>
  <c r="D764" i="1" a="1"/>
  <c r="D764" i="1" s="1"/>
  <c r="D765" i="1" a="1"/>
  <c r="D765" i="1" s="1"/>
  <c r="D766" i="1" a="1"/>
  <c r="D766" i="1" s="1"/>
  <c r="D767" i="1" a="1"/>
  <c r="D767" i="1" s="1"/>
  <c r="D768" i="1" a="1"/>
  <c r="D768" i="1" s="1"/>
  <c r="D769" i="1" a="1"/>
  <c r="D769" i="1" s="1"/>
  <c r="D770" i="1" a="1"/>
  <c r="D770" i="1" s="1"/>
  <c r="D771" i="1" a="1"/>
  <c r="D771" i="1" s="1"/>
  <c r="D772" i="1" a="1"/>
  <c r="D772" i="1" s="1"/>
  <c r="D773" i="1" a="1"/>
  <c r="D773" i="1" s="1"/>
  <c r="D774" i="1" a="1"/>
  <c r="D774" i="1" s="1"/>
  <c r="D775" i="1" a="1"/>
  <c r="D775" i="1" s="1"/>
  <c r="D776" i="1" a="1"/>
  <c r="D776" i="1" s="1"/>
  <c r="D777" i="1" a="1"/>
  <c r="D777" i="1" s="1"/>
  <c r="D778" i="1" a="1"/>
  <c r="D778" i="1" s="1"/>
  <c r="D779" i="1" a="1"/>
  <c r="D779" i="1" s="1"/>
  <c r="D780" i="1" a="1"/>
  <c r="D780" i="1" s="1"/>
  <c r="D781" i="1" a="1"/>
  <c r="D781" i="1" s="1"/>
  <c r="D782" i="1" a="1"/>
  <c r="D782" i="1" s="1"/>
  <c r="D783" i="1" a="1"/>
  <c r="D783" i="1" s="1"/>
  <c r="D784" i="1" a="1"/>
  <c r="D784" i="1" s="1"/>
  <c r="D785" i="1" a="1"/>
  <c r="D785" i="1" s="1"/>
  <c r="D786" i="1" a="1"/>
  <c r="D786" i="1" s="1"/>
  <c r="D787" i="1" a="1"/>
  <c r="D787" i="1" s="1"/>
  <c r="D788" i="1" a="1"/>
  <c r="D788" i="1" s="1"/>
  <c r="D789" i="1" a="1"/>
  <c r="D789" i="1" s="1"/>
  <c r="D790" i="1" a="1"/>
  <c r="D790" i="1" s="1"/>
  <c r="D791" i="1" a="1"/>
  <c r="D791" i="1" s="1"/>
  <c r="D792" i="1" a="1"/>
  <c r="D792" i="1" s="1"/>
  <c r="D793" i="1" a="1"/>
  <c r="D793" i="1" s="1"/>
  <c r="D794" i="1" a="1"/>
  <c r="D794" i="1" s="1"/>
  <c r="D795" i="1" a="1"/>
  <c r="D795" i="1" s="1"/>
  <c r="D796" i="1" a="1"/>
  <c r="D796" i="1" s="1"/>
  <c r="D797" i="1" a="1"/>
  <c r="D797" i="1" s="1"/>
  <c r="D798" i="1" a="1"/>
  <c r="D798" i="1" s="1"/>
  <c r="D799" i="1" a="1"/>
  <c r="D799" i="1" s="1"/>
  <c r="D800" i="1" a="1"/>
  <c r="D800" i="1" s="1"/>
  <c r="D801" i="1" a="1"/>
  <c r="D801" i="1" s="1"/>
  <c r="D802" i="1" a="1"/>
  <c r="D802" i="1" s="1"/>
  <c r="D803" i="1" a="1"/>
  <c r="D803" i="1" s="1"/>
  <c r="D804" i="1" a="1"/>
  <c r="D804" i="1" s="1"/>
  <c r="D805" i="1" a="1"/>
  <c r="D805" i="1" s="1"/>
  <c r="D806" i="1" a="1"/>
  <c r="D806" i="1" s="1"/>
  <c r="D807" i="1" a="1"/>
  <c r="D807" i="1" s="1"/>
  <c r="D808" i="1" a="1"/>
  <c r="D808" i="1" s="1"/>
  <c r="D809" i="1" a="1"/>
  <c r="D809" i="1" s="1"/>
  <c r="D810" i="1" a="1"/>
  <c r="D810" i="1" s="1"/>
  <c r="D811" i="1" a="1"/>
  <c r="D811" i="1" s="1"/>
  <c r="D812" i="1" a="1"/>
  <c r="D812" i="1" s="1"/>
  <c r="D813" i="1" a="1"/>
  <c r="D813" i="1" s="1"/>
  <c r="D814" i="1" a="1"/>
  <c r="D814" i="1" s="1"/>
  <c r="D815" i="1" a="1"/>
  <c r="D815" i="1" s="1"/>
  <c r="D816" i="1" a="1"/>
  <c r="D816" i="1" s="1"/>
  <c r="D817" i="1" a="1"/>
  <c r="D817" i="1" s="1"/>
  <c r="D818" i="1" a="1"/>
  <c r="D818" i="1" s="1"/>
  <c r="D819" i="1" a="1"/>
  <c r="D819" i="1" s="1"/>
  <c r="D820" i="1" a="1"/>
  <c r="D820" i="1" s="1"/>
  <c r="D821" i="1" a="1"/>
  <c r="D821" i="1" s="1"/>
  <c r="D822" i="1" a="1"/>
  <c r="D822" i="1" s="1"/>
  <c r="D823" i="1" a="1"/>
  <c r="D823" i="1" s="1"/>
  <c r="D824" i="1" a="1"/>
  <c r="D824" i="1" s="1"/>
  <c r="D825" i="1" a="1"/>
  <c r="D825" i="1" s="1"/>
  <c r="D826" i="1" a="1"/>
  <c r="D826" i="1" s="1"/>
  <c r="D827" i="1" a="1"/>
  <c r="D827" i="1" s="1"/>
  <c r="D828" i="1" a="1"/>
  <c r="D828" i="1" s="1"/>
  <c r="D829" i="1" a="1"/>
  <c r="D829" i="1" s="1"/>
  <c r="D830" i="1" a="1"/>
  <c r="D830" i="1" s="1"/>
  <c r="D831" i="1" a="1"/>
  <c r="D831" i="1" s="1"/>
  <c r="D832" i="1" a="1"/>
  <c r="D832" i="1" s="1"/>
  <c r="D833" i="1" a="1"/>
  <c r="D833" i="1" s="1"/>
  <c r="D834" i="1" a="1"/>
  <c r="D834" i="1" s="1"/>
  <c r="D835" i="1" a="1"/>
  <c r="D835" i="1" s="1"/>
  <c r="D836" i="1" a="1"/>
  <c r="D836" i="1" s="1"/>
  <c r="D837" i="1" a="1"/>
  <c r="D837" i="1" s="1"/>
  <c r="D838" i="1" a="1"/>
  <c r="D838" i="1" s="1"/>
  <c r="D839" i="1" a="1"/>
  <c r="D839" i="1" s="1"/>
  <c r="D840" i="1" a="1"/>
  <c r="D840" i="1" s="1"/>
  <c r="D841" i="1" a="1"/>
  <c r="D841" i="1" s="1"/>
  <c r="D842" i="1" a="1"/>
  <c r="D842" i="1" s="1"/>
  <c r="D843" i="1" a="1"/>
  <c r="D843" i="1" s="1"/>
  <c r="D844" i="1" a="1"/>
  <c r="D844" i="1" s="1"/>
  <c r="D845" i="1" a="1"/>
  <c r="D845" i="1" s="1"/>
  <c r="D846" i="1" a="1"/>
  <c r="D846" i="1" s="1"/>
  <c r="D847" i="1" a="1"/>
  <c r="D847" i="1" s="1"/>
  <c r="D848" i="1" a="1"/>
  <c r="D848" i="1" s="1"/>
  <c r="D849" i="1" a="1"/>
  <c r="D849" i="1" s="1"/>
  <c r="D850" i="1" a="1"/>
  <c r="D850" i="1" s="1"/>
  <c r="D851" i="1" a="1"/>
  <c r="D851" i="1" s="1"/>
  <c r="D852" i="1" a="1"/>
  <c r="D852" i="1" s="1"/>
  <c r="D853" i="1" a="1"/>
  <c r="D853" i="1" s="1"/>
  <c r="D854" i="1" a="1"/>
  <c r="D854" i="1" s="1"/>
  <c r="D855" i="1" a="1"/>
  <c r="D855" i="1" s="1"/>
  <c r="D856" i="1" a="1"/>
  <c r="D856" i="1" s="1"/>
  <c r="D857" i="1" a="1"/>
  <c r="D857" i="1" s="1"/>
  <c r="D858" i="1" a="1"/>
  <c r="D858" i="1" s="1"/>
  <c r="D859" i="1" a="1"/>
  <c r="D859" i="1" s="1"/>
  <c r="D860" i="1" a="1"/>
  <c r="D860" i="1" s="1"/>
  <c r="D861" i="1" a="1"/>
  <c r="D861" i="1" s="1"/>
  <c r="D862" i="1" a="1"/>
  <c r="D862" i="1" s="1"/>
  <c r="D863" i="1" a="1"/>
  <c r="D863" i="1" s="1"/>
  <c r="D864" i="1" a="1"/>
  <c r="D864" i="1" s="1"/>
  <c r="D865" i="1" a="1"/>
  <c r="D865" i="1" s="1"/>
  <c r="D866" i="1" a="1"/>
  <c r="D866" i="1" s="1"/>
  <c r="D867" i="1" a="1"/>
  <c r="D867" i="1" s="1"/>
  <c r="D868" i="1" a="1"/>
  <c r="D868" i="1" s="1"/>
  <c r="D869" i="1" a="1"/>
  <c r="D869" i="1" s="1"/>
  <c r="D870" i="1" a="1"/>
  <c r="D870" i="1" s="1"/>
  <c r="D871" i="1" a="1"/>
  <c r="D871" i="1" s="1"/>
  <c r="D872" i="1" a="1"/>
  <c r="D872" i="1" s="1"/>
  <c r="D873" i="1" a="1"/>
  <c r="D873" i="1" s="1"/>
  <c r="D874" i="1" a="1"/>
  <c r="D874" i="1" s="1"/>
  <c r="D875" i="1" a="1"/>
  <c r="D875" i="1" s="1"/>
  <c r="D876" i="1" a="1"/>
  <c r="D876" i="1" s="1"/>
  <c r="D877" i="1" a="1"/>
  <c r="D877" i="1" s="1"/>
  <c r="D878" i="1" a="1"/>
  <c r="D878" i="1" s="1"/>
  <c r="D879" i="1" a="1"/>
  <c r="D879" i="1" s="1"/>
  <c r="D880" i="1" a="1"/>
  <c r="D880" i="1" s="1"/>
  <c r="D881" i="1" a="1"/>
  <c r="D881" i="1" s="1"/>
  <c r="D882" i="1" a="1"/>
  <c r="D882" i="1" s="1"/>
  <c r="D883" i="1" a="1"/>
  <c r="D883" i="1" s="1"/>
  <c r="D884" i="1" a="1"/>
  <c r="D884" i="1" s="1"/>
  <c r="D885" i="1" a="1"/>
  <c r="D885" i="1" s="1"/>
  <c r="D886" i="1" a="1"/>
  <c r="D886" i="1" s="1"/>
  <c r="D887" i="1" a="1"/>
  <c r="D887" i="1" s="1"/>
  <c r="D888" i="1" a="1"/>
  <c r="D888" i="1" s="1"/>
  <c r="D889" i="1" a="1"/>
  <c r="D889" i="1" s="1"/>
  <c r="D890" i="1" a="1"/>
  <c r="D890" i="1" s="1"/>
  <c r="D891" i="1" a="1"/>
  <c r="D891" i="1" s="1"/>
  <c r="D892" i="1" a="1"/>
  <c r="D892" i="1" s="1"/>
  <c r="D893" i="1" a="1"/>
  <c r="D893" i="1" s="1"/>
  <c r="D894" i="1" a="1"/>
  <c r="D894" i="1" s="1"/>
  <c r="D895" i="1" a="1"/>
  <c r="D895" i="1" s="1"/>
  <c r="D896" i="1" a="1"/>
  <c r="D896" i="1" s="1"/>
  <c r="D897" i="1" a="1"/>
  <c r="D897" i="1" s="1"/>
  <c r="D898" i="1" a="1"/>
  <c r="D898" i="1" s="1"/>
  <c r="D899" i="1" a="1"/>
  <c r="D899" i="1" s="1"/>
  <c r="D900" i="1" a="1"/>
  <c r="D900" i="1" s="1"/>
  <c r="D901" i="1" a="1"/>
  <c r="D901" i="1" s="1"/>
  <c r="D902" i="1" a="1"/>
  <c r="D902" i="1" s="1"/>
  <c r="D903" i="1" a="1"/>
  <c r="D903" i="1" s="1"/>
  <c r="D904" i="1" a="1"/>
  <c r="D904" i="1" s="1"/>
  <c r="D905" i="1" a="1"/>
  <c r="D905" i="1" s="1"/>
  <c r="D906" i="1" a="1"/>
  <c r="D906" i="1" s="1"/>
  <c r="D907" i="1" a="1"/>
  <c r="D907" i="1" s="1"/>
  <c r="D908" i="1" a="1"/>
  <c r="D908" i="1" s="1"/>
  <c r="D909" i="1" a="1"/>
  <c r="D909" i="1" s="1"/>
  <c r="D910" i="1" a="1"/>
  <c r="D910" i="1" s="1"/>
  <c r="D911" i="1" a="1"/>
  <c r="D911" i="1" s="1"/>
  <c r="D912" i="1" a="1"/>
  <c r="D912" i="1" s="1"/>
  <c r="D913" i="1" a="1"/>
  <c r="D913" i="1" s="1"/>
  <c r="D914" i="1" a="1"/>
  <c r="D914" i="1" s="1"/>
  <c r="D915" i="1" a="1"/>
  <c r="D915" i="1" s="1"/>
  <c r="D916" i="1" a="1"/>
  <c r="D916" i="1" s="1"/>
  <c r="D917" i="1" a="1"/>
  <c r="D917" i="1" s="1"/>
  <c r="D918" i="1" a="1"/>
  <c r="D918" i="1" s="1"/>
  <c r="D919" i="1" a="1"/>
  <c r="D919" i="1" s="1"/>
  <c r="D920" i="1" a="1"/>
  <c r="D920" i="1" s="1"/>
  <c r="D921" i="1" a="1"/>
  <c r="D921" i="1" s="1"/>
  <c r="D922" i="1" a="1"/>
  <c r="D922" i="1" s="1"/>
  <c r="D923" i="1" a="1"/>
  <c r="D923" i="1" s="1"/>
  <c r="D924" i="1" a="1"/>
  <c r="D924" i="1" s="1"/>
  <c r="D925" i="1" a="1"/>
  <c r="D925" i="1" s="1"/>
  <c r="D926" i="1" a="1"/>
  <c r="D926" i="1" s="1"/>
  <c r="D927" i="1" a="1"/>
  <c r="D927" i="1" s="1"/>
  <c r="D928" i="1" a="1"/>
  <c r="D928" i="1" s="1"/>
  <c r="D929" i="1" a="1"/>
  <c r="D929" i="1" s="1"/>
  <c r="D930" i="1" a="1"/>
  <c r="D930" i="1" s="1"/>
  <c r="D931" i="1" a="1"/>
  <c r="D931" i="1" s="1"/>
  <c r="D932" i="1" a="1"/>
  <c r="D932" i="1" s="1"/>
  <c r="D933" i="1" a="1"/>
  <c r="D933" i="1" s="1"/>
  <c r="D934" i="1" a="1"/>
  <c r="D934" i="1" s="1"/>
  <c r="D935" i="1" a="1"/>
  <c r="D935" i="1" s="1"/>
  <c r="D936" i="1" a="1"/>
  <c r="D936" i="1" s="1"/>
  <c r="D937" i="1" a="1"/>
  <c r="D937" i="1" s="1"/>
  <c r="D938" i="1" a="1"/>
  <c r="D938" i="1" s="1"/>
  <c r="D939" i="1" a="1"/>
  <c r="D939" i="1" s="1"/>
  <c r="D940" i="1" a="1"/>
  <c r="D940" i="1" s="1"/>
  <c r="D941" i="1" a="1"/>
  <c r="D941" i="1" s="1"/>
  <c r="D942" i="1" a="1"/>
  <c r="D942" i="1" s="1"/>
  <c r="D943" i="1" a="1"/>
  <c r="D943" i="1" s="1"/>
  <c r="D944" i="1" a="1"/>
  <c r="D944" i="1" s="1"/>
  <c r="D945" i="1" a="1"/>
  <c r="D945" i="1" s="1"/>
  <c r="D946" i="1" a="1"/>
  <c r="D946" i="1" s="1"/>
  <c r="D947" i="1" a="1"/>
  <c r="D947" i="1" s="1"/>
  <c r="D948" i="1" a="1"/>
  <c r="D948" i="1" s="1"/>
  <c r="D949" i="1" a="1"/>
  <c r="D949" i="1" s="1"/>
  <c r="D950" i="1" a="1"/>
  <c r="D950" i="1" s="1"/>
  <c r="D951" i="1" a="1"/>
  <c r="D951" i="1" s="1"/>
  <c r="D952" i="1" a="1"/>
  <c r="D952" i="1" s="1"/>
  <c r="D953" i="1" a="1"/>
  <c r="D953" i="1" s="1"/>
  <c r="D954" i="1" a="1"/>
  <c r="D954" i="1" s="1"/>
  <c r="D955" i="1" a="1"/>
  <c r="D955" i="1" s="1"/>
  <c r="D956" i="1" a="1"/>
  <c r="D956" i="1" s="1"/>
  <c r="D957" i="1" a="1"/>
  <c r="D957" i="1" s="1"/>
  <c r="D958" i="1" a="1"/>
  <c r="D958" i="1" s="1"/>
  <c r="D959" i="1" a="1"/>
  <c r="D959" i="1" s="1"/>
  <c r="D960" i="1" a="1"/>
  <c r="D960" i="1" s="1"/>
  <c r="D961" i="1" a="1"/>
  <c r="D961" i="1" s="1"/>
  <c r="D962" i="1" a="1"/>
  <c r="D962" i="1" s="1"/>
  <c r="D963" i="1" a="1"/>
  <c r="D963" i="1" s="1"/>
  <c r="D964" i="1" a="1"/>
  <c r="D964" i="1" s="1"/>
  <c r="D965" i="1" a="1"/>
  <c r="D965" i="1" s="1"/>
  <c r="D966" i="1" a="1"/>
  <c r="D966" i="1" s="1"/>
  <c r="D967" i="1" a="1"/>
  <c r="D967" i="1" s="1"/>
  <c r="D968" i="1" a="1"/>
  <c r="D968" i="1" s="1"/>
  <c r="D969" i="1" a="1"/>
  <c r="D969" i="1" s="1"/>
  <c r="D970" i="1" a="1"/>
  <c r="D970" i="1" s="1"/>
  <c r="D971" i="1" a="1"/>
  <c r="D971" i="1" s="1"/>
  <c r="D972" i="1" a="1"/>
  <c r="D972" i="1" s="1"/>
  <c r="D973" i="1" a="1"/>
  <c r="D973" i="1" s="1"/>
  <c r="D974" i="1" a="1"/>
  <c r="D974" i="1" s="1"/>
  <c r="D975" i="1" a="1"/>
  <c r="D975" i="1" s="1"/>
  <c r="D976" i="1" a="1"/>
  <c r="D976" i="1" s="1"/>
  <c r="D977" i="1" a="1"/>
  <c r="D977" i="1" s="1"/>
  <c r="D978" i="1" a="1"/>
  <c r="D978" i="1" s="1"/>
  <c r="D979" i="1" a="1"/>
  <c r="D979" i="1" s="1"/>
  <c r="D980" i="1" a="1"/>
  <c r="D980" i="1" s="1"/>
  <c r="D981" i="1" a="1"/>
  <c r="D981" i="1" s="1"/>
  <c r="D982" i="1" a="1"/>
  <c r="D982" i="1" s="1"/>
  <c r="D983" i="1" a="1"/>
  <c r="D983" i="1" s="1"/>
  <c r="D984" i="1" a="1"/>
  <c r="D984" i="1" s="1"/>
  <c r="D985" i="1" a="1"/>
  <c r="D985" i="1" s="1"/>
  <c r="D986" i="1" a="1"/>
  <c r="D986" i="1" s="1"/>
  <c r="D987" i="1" a="1"/>
  <c r="D987" i="1" s="1"/>
  <c r="D988" i="1" a="1"/>
  <c r="D988" i="1" s="1"/>
  <c r="D989" i="1" a="1"/>
  <c r="D989" i="1" s="1"/>
  <c r="D990" i="1" a="1"/>
  <c r="D990" i="1" s="1"/>
  <c r="D991" i="1" a="1"/>
  <c r="D991" i="1" s="1"/>
  <c r="D992" i="1" a="1"/>
  <c r="D992" i="1" s="1"/>
  <c r="D993" i="1" a="1"/>
  <c r="D993" i="1" s="1"/>
  <c r="D994" i="1" a="1"/>
  <c r="D994" i="1" s="1"/>
  <c r="D995" i="1" a="1"/>
  <c r="D995" i="1" s="1"/>
  <c r="D996" i="1" a="1"/>
  <c r="D996" i="1" s="1"/>
  <c r="D997" i="1" a="1"/>
  <c r="D997" i="1" s="1"/>
  <c r="D998" i="1" a="1"/>
  <c r="D998" i="1" s="1"/>
  <c r="D999" i="1" a="1"/>
  <c r="D999" i="1" s="1"/>
  <c r="D1000" i="1" a="1"/>
  <c r="D1000" i="1" s="1"/>
  <c r="D1001" i="1" a="1"/>
  <c r="D1001" i="1" s="1"/>
  <c r="D1002" i="1" a="1"/>
  <c r="D1002" i="1" s="1"/>
  <c r="D1003" i="1" a="1"/>
  <c r="D1003" i="1" s="1"/>
  <c r="D1004" i="1" a="1"/>
  <c r="D1004" i="1" s="1"/>
  <c r="D1005" i="1" a="1"/>
  <c r="D1005" i="1" s="1"/>
  <c r="D1006" i="1" a="1"/>
  <c r="D1006" i="1" s="1"/>
  <c r="D1007" i="1" a="1"/>
  <c r="D1007" i="1" s="1"/>
  <c r="D1008" i="1" a="1"/>
  <c r="D1008" i="1" s="1"/>
  <c r="D1009" i="1" a="1"/>
  <c r="D1009" i="1" s="1"/>
  <c r="D1010" i="1" a="1"/>
  <c r="D1010" i="1" s="1"/>
  <c r="D1011" i="1" a="1"/>
  <c r="D1011" i="1" s="1"/>
  <c r="D1012" i="1" a="1"/>
  <c r="D1012" i="1" s="1"/>
  <c r="D1013" i="1" a="1"/>
  <c r="D1013" i="1" s="1"/>
  <c r="D1014" i="1" a="1"/>
  <c r="D1014" i="1" s="1"/>
  <c r="D1015" i="1" a="1"/>
  <c r="D1015" i="1" s="1"/>
  <c r="D1016" i="1" a="1"/>
  <c r="D1016" i="1" s="1"/>
  <c r="D1017" i="1" a="1"/>
  <c r="D1017" i="1" s="1"/>
  <c r="D1018" i="1" a="1"/>
  <c r="D1018" i="1" s="1"/>
  <c r="D1019" i="1" a="1"/>
  <c r="D1019" i="1" s="1"/>
  <c r="D1020" i="1" a="1"/>
  <c r="D1020" i="1" s="1"/>
  <c r="D1021" i="1" a="1"/>
  <c r="D1021" i="1" s="1"/>
  <c r="D1022" i="1" a="1"/>
  <c r="D1022" i="1" s="1"/>
  <c r="D1023" i="1" a="1"/>
  <c r="D1023" i="1" s="1"/>
  <c r="B44" i="3" l="1"/>
  <c r="B38" i="3"/>
  <c r="B32" i="3"/>
  <c r="B28" i="3"/>
  <c r="B26" i="3"/>
  <c r="B24" i="3"/>
  <c r="A4" i="3"/>
  <c r="C14" i="3" s="1"/>
  <c r="S23" i="3" l="1"/>
  <c r="K14" i="5"/>
  <c r="G6" i="4"/>
  <c r="F7" i="4" s="1"/>
  <c r="E8" i="4" s="1"/>
  <c r="D9" i="4" s="1"/>
  <c r="C10" i="4" s="1"/>
  <c r="B11" i="4" s="1"/>
  <c r="AA12" i="4" s="1"/>
  <c r="Z13" i="4" s="1"/>
  <c r="Y14" i="4" s="1"/>
  <c r="X15" i="4" s="1"/>
  <c r="W16" i="4" s="1"/>
  <c r="V17" i="4" s="1"/>
  <c r="U18" i="4" s="1"/>
  <c r="T19" i="4" s="1"/>
  <c r="S20" i="4" s="1"/>
  <c r="R21" i="4" s="1"/>
  <c r="Q22" i="4" s="1"/>
  <c r="P23" i="4" s="1"/>
  <c r="O24" i="4" s="1"/>
  <c r="N25" i="4" s="1"/>
  <c r="M26" i="4" s="1"/>
  <c r="L27" i="4" s="1"/>
  <c r="Y3" i="4"/>
  <c r="X4" i="4" s="1"/>
  <c r="W5" i="4" s="1"/>
  <c r="V6" i="4" s="1"/>
  <c r="U7" i="4" s="1"/>
  <c r="T8" i="4" s="1"/>
  <c r="S9" i="4" s="1"/>
  <c r="R10" i="4" s="1"/>
  <c r="Q11" i="4" s="1"/>
  <c r="P12" i="4" s="1"/>
  <c r="O13" i="4" s="1"/>
  <c r="N14" i="4" s="1"/>
  <c r="M15" i="4" s="1"/>
  <c r="L16" i="4" s="1"/>
  <c r="K17" i="4" s="1"/>
  <c r="J18" i="4" s="1"/>
  <c r="I19" i="4" s="1"/>
  <c r="H20" i="4" s="1"/>
  <c r="G21" i="4" s="1"/>
  <c r="F22" i="4" s="1"/>
  <c r="E23" i="4" s="1"/>
  <c r="D24" i="4" s="1"/>
  <c r="C25" i="4" s="1"/>
  <c r="B26" i="4" s="1"/>
  <c r="AA27" i="4" s="1"/>
  <c r="U3" i="4"/>
  <c r="T4" i="4" s="1"/>
  <c r="S5" i="4" s="1"/>
  <c r="R6" i="4" s="1"/>
  <c r="Q7" i="4" s="1"/>
  <c r="P8" i="4" s="1"/>
  <c r="O9" i="4" s="1"/>
  <c r="N10" i="4" s="1"/>
  <c r="M11" i="4" s="1"/>
  <c r="L12" i="4" s="1"/>
  <c r="K13" i="4" s="1"/>
  <c r="J14" i="4" s="1"/>
  <c r="I15" i="4" s="1"/>
  <c r="H16" i="4" s="1"/>
  <c r="G17" i="4" s="1"/>
  <c r="F18" i="4" s="1"/>
  <c r="E19" i="4" s="1"/>
  <c r="D20" i="4" s="1"/>
  <c r="C21" i="4" s="1"/>
  <c r="B22" i="4" s="1"/>
  <c r="AA23" i="4" s="1"/>
  <c r="Z24" i="4" s="1"/>
  <c r="Y25" i="4" s="1"/>
  <c r="X26" i="4" s="1"/>
  <c r="W27" i="4" s="1"/>
  <c r="I3" i="4"/>
  <c r="H4" i="4" s="1"/>
  <c r="G5" i="4" s="1"/>
  <c r="F6" i="4" s="1"/>
  <c r="E7" i="4" s="1"/>
  <c r="D8" i="4" s="1"/>
  <c r="C9" i="4" s="1"/>
  <c r="B10" i="4" s="1"/>
  <c r="AA11" i="4" s="1"/>
  <c r="Z12" i="4" s="1"/>
  <c r="Y13" i="4" s="1"/>
  <c r="X14" i="4" s="1"/>
  <c r="W15" i="4" s="1"/>
  <c r="V16" i="4" s="1"/>
  <c r="U17" i="4" s="1"/>
  <c r="T18" i="4" s="1"/>
  <c r="S19" i="4" s="1"/>
  <c r="R20" i="4" s="1"/>
  <c r="Q21" i="4" s="1"/>
  <c r="P22" i="4" s="1"/>
  <c r="O23" i="4" s="1"/>
  <c r="N24" i="4" s="1"/>
  <c r="M25" i="4" s="1"/>
  <c r="L26" i="4" s="1"/>
  <c r="K27" i="4" s="1"/>
  <c r="E3" i="4"/>
  <c r="D4" i="4" s="1"/>
  <c r="C5" i="4" s="1"/>
  <c r="B6" i="4" s="1"/>
  <c r="AA7" i="4" s="1"/>
  <c r="Z8" i="4" s="1"/>
  <c r="Y9" i="4" s="1"/>
  <c r="X10" i="4" s="1"/>
  <c r="W11" i="4" s="1"/>
  <c r="V12" i="4" s="1"/>
  <c r="U13" i="4" s="1"/>
  <c r="T14" i="4" s="1"/>
  <c r="S15" i="4" s="1"/>
  <c r="R16" i="4" s="1"/>
  <c r="Q17" i="4" s="1"/>
  <c r="P18" i="4" s="1"/>
  <c r="O19" i="4" s="1"/>
  <c r="N20" i="4" s="1"/>
  <c r="M21" i="4" s="1"/>
  <c r="L22" i="4" s="1"/>
  <c r="K23" i="4" s="1"/>
  <c r="J24" i="4" s="1"/>
  <c r="I25" i="4" s="1"/>
  <c r="H26" i="4" s="1"/>
  <c r="G27" i="4" s="1"/>
  <c r="AA2" i="4"/>
  <c r="Z3" i="4" s="1"/>
  <c r="Y4" i="4" s="1"/>
  <c r="X5" i="4" s="1"/>
  <c r="W6" i="4" s="1"/>
  <c r="V7" i="4" s="1"/>
  <c r="U8" i="4" s="1"/>
  <c r="T9" i="4" s="1"/>
  <c r="S10" i="4" s="1"/>
  <c r="R11" i="4" s="1"/>
  <c r="Q12" i="4" s="1"/>
  <c r="P13" i="4" s="1"/>
  <c r="O14" i="4" s="1"/>
  <c r="N15" i="4" s="1"/>
  <c r="M16" i="4" s="1"/>
  <c r="L17" i="4" s="1"/>
  <c r="K18" i="4" s="1"/>
  <c r="J19" i="4" s="1"/>
  <c r="I20" i="4" s="1"/>
  <c r="H21" i="4" s="1"/>
  <c r="G22" i="4" s="1"/>
  <c r="F23" i="4" s="1"/>
  <c r="E24" i="4" s="1"/>
  <c r="D25" i="4" s="1"/>
  <c r="C26" i="4" s="1"/>
  <c r="B27" i="4" s="1"/>
  <c r="Z2" i="4"/>
  <c r="Y2" i="4"/>
  <c r="X3" i="4" s="1"/>
  <c r="W4" i="4" s="1"/>
  <c r="V5" i="4" s="1"/>
  <c r="U6" i="4" s="1"/>
  <c r="T7" i="4" s="1"/>
  <c r="S8" i="4" s="1"/>
  <c r="R9" i="4" s="1"/>
  <c r="Q10" i="4" s="1"/>
  <c r="P11" i="4" s="1"/>
  <c r="O12" i="4" s="1"/>
  <c r="N13" i="4" s="1"/>
  <c r="M14" i="4" s="1"/>
  <c r="L15" i="4" s="1"/>
  <c r="K16" i="4" s="1"/>
  <c r="J17" i="4" s="1"/>
  <c r="I18" i="4" s="1"/>
  <c r="H19" i="4" s="1"/>
  <c r="G20" i="4" s="1"/>
  <c r="F21" i="4" s="1"/>
  <c r="E22" i="4" s="1"/>
  <c r="D23" i="4" s="1"/>
  <c r="C24" i="4" s="1"/>
  <c r="B25" i="4" s="1"/>
  <c r="AA26" i="4" s="1"/>
  <c r="Z27" i="4" s="1"/>
  <c r="X2" i="4"/>
  <c r="W3" i="4" s="1"/>
  <c r="V4" i="4" s="1"/>
  <c r="U5" i="4" s="1"/>
  <c r="T6" i="4" s="1"/>
  <c r="S7" i="4" s="1"/>
  <c r="R8" i="4" s="1"/>
  <c r="Q9" i="4" s="1"/>
  <c r="P10" i="4" s="1"/>
  <c r="O11" i="4" s="1"/>
  <c r="N12" i="4" s="1"/>
  <c r="M13" i="4" s="1"/>
  <c r="L14" i="4" s="1"/>
  <c r="K15" i="4" s="1"/>
  <c r="J16" i="4" s="1"/>
  <c r="I17" i="4" s="1"/>
  <c r="H18" i="4" s="1"/>
  <c r="G19" i="4" s="1"/>
  <c r="F20" i="4" s="1"/>
  <c r="E21" i="4" s="1"/>
  <c r="D22" i="4" s="1"/>
  <c r="C23" i="4" s="1"/>
  <c r="B24" i="4" s="1"/>
  <c r="AA25" i="4" s="1"/>
  <c r="Z26" i="4" s="1"/>
  <c r="Y27" i="4" s="1"/>
  <c r="W2" i="4"/>
  <c r="V3" i="4" s="1"/>
  <c r="U4" i="4" s="1"/>
  <c r="T5" i="4" s="1"/>
  <c r="S6" i="4" s="1"/>
  <c r="R7" i="4" s="1"/>
  <c r="Q8" i="4" s="1"/>
  <c r="P9" i="4" s="1"/>
  <c r="O10" i="4" s="1"/>
  <c r="N11" i="4" s="1"/>
  <c r="M12" i="4" s="1"/>
  <c r="L13" i="4" s="1"/>
  <c r="K14" i="4" s="1"/>
  <c r="J15" i="4" s="1"/>
  <c r="I16" i="4" s="1"/>
  <c r="H17" i="4" s="1"/>
  <c r="G18" i="4" s="1"/>
  <c r="F19" i="4" s="1"/>
  <c r="E20" i="4" s="1"/>
  <c r="D21" i="4" s="1"/>
  <c r="C22" i="4" s="1"/>
  <c r="B23" i="4" s="1"/>
  <c r="AA24" i="4" s="1"/>
  <c r="Z25" i="4" s="1"/>
  <c r="Y26" i="4" s="1"/>
  <c r="X27" i="4" s="1"/>
  <c r="V2" i="4"/>
  <c r="U2" i="4"/>
  <c r="T3" i="4" s="1"/>
  <c r="S4" i="4" s="1"/>
  <c r="R5" i="4" s="1"/>
  <c r="Q6" i="4" s="1"/>
  <c r="P7" i="4" s="1"/>
  <c r="O8" i="4" s="1"/>
  <c r="N9" i="4" s="1"/>
  <c r="M10" i="4" s="1"/>
  <c r="L11" i="4" s="1"/>
  <c r="K12" i="4" s="1"/>
  <c r="J13" i="4" s="1"/>
  <c r="I14" i="4" s="1"/>
  <c r="H15" i="4" s="1"/>
  <c r="G16" i="4" s="1"/>
  <c r="F17" i="4" s="1"/>
  <c r="E18" i="4" s="1"/>
  <c r="D19" i="4" s="1"/>
  <c r="C20" i="4" s="1"/>
  <c r="B21" i="4" s="1"/>
  <c r="AA22" i="4" s="1"/>
  <c r="Z23" i="4" s="1"/>
  <c r="Y24" i="4" s="1"/>
  <c r="X25" i="4" s="1"/>
  <c r="W26" i="4" s="1"/>
  <c r="V27" i="4" s="1"/>
  <c r="T2" i="4"/>
  <c r="S3" i="4" s="1"/>
  <c r="R4" i="4" s="1"/>
  <c r="Q5" i="4" s="1"/>
  <c r="P6" i="4" s="1"/>
  <c r="O7" i="4" s="1"/>
  <c r="N8" i="4" s="1"/>
  <c r="M9" i="4" s="1"/>
  <c r="L10" i="4" s="1"/>
  <c r="K11" i="4" s="1"/>
  <c r="J12" i="4" s="1"/>
  <c r="I13" i="4" s="1"/>
  <c r="H14" i="4" s="1"/>
  <c r="G15" i="4" s="1"/>
  <c r="F16" i="4" s="1"/>
  <c r="E17" i="4" s="1"/>
  <c r="D18" i="4" s="1"/>
  <c r="C19" i="4" s="1"/>
  <c r="B20" i="4" s="1"/>
  <c r="AA21" i="4" s="1"/>
  <c r="Z22" i="4" s="1"/>
  <c r="Y23" i="4" s="1"/>
  <c r="X24" i="4" s="1"/>
  <c r="W25" i="4" s="1"/>
  <c r="V26" i="4" s="1"/>
  <c r="U27" i="4" s="1"/>
  <c r="S2" i="4"/>
  <c r="R3" i="4" s="1"/>
  <c r="Q4" i="4" s="1"/>
  <c r="P5" i="4" s="1"/>
  <c r="O6" i="4" s="1"/>
  <c r="N7" i="4" s="1"/>
  <c r="M8" i="4" s="1"/>
  <c r="L9" i="4" s="1"/>
  <c r="K10" i="4" s="1"/>
  <c r="J11" i="4" s="1"/>
  <c r="I12" i="4" s="1"/>
  <c r="H13" i="4" s="1"/>
  <c r="G14" i="4" s="1"/>
  <c r="F15" i="4" s="1"/>
  <c r="E16" i="4" s="1"/>
  <c r="D17" i="4" s="1"/>
  <c r="C18" i="4" s="1"/>
  <c r="B19" i="4" s="1"/>
  <c r="AA20" i="4" s="1"/>
  <c r="Z21" i="4" s="1"/>
  <c r="Y22" i="4" s="1"/>
  <c r="X23" i="4" s="1"/>
  <c r="W24" i="4" s="1"/>
  <c r="V25" i="4" s="1"/>
  <c r="U26" i="4" s="1"/>
  <c r="T27" i="4" s="1"/>
  <c r="R2" i="4"/>
  <c r="Q3" i="4" s="1"/>
  <c r="P4" i="4" s="1"/>
  <c r="O5" i="4" s="1"/>
  <c r="N6" i="4" s="1"/>
  <c r="M7" i="4" s="1"/>
  <c r="L8" i="4" s="1"/>
  <c r="K9" i="4" s="1"/>
  <c r="J10" i="4" s="1"/>
  <c r="I11" i="4" s="1"/>
  <c r="H12" i="4" s="1"/>
  <c r="G13" i="4" s="1"/>
  <c r="F14" i="4" s="1"/>
  <c r="E15" i="4" s="1"/>
  <c r="D16" i="4" s="1"/>
  <c r="C17" i="4" s="1"/>
  <c r="B18" i="4" s="1"/>
  <c r="AA19" i="4" s="1"/>
  <c r="Z20" i="4" s="1"/>
  <c r="Y21" i="4" s="1"/>
  <c r="X22" i="4" s="1"/>
  <c r="W23" i="4" s="1"/>
  <c r="V24" i="4" s="1"/>
  <c r="U25" i="4" s="1"/>
  <c r="T26" i="4" s="1"/>
  <c r="S27" i="4" s="1"/>
  <c r="Q2" i="4"/>
  <c r="P3" i="4" s="1"/>
  <c r="O4" i="4" s="1"/>
  <c r="N5" i="4" s="1"/>
  <c r="M6" i="4" s="1"/>
  <c r="L7" i="4" s="1"/>
  <c r="K8" i="4" s="1"/>
  <c r="J9" i="4" s="1"/>
  <c r="I10" i="4" s="1"/>
  <c r="H11" i="4" s="1"/>
  <c r="G12" i="4" s="1"/>
  <c r="F13" i="4" s="1"/>
  <c r="E14" i="4" s="1"/>
  <c r="D15" i="4" s="1"/>
  <c r="C16" i="4" s="1"/>
  <c r="B17" i="4" s="1"/>
  <c r="AA18" i="4" s="1"/>
  <c r="Z19" i="4" s="1"/>
  <c r="Y20" i="4" s="1"/>
  <c r="X21" i="4" s="1"/>
  <c r="W22" i="4" s="1"/>
  <c r="V23" i="4" s="1"/>
  <c r="U24" i="4" s="1"/>
  <c r="T25" i="4" s="1"/>
  <c r="S26" i="4" s="1"/>
  <c r="R27" i="4" s="1"/>
  <c r="P2" i="4"/>
  <c r="O3" i="4" s="1"/>
  <c r="N4" i="4" s="1"/>
  <c r="M5" i="4" s="1"/>
  <c r="L6" i="4" s="1"/>
  <c r="K7" i="4" s="1"/>
  <c r="J8" i="4" s="1"/>
  <c r="I9" i="4" s="1"/>
  <c r="H10" i="4" s="1"/>
  <c r="G11" i="4" s="1"/>
  <c r="F12" i="4" s="1"/>
  <c r="E13" i="4" s="1"/>
  <c r="D14" i="4" s="1"/>
  <c r="C15" i="4" s="1"/>
  <c r="B16" i="4" s="1"/>
  <c r="AA17" i="4" s="1"/>
  <c r="Z18" i="4" s="1"/>
  <c r="Y19" i="4" s="1"/>
  <c r="X20" i="4" s="1"/>
  <c r="W21" i="4" s="1"/>
  <c r="V22" i="4" s="1"/>
  <c r="U23" i="4" s="1"/>
  <c r="T24" i="4" s="1"/>
  <c r="S25" i="4" s="1"/>
  <c r="R26" i="4" s="1"/>
  <c r="Q27" i="4" s="1"/>
  <c r="O2" i="4"/>
  <c r="N3" i="4" s="1"/>
  <c r="M4" i="4" s="1"/>
  <c r="L5" i="4" s="1"/>
  <c r="K6" i="4" s="1"/>
  <c r="J7" i="4" s="1"/>
  <c r="I8" i="4" s="1"/>
  <c r="H9" i="4" s="1"/>
  <c r="G10" i="4" s="1"/>
  <c r="F11" i="4" s="1"/>
  <c r="E12" i="4" s="1"/>
  <c r="D13" i="4" s="1"/>
  <c r="C14" i="4" s="1"/>
  <c r="B15" i="4" s="1"/>
  <c r="AA16" i="4" s="1"/>
  <c r="Z17" i="4" s="1"/>
  <c r="Y18" i="4" s="1"/>
  <c r="X19" i="4" s="1"/>
  <c r="W20" i="4" s="1"/>
  <c r="V21" i="4" s="1"/>
  <c r="U22" i="4" s="1"/>
  <c r="T23" i="4" s="1"/>
  <c r="S24" i="4" s="1"/>
  <c r="R25" i="4" s="1"/>
  <c r="Q26" i="4" s="1"/>
  <c r="P27" i="4" s="1"/>
  <c r="N2" i="4"/>
  <c r="M3" i="4" s="1"/>
  <c r="L4" i="4" s="1"/>
  <c r="K5" i="4" s="1"/>
  <c r="J6" i="4" s="1"/>
  <c r="I7" i="4" s="1"/>
  <c r="H8" i="4" s="1"/>
  <c r="G9" i="4" s="1"/>
  <c r="F10" i="4" s="1"/>
  <c r="E11" i="4" s="1"/>
  <c r="D12" i="4" s="1"/>
  <c r="C13" i="4" s="1"/>
  <c r="B14" i="4" s="1"/>
  <c r="AA15" i="4" s="1"/>
  <c r="Z16" i="4" s="1"/>
  <c r="Y17" i="4" s="1"/>
  <c r="X18" i="4" s="1"/>
  <c r="W19" i="4" s="1"/>
  <c r="V20" i="4" s="1"/>
  <c r="U21" i="4" s="1"/>
  <c r="T22" i="4" s="1"/>
  <c r="S23" i="4" s="1"/>
  <c r="R24" i="4" s="1"/>
  <c r="Q25" i="4" s="1"/>
  <c r="P26" i="4" s="1"/>
  <c r="O27" i="4" s="1"/>
  <c r="M2" i="4"/>
  <c r="L3" i="4" s="1"/>
  <c r="K4" i="4" s="1"/>
  <c r="J5" i="4" s="1"/>
  <c r="I6" i="4" s="1"/>
  <c r="H7" i="4" s="1"/>
  <c r="G8" i="4" s="1"/>
  <c r="F9" i="4" s="1"/>
  <c r="E10" i="4" s="1"/>
  <c r="D11" i="4" s="1"/>
  <c r="C12" i="4" s="1"/>
  <c r="B13" i="4" s="1"/>
  <c r="AA14" i="4" s="1"/>
  <c r="Z15" i="4" s="1"/>
  <c r="Y16" i="4" s="1"/>
  <c r="X17" i="4" s="1"/>
  <c r="W18" i="4" s="1"/>
  <c r="V19" i="4" s="1"/>
  <c r="U20" i="4" s="1"/>
  <c r="T21" i="4" s="1"/>
  <c r="S22" i="4" s="1"/>
  <c r="R23" i="4" s="1"/>
  <c r="Q24" i="4" s="1"/>
  <c r="P25" i="4" s="1"/>
  <c r="O26" i="4" s="1"/>
  <c r="N27" i="4" s="1"/>
  <c r="L2" i="4"/>
  <c r="K3" i="4" s="1"/>
  <c r="J4" i="4" s="1"/>
  <c r="I5" i="4" s="1"/>
  <c r="H6" i="4" s="1"/>
  <c r="G7" i="4" s="1"/>
  <c r="F8" i="4" s="1"/>
  <c r="E9" i="4" s="1"/>
  <c r="D10" i="4" s="1"/>
  <c r="C11" i="4" s="1"/>
  <c r="B12" i="4" s="1"/>
  <c r="AA13" i="4" s="1"/>
  <c r="Z14" i="4" s="1"/>
  <c r="Y15" i="4" s="1"/>
  <c r="X16" i="4" s="1"/>
  <c r="W17" i="4" s="1"/>
  <c r="V18" i="4" s="1"/>
  <c r="U19" i="4" s="1"/>
  <c r="T20" i="4" s="1"/>
  <c r="S21" i="4" s="1"/>
  <c r="R22" i="4" s="1"/>
  <c r="Q23" i="4" s="1"/>
  <c r="P24" i="4" s="1"/>
  <c r="O25" i="4" s="1"/>
  <c r="N26" i="4" s="1"/>
  <c r="M27" i="4" s="1"/>
  <c r="K2" i="4"/>
  <c r="J3" i="4" s="1"/>
  <c r="I4" i="4" s="1"/>
  <c r="H5" i="4" s="1"/>
  <c r="J2" i="4"/>
  <c r="I2" i="4"/>
  <c r="H3" i="4" s="1"/>
  <c r="G4" i="4" s="1"/>
  <c r="F5" i="4" s="1"/>
  <c r="E6" i="4" s="1"/>
  <c r="D7" i="4" s="1"/>
  <c r="C8" i="4" s="1"/>
  <c r="B9" i="4" s="1"/>
  <c r="AA10" i="4" s="1"/>
  <c r="Z11" i="4" s="1"/>
  <c r="Y12" i="4" s="1"/>
  <c r="X13" i="4" s="1"/>
  <c r="W14" i="4" s="1"/>
  <c r="V15" i="4" s="1"/>
  <c r="U16" i="4" s="1"/>
  <c r="T17" i="4" s="1"/>
  <c r="S18" i="4" s="1"/>
  <c r="R19" i="4" s="1"/>
  <c r="Q20" i="4" s="1"/>
  <c r="P21" i="4" s="1"/>
  <c r="O22" i="4" s="1"/>
  <c r="N23" i="4" s="1"/>
  <c r="M24" i="4" s="1"/>
  <c r="L25" i="4" s="1"/>
  <c r="K26" i="4" s="1"/>
  <c r="J27" i="4" s="1"/>
  <c r="H2" i="4"/>
  <c r="G3" i="4" s="1"/>
  <c r="F4" i="4" s="1"/>
  <c r="E5" i="4" s="1"/>
  <c r="D6" i="4" s="1"/>
  <c r="C7" i="4" s="1"/>
  <c r="B8" i="4" s="1"/>
  <c r="AA9" i="4" s="1"/>
  <c r="Z10" i="4" s="1"/>
  <c r="Y11" i="4" s="1"/>
  <c r="X12" i="4" s="1"/>
  <c r="W13" i="4" s="1"/>
  <c r="V14" i="4" s="1"/>
  <c r="U15" i="4" s="1"/>
  <c r="T16" i="4" s="1"/>
  <c r="S17" i="4" s="1"/>
  <c r="R18" i="4" s="1"/>
  <c r="Q19" i="4" s="1"/>
  <c r="P20" i="4" s="1"/>
  <c r="O21" i="4" s="1"/>
  <c r="N22" i="4" s="1"/>
  <c r="M23" i="4" s="1"/>
  <c r="L24" i="4" s="1"/>
  <c r="K25" i="4" s="1"/>
  <c r="J26" i="4" s="1"/>
  <c r="I27" i="4" s="1"/>
  <c r="G2" i="4"/>
  <c r="F3" i="4" s="1"/>
  <c r="E4" i="4" s="1"/>
  <c r="D5" i="4" s="1"/>
  <c r="C6" i="4" s="1"/>
  <c r="B7" i="4" s="1"/>
  <c r="AA8" i="4" s="1"/>
  <c r="Z9" i="4" s="1"/>
  <c r="Y10" i="4" s="1"/>
  <c r="X11" i="4" s="1"/>
  <c r="W12" i="4" s="1"/>
  <c r="V13" i="4" s="1"/>
  <c r="U14" i="4" s="1"/>
  <c r="T15" i="4" s="1"/>
  <c r="S16" i="4" s="1"/>
  <c r="R17" i="4" s="1"/>
  <c r="Q18" i="4" s="1"/>
  <c r="P19" i="4" s="1"/>
  <c r="O20" i="4" s="1"/>
  <c r="N21" i="4" s="1"/>
  <c r="M22" i="4" s="1"/>
  <c r="L23" i="4" s="1"/>
  <c r="K24" i="4" s="1"/>
  <c r="J25" i="4" s="1"/>
  <c r="I26" i="4" s="1"/>
  <c r="H27" i="4" s="1"/>
  <c r="F2" i="4"/>
  <c r="E2" i="4"/>
  <c r="D3" i="4" s="1"/>
  <c r="C4" i="4" s="1"/>
  <c r="B5" i="4" s="1"/>
  <c r="AA6" i="4" s="1"/>
  <c r="Z7" i="4" s="1"/>
  <c r="Y8" i="4" s="1"/>
  <c r="X9" i="4" s="1"/>
  <c r="W10" i="4" s="1"/>
  <c r="V11" i="4" s="1"/>
  <c r="U12" i="4" s="1"/>
  <c r="T13" i="4" s="1"/>
  <c r="S14" i="4" s="1"/>
  <c r="R15" i="4" s="1"/>
  <c r="Q16" i="4" s="1"/>
  <c r="P17" i="4" s="1"/>
  <c r="O18" i="4" s="1"/>
  <c r="N19" i="4" s="1"/>
  <c r="M20" i="4" s="1"/>
  <c r="L21" i="4" s="1"/>
  <c r="K22" i="4" s="1"/>
  <c r="J23" i="4" s="1"/>
  <c r="I24" i="4" s="1"/>
  <c r="H25" i="4" s="1"/>
  <c r="G26" i="4" s="1"/>
  <c r="F27" i="4" s="1"/>
  <c r="D2" i="4"/>
  <c r="C3" i="4" s="1"/>
  <c r="B4" i="4" s="1"/>
  <c r="AA5" i="4" s="1"/>
  <c r="Z6" i="4" s="1"/>
  <c r="Y7" i="4" s="1"/>
  <c r="X8" i="4" s="1"/>
  <c r="W9" i="4" s="1"/>
  <c r="V10" i="4" s="1"/>
  <c r="U11" i="4" s="1"/>
  <c r="T12" i="4" s="1"/>
  <c r="S13" i="4" s="1"/>
  <c r="R14" i="4" s="1"/>
  <c r="Q15" i="4" s="1"/>
  <c r="P16" i="4" s="1"/>
  <c r="O17" i="4" s="1"/>
  <c r="N18" i="4" s="1"/>
  <c r="M19" i="4" s="1"/>
  <c r="L20" i="4" s="1"/>
  <c r="K21" i="4" s="1"/>
  <c r="J22" i="4" s="1"/>
  <c r="I23" i="4" s="1"/>
  <c r="H24" i="4" s="1"/>
  <c r="G25" i="4" s="1"/>
  <c r="F26" i="4" s="1"/>
  <c r="E27" i="4" s="1"/>
  <c r="C2" i="4"/>
  <c r="B3" i="4" s="1"/>
  <c r="AA4" i="4" s="1"/>
  <c r="Z5" i="4" s="1"/>
  <c r="Y6" i="4" s="1"/>
  <c r="X7" i="4" s="1"/>
  <c r="W8" i="4" s="1"/>
  <c r="V9" i="4" s="1"/>
  <c r="U10" i="4" s="1"/>
  <c r="T11" i="4" s="1"/>
  <c r="S12" i="4" s="1"/>
  <c r="R13" i="4" s="1"/>
  <c r="Q14" i="4" s="1"/>
  <c r="P15" i="4" s="1"/>
  <c r="O16" i="4" s="1"/>
  <c r="N17" i="4" s="1"/>
  <c r="M18" i="4" s="1"/>
  <c r="L19" i="4" s="1"/>
  <c r="K20" i="4" s="1"/>
  <c r="J21" i="4" s="1"/>
  <c r="I22" i="4" s="1"/>
  <c r="H23" i="4" s="1"/>
  <c r="G24" i="4" s="1"/>
  <c r="F25" i="4" s="1"/>
  <c r="E26" i="4" s="1"/>
  <c r="D27" i="4" s="1"/>
  <c r="B2" i="4"/>
  <c r="AA3" i="4" s="1"/>
  <c r="Z4" i="4" s="1"/>
  <c r="Y5" i="4" s="1"/>
  <c r="X6" i="4" s="1"/>
  <c r="W7" i="4" s="1"/>
  <c r="V8" i="4" s="1"/>
  <c r="U9" i="4" s="1"/>
  <c r="T10" i="4" s="1"/>
  <c r="S11" i="4" s="1"/>
  <c r="R12" i="4" s="1"/>
  <c r="Q13" i="4" s="1"/>
  <c r="P14" i="4" s="1"/>
  <c r="O15" i="4" s="1"/>
  <c r="N16" i="4" s="1"/>
  <c r="M17" i="4" s="1"/>
  <c r="L18" i="4" s="1"/>
  <c r="K19" i="4" s="1"/>
  <c r="J20" i="4" s="1"/>
  <c r="I21" i="4" s="1"/>
  <c r="H22" i="4" s="1"/>
  <c r="G23" i="4" s="1"/>
  <c r="F24" i="4" s="1"/>
  <c r="E25" i="4" s="1"/>
  <c r="D26" i="4" s="1"/>
  <c r="C27" i="4" s="1"/>
  <c r="G19" i="1" a="1"/>
  <c r="G19" i="1" s="1"/>
  <c r="C14" i="2"/>
  <c r="C27" i="2"/>
  <c r="C14" i="1"/>
  <c r="E43" i="1" l="1"/>
  <c r="E47" i="1"/>
  <c r="E51" i="1"/>
  <c r="E44" i="1"/>
  <c r="E48" i="1"/>
  <c r="E52" i="1"/>
  <c r="E45" i="1"/>
  <c r="E49" i="1"/>
  <c r="E46" i="1"/>
  <c r="E50" i="1"/>
  <c r="E27" i="1"/>
  <c r="E31" i="1"/>
  <c r="E35" i="1"/>
  <c r="E39" i="1"/>
  <c r="E28" i="1"/>
  <c r="E32" i="1"/>
  <c r="E36" i="1"/>
  <c r="E40" i="1"/>
  <c r="E26" i="1"/>
  <c r="E38" i="1"/>
  <c r="E25" i="1"/>
  <c r="E29" i="1"/>
  <c r="E33" i="1"/>
  <c r="E37" i="1"/>
  <c r="E41" i="1"/>
  <c r="E30" i="1"/>
  <c r="E34" i="1"/>
  <c r="E42" i="1"/>
  <c r="E23" i="1"/>
  <c r="E24" i="1"/>
  <c r="D27" i="2"/>
  <c r="D23" i="1" l="1"/>
  <c r="D24" i="1" l="1" a="1"/>
  <c r="D24" i="1" s="1"/>
  <c r="D25" i="1" s="1" a="1"/>
  <c r="D25" i="1" s="1"/>
  <c r="D26" i="1" l="1" a="1"/>
  <c r="D26" i="1" s="1"/>
  <c r="D27" i="1" l="1" a="1"/>
  <c r="D27" i="1" s="1"/>
  <c r="D28" i="1" l="1" a="1"/>
  <c r="D28" i="1" s="1"/>
  <c r="D29" i="1" l="1" a="1"/>
  <c r="D29" i="1" s="1"/>
  <c r="D30" i="1" l="1" a="1"/>
  <c r="D30" i="1" s="1"/>
  <c r="D31" i="1" l="1" a="1"/>
  <c r="D31" i="1" s="1"/>
  <c r="D32" i="1" l="1" a="1"/>
  <c r="D32" i="1" s="1"/>
  <c r="D33" i="1" l="1" a="1"/>
  <c r="D33" i="1" s="1"/>
  <c r="D34" i="1" s="1" a="1"/>
  <c r="D34" i="1" s="1"/>
  <c r="D35" i="1" l="1" a="1"/>
  <c r="D35" i="1" s="1"/>
  <c r="D36" i="1" s="1" a="1"/>
  <c r="D36" i="1" s="1"/>
  <c r="D37" i="1" s="1" a="1"/>
  <c r="D37" i="1" s="1"/>
  <c r="D38" i="1" s="1" a="1"/>
  <c r="D38" i="1" s="1"/>
  <c r="D39" i="1" s="1" a="1"/>
  <c r="D39" i="1" s="1"/>
  <c r="D40" i="1" s="1" a="1"/>
  <c r="D40" i="1" s="1"/>
  <c r="D41" i="1" s="1" a="1"/>
  <c r="D41" i="1" s="1"/>
  <c r="D42" i="1" s="1" a="1"/>
  <c r="D42" i="1" s="1"/>
  <c r="D43" i="1" l="1" a="1"/>
  <c r="D43" i="1" s="1"/>
  <c r="D44" i="1" s="1" a="1"/>
  <c r="D44" i="1" s="1"/>
  <c r="D45" i="1" s="1" a="1"/>
  <c r="D45" i="1" s="1"/>
  <c r="D46" i="1" s="1" a="1"/>
  <c r="D46" i="1" s="1"/>
  <c r="D47" i="1" s="1" a="1"/>
  <c r="D47" i="1" s="1"/>
  <c r="D48" i="1" s="1" a="1"/>
  <c r="D48" i="1" s="1"/>
  <c r="D49" i="1" s="1" a="1"/>
  <c r="D49" i="1" s="1"/>
  <c r="D50" i="1" s="1" a="1"/>
  <c r="D50" i="1" s="1"/>
  <c r="D51" i="1" s="1" a="1"/>
  <c r="D51" i="1" s="1"/>
  <c r="D52" i="1" s="1" a="1"/>
  <c r="D52" i="1" s="1"/>
  <c r="D53" i="1" s="1" a="1"/>
  <c r="D53" i="1" s="1"/>
  <c r="D54" i="1" s="1" a="1"/>
  <c r="D54" i="1" s="1"/>
  <c r="D55" i="1" s="1" a="1"/>
  <c r="D55" i="1" s="1"/>
  <c r="D56" i="1" s="1" a="1"/>
  <c r="D56" i="1" s="1"/>
  <c r="D57" i="1" s="1" a="1"/>
  <c r="D57" i="1" s="1"/>
  <c r="D58" i="1" s="1" a="1"/>
  <c r="D58" i="1" s="1"/>
  <c r="D59" i="1" s="1" a="1"/>
  <c r="D59" i="1" s="1"/>
  <c r="D60" i="1" s="1" a="1"/>
  <c r="D60" i="1" s="1"/>
  <c r="D61" i="1" s="1" a="1"/>
  <c r="D61" i="1" s="1"/>
  <c r="D62" i="1" s="1" a="1"/>
  <c r="D62" i="1" s="1"/>
  <c r="D63" i="1" s="1" a="1"/>
  <c r="D63" i="1" s="1"/>
  <c r="D64" i="1" s="1" a="1"/>
  <c r="D64" i="1" s="1"/>
  <c r="D65" i="1" s="1" a="1"/>
  <c r="D65" i="1" s="1"/>
  <c r="D66" i="1" s="1" a="1"/>
  <c r="D66" i="1" s="1"/>
  <c r="D67" i="1" s="1" a="1"/>
  <c r="D67" i="1" s="1"/>
  <c r="D68" i="1" s="1" a="1"/>
  <c r="D68" i="1" s="1"/>
  <c r="D69" i="1" s="1" a="1"/>
  <c r="D69" i="1" s="1"/>
  <c r="D70" i="1" s="1" a="1"/>
  <c r="D70" i="1" s="1"/>
  <c r="D71" i="1" s="1" a="1"/>
  <c r="D71" i="1" s="1"/>
  <c r="D72" i="1" s="1" a="1"/>
  <c r="D72" i="1" s="1"/>
  <c r="D73" i="1" s="1" a="1"/>
  <c r="D73" i="1" s="1"/>
  <c r="D74" i="1" s="1" a="1"/>
  <c r="D74" i="1" s="1"/>
  <c r="D75" i="1" s="1" a="1"/>
  <c r="D75" i="1" s="1"/>
  <c r="D76" i="1" s="1" a="1"/>
  <c r="D76" i="1" s="1"/>
  <c r="D77" i="1" s="1" a="1"/>
  <c r="D77" i="1" s="1"/>
  <c r="D78" i="1" s="1" a="1"/>
  <c r="D78" i="1" s="1"/>
  <c r="D79" i="1" s="1" a="1"/>
  <c r="D79" i="1" s="1"/>
  <c r="D80" i="1" s="1" a="1"/>
  <c r="D80" i="1" s="1"/>
  <c r="D81" i="1" s="1" a="1"/>
  <c r="D81" i="1" s="1"/>
  <c r="D82" i="1" s="1" a="1"/>
  <c r="D82" i="1" s="1"/>
  <c r="D83" i="1" s="1" a="1"/>
  <c r="D83" i="1" s="1"/>
  <c r="D84" i="1" s="1" a="1"/>
  <c r="D84" i="1" s="1"/>
  <c r="D85" i="1" s="1" a="1"/>
  <c r="D85" i="1" s="1"/>
  <c r="D86" i="1" s="1" a="1"/>
  <c r="D86" i="1" s="1"/>
  <c r="D87" i="1" s="1" a="1"/>
  <c r="D87" i="1" s="1"/>
  <c r="D88" i="1" s="1" a="1"/>
  <c r="D88" i="1" s="1"/>
  <c r="D89" i="1" s="1" a="1"/>
  <c r="D89" i="1" s="1"/>
  <c r="D90" i="1" s="1" a="1"/>
  <c r="D90" i="1" s="1"/>
  <c r="D91" i="1" s="1" a="1"/>
  <c r="D91" i="1" s="1"/>
  <c r="D92" i="1" s="1" a="1"/>
  <c r="D92" i="1" s="1"/>
  <c r="D93" i="1" s="1" a="1"/>
  <c r="D93" i="1" s="1"/>
  <c r="D94" i="1" s="1" a="1"/>
  <c r="D94" i="1" s="1"/>
  <c r="D95" i="1" s="1" a="1"/>
  <c r="D95" i="1" s="1"/>
  <c r="D96" i="1" s="1" a="1"/>
  <c r="D96" i="1" s="1"/>
  <c r="D97" i="1" s="1" a="1"/>
  <c r="D97" i="1" s="1"/>
  <c r="D98" i="1" s="1" a="1"/>
  <c r="D98" i="1" s="1"/>
  <c r="D99" i="1" s="1" a="1"/>
  <c r="D99" i="1" s="1"/>
  <c r="D100" i="1" s="1" a="1"/>
  <c r="D100" i="1" s="1"/>
  <c r="D101" i="1" s="1" a="1"/>
  <c r="D101" i="1" s="1"/>
  <c r="D102" i="1" s="1" a="1"/>
  <c r="D102" i="1" s="1"/>
  <c r="D103" i="1" s="1" a="1"/>
  <c r="D103" i="1" s="1"/>
  <c r="D104" i="1" s="1" a="1"/>
  <c r="D104" i="1" s="1"/>
  <c r="D105" i="1" s="1" a="1"/>
  <c r="D105" i="1" s="1"/>
  <c r="D106" i="1" s="1" a="1"/>
  <c r="D106" i="1" s="1"/>
  <c r="D107" i="1" s="1" a="1"/>
  <c r="D107" i="1" s="1"/>
  <c r="D108" i="1" s="1" a="1"/>
  <c r="D108" i="1" s="1"/>
  <c r="D109" i="1" s="1" a="1"/>
  <c r="D109" i="1" s="1"/>
  <c r="D110" i="1" s="1" a="1"/>
  <c r="D110" i="1" s="1"/>
  <c r="D111" i="1" s="1" a="1"/>
  <c r="D111" i="1" s="1"/>
  <c r="D112" i="1" s="1" a="1"/>
  <c r="D112" i="1" s="1"/>
  <c r="D113" i="1" s="1" a="1"/>
  <c r="D113" i="1" s="1"/>
  <c r="D114" i="1" s="1" a="1"/>
  <c r="D114" i="1" s="1"/>
  <c r="D115" i="1" s="1" a="1"/>
  <c r="D115" i="1" s="1"/>
  <c r="D116" i="1" s="1" a="1"/>
  <c r="D116" i="1" s="1"/>
  <c r="D117" i="1" s="1" a="1"/>
  <c r="D117" i="1" s="1"/>
  <c r="D118" i="1" s="1" a="1"/>
  <c r="D118" i="1" s="1"/>
  <c r="D119" i="1" s="1" a="1"/>
  <c r="D119" i="1" s="1"/>
  <c r="D120" i="1" s="1" a="1"/>
  <c r="D120" i="1" s="1"/>
  <c r="D121" i="1" s="1" a="1"/>
  <c r="D121" i="1" s="1"/>
  <c r="D122" i="1" s="1" a="1"/>
  <c r="D122" i="1" s="1"/>
  <c r="D123" i="1" s="1" a="1"/>
  <c r="D123" i="1" s="1"/>
  <c r="D124" i="1" s="1" a="1"/>
  <c r="D124" i="1" s="1"/>
  <c r="D125" i="1" s="1" a="1"/>
  <c r="D125" i="1" s="1"/>
  <c r="D126" i="1" s="1" a="1"/>
  <c r="D126" i="1" s="1"/>
  <c r="D127" i="1" s="1" a="1"/>
  <c r="D127" i="1" s="1"/>
  <c r="D128" i="1" s="1" a="1"/>
  <c r="D128" i="1" s="1"/>
  <c r="D129" i="1" s="1" a="1"/>
  <c r="D129" i="1" s="1"/>
  <c r="D130" i="1" s="1" a="1"/>
  <c r="D130" i="1" s="1"/>
  <c r="D131" i="1" s="1" a="1"/>
  <c r="D131" i="1" s="1"/>
  <c r="D132" i="1" s="1" a="1"/>
  <c r="D132" i="1" s="1"/>
  <c r="D133" i="1" s="1" a="1"/>
  <c r="D133" i="1" s="1"/>
  <c r="D134" i="1" s="1" a="1"/>
  <c r="D134" i="1" s="1"/>
  <c r="D135" i="1" s="1" a="1"/>
  <c r="D135" i="1" s="1"/>
  <c r="D136" i="1" s="1" a="1"/>
  <c r="D136" i="1" s="1"/>
  <c r="D137" i="1" s="1" a="1"/>
  <c r="D137" i="1" s="1"/>
  <c r="D138" i="1" s="1" a="1"/>
  <c r="D138" i="1" s="1"/>
  <c r="D139" i="1" s="1" a="1"/>
  <c r="D139" i="1" s="1"/>
  <c r="D140" i="1" s="1" a="1"/>
  <c r="D140" i="1" s="1"/>
  <c r="D141" i="1" s="1" a="1"/>
  <c r="D141" i="1" s="1"/>
  <c r="D142" i="1" s="1" a="1"/>
  <c r="D142" i="1" s="1"/>
  <c r="D143" i="1" s="1" a="1"/>
  <c r="D143" i="1" s="1"/>
  <c r="D144" i="1" s="1" a="1"/>
  <c r="D144" i="1" s="1"/>
  <c r="D145" i="1" s="1" a="1"/>
  <c r="D145" i="1" s="1"/>
  <c r="D146" i="1" s="1" a="1"/>
  <c r="D146" i="1" s="1"/>
  <c r="D147" i="1" s="1" a="1"/>
  <c r="D147" i="1" s="1"/>
  <c r="D148" i="1" s="1" a="1"/>
  <c r="D148" i="1" s="1"/>
  <c r="D149" i="1" s="1" a="1"/>
  <c r="D149" i="1" s="1"/>
  <c r="D150" i="1" s="1" a="1"/>
  <c r="D150" i="1" s="1"/>
  <c r="D151" i="1" s="1" a="1"/>
  <c r="D151" i="1" s="1"/>
  <c r="D152" i="1" s="1" a="1"/>
  <c r="D152" i="1" s="1"/>
  <c r="D153" i="1" s="1" a="1"/>
  <c r="D153" i="1" s="1"/>
  <c r="D154" i="1" s="1" a="1"/>
  <c r="D154" i="1" s="1"/>
  <c r="D155" i="1" s="1" a="1"/>
  <c r="D155" i="1" s="1"/>
  <c r="D156" i="1" s="1" a="1"/>
  <c r="D156" i="1" s="1"/>
  <c r="D157" i="1" s="1" a="1"/>
  <c r="D157" i="1" s="1"/>
  <c r="D158" i="1" s="1" a="1"/>
  <c r="D158" i="1" s="1"/>
  <c r="D159" i="1" s="1" a="1"/>
  <c r="D159" i="1" s="1"/>
  <c r="D160" i="1" s="1" a="1"/>
  <c r="D160" i="1" s="1"/>
  <c r="D161" i="1" s="1" a="1"/>
  <c r="D161" i="1" s="1"/>
  <c r="D162" i="1" s="1" a="1"/>
  <c r="D162" i="1" s="1"/>
  <c r="D163" i="1" s="1" a="1"/>
  <c r="D163" i="1" s="1"/>
  <c r="D164" i="1" s="1" a="1"/>
  <c r="D164" i="1" s="1"/>
  <c r="D165" i="1" s="1" a="1"/>
  <c r="D165" i="1" s="1"/>
  <c r="D166" i="1" s="1" a="1"/>
  <c r="D166" i="1" s="1"/>
  <c r="D167" i="1" s="1" a="1"/>
  <c r="D167" i="1" s="1"/>
  <c r="D168" i="1" s="1" a="1"/>
  <c r="D168" i="1" s="1"/>
  <c r="D169" i="1" s="1" a="1"/>
  <c r="D169" i="1" s="1"/>
  <c r="D170" i="1" s="1" a="1"/>
  <c r="D170" i="1" s="1"/>
  <c r="D171" i="1" s="1" a="1"/>
  <c r="D171" i="1" s="1"/>
  <c r="D172" i="1" s="1" a="1"/>
  <c r="D172" i="1" s="1"/>
  <c r="D173" i="1" s="1" a="1"/>
  <c r="D173" i="1" s="1"/>
  <c r="D174" i="1" s="1" a="1"/>
  <c r="D174" i="1" s="1"/>
  <c r="D175" i="1" s="1" a="1"/>
  <c r="D175" i="1" s="1"/>
  <c r="D176" i="1" s="1" a="1"/>
  <c r="D176" i="1" s="1"/>
  <c r="D177" i="1" s="1" a="1"/>
  <c r="D177" i="1" s="1"/>
  <c r="D178" i="1" s="1" a="1"/>
  <c r="D178" i="1" s="1"/>
  <c r="D179" i="1" s="1" a="1"/>
  <c r="D179" i="1" s="1"/>
  <c r="D180" i="1" s="1" a="1"/>
  <c r="D180" i="1" s="1"/>
  <c r="D181" i="1" s="1" a="1"/>
  <c r="D181" i="1" s="1"/>
  <c r="D182" i="1" s="1" a="1"/>
  <c r="D182" i="1" s="1"/>
  <c r="D183" i="1" s="1" a="1"/>
  <c r="D183" i="1" s="1"/>
  <c r="D184" i="1" s="1" a="1"/>
  <c r="D184" i="1" s="1"/>
  <c r="D185" i="1" s="1" a="1"/>
  <c r="D185" i="1" s="1"/>
  <c r="D186" i="1" s="1" a="1"/>
  <c r="D186" i="1" s="1"/>
  <c r="D187" i="1" s="1" a="1"/>
  <c r="D187" i="1" s="1"/>
  <c r="D188" i="1" s="1" a="1"/>
  <c r="D188" i="1" s="1"/>
  <c r="D189" i="1" s="1" a="1"/>
  <c r="D189" i="1" s="1"/>
  <c r="D190" i="1" s="1" a="1"/>
  <c r="D190" i="1" s="1"/>
  <c r="D191" i="1" s="1" a="1"/>
  <c r="D191" i="1" s="1"/>
  <c r="D192" i="1" s="1" a="1"/>
  <c r="D192" i="1" s="1"/>
  <c r="D193" i="1" s="1" a="1"/>
  <c r="D193" i="1" s="1"/>
  <c r="D194" i="1" s="1" a="1"/>
  <c r="D194" i="1" s="1"/>
  <c r="D195" i="1" s="1" a="1"/>
  <c r="D195" i="1" s="1"/>
  <c r="D196" i="1" s="1" a="1"/>
  <c r="D196" i="1" s="1"/>
  <c r="D197" i="1" s="1" a="1"/>
  <c r="D197" i="1" s="1"/>
  <c r="D198" i="1" s="1" a="1"/>
  <c r="D198" i="1" s="1"/>
  <c r="D199" i="1" s="1" a="1"/>
  <c r="D199" i="1" s="1"/>
  <c r="D200" i="1" s="1" a="1"/>
  <c r="D200" i="1" s="1"/>
  <c r="D201" i="1" s="1" a="1"/>
  <c r="D201" i="1" s="1"/>
  <c r="D202" i="1" s="1" a="1"/>
  <c r="D202" i="1" s="1"/>
  <c r="D203" i="1" s="1" a="1"/>
  <c r="D203" i="1" s="1"/>
  <c r="D204" i="1" s="1" a="1"/>
  <c r="D204" i="1" s="1"/>
  <c r="D205" i="1" s="1" a="1"/>
  <c r="D205" i="1" s="1"/>
  <c r="D206" i="1" s="1" a="1"/>
  <c r="D206" i="1" s="1"/>
  <c r="D207" i="1" s="1" a="1"/>
  <c r="D207" i="1" s="1"/>
  <c r="D208" i="1" s="1" a="1"/>
  <c r="D208" i="1" s="1"/>
  <c r="D209" i="1" s="1" a="1"/>
  <c r="D209" i="1" s="1"/>
  <c r="D210" i="1" s="1" a="1"/>
  <c r="D210" i="1" s="1"/>
  <c r="D211" i="1" s="1" a="1"/>
  <c r="D211" i="1" s="1"/>
  <c r="D212" i="1" s="1" a="1"/>
  <c r="D212" i="1" s="1"/>
  <c r="D213" i="1" s="1" a="1"/>
  <c r="D213" i="1" s="1"/>
  <c r="D214" i="1" s="1" a="1"/>
  <c r="D214" i="1" s="1"/>
  <c r="D215" i="1" s="1" a="1"/>
  <c r="D215" i="1" s="1"/>
  <c r="D216" i="1" s="1" a="1"/>
  <c r="D216" i="1" s="1"/>
  <c r="D217" i="1" s="1" a="1"/>
  <c r="D217" i="1" s="1"/>
  <c r="D218" i="1" s="1" a="1"/>
  <c r="D218" i="1" s="1"/>
  <c r="D219" i="1" s="1" a="1"/>
  <c r="D219" i="1" s="1"/>
  <c r="D220" i="1" s="1" a="1"/>
  <c r="D220" i="1" s="1"/>
  <c r="D221" i="1" s="1" a="1"/>
  <c r="D221" i="1" s="1"/>
  <c r="D222" i="1" s="1" a="1"/>
  <c r="D222" i="1" s="1"/>
  <c r="D223" i="1" s="1" a="1"/>
  <c r="D223" i="1" s="1"/>
  <c r="D224" i="1" s="1" a="1"/>
  <c r="D224" i="1" s="1"/>
  <c r="D225" i="1" s="1" a="1"/>
  <c r="D225" i="1" s="1"/>
  <c r="D226" i="1" s="1" a="1"/>
  <c r="D226" i="1" s="1"/>
  <c r="D227" i="1" s="1" a="1"/>
  <c r="D227" i="1" s="1"/>
  <c r="D228" i="1" s="1" a="1"/>
  <c r="D228" i="1" s="1"/>
  <c r="D229" i="1" s="1" a="1"/>
  <c r="D229" i="1" s="1"/>
  <c r="D230" i="1" s="1" a="1"/>
  <c r="D230" i="1" s="1"/>
  <c r="D231" i="1" s="1" a="1"/>
  <c r="D231" i="1" s="1"/>
  <c r="D232" i="1" s="1" a="1"/>
  <c r="D232" i="1" s="1"/>
  <c r="D233" i="1" s="1" a="1"/>
  <c r="D233" i="1" s="1"/>
  <c r="D234" i="1" s="1" a="1"/>
  <c r="D234" i="1" s="1"/>
  <c r="D235" i="1" s="1" a="1"/>
  <c r="D235" i="1" s="1"/>
  <c r="D236" i="1" s="1" a="1"/>
  <c r="D236" i="1" s="1"/>
  <c r="D237" i="1" s="1" a="1"/>
  <c r="D237" i="1" s="1"/>
  <c r="D238" i="1" s="1" a="1"/>
  <c r="D238" i="1" s="1"/>
  <c r="D239" i="1" s="1" a="1"/>
  <c r="D239" i="1" s="1"/>
  <c r="D240" i="1" s="1" a="1"/>
  <c r="D240" i="1" s="1"/>
  <c r="D241" i="1" s="1" a="1"/>
  <c r="D241" i="1" s="1"/>
  <c r="D242" i="1" s="1" a="1"/>
  <c r="D242" i="1" s="1"/>
  <c r="D243" i="1" s="1" a="1"/>
  <c r="D243" i="1" s="1"/>
  <c r="D244" i="1" s="1" a="1"/>
  <c r="D244" i="1" s="1"/>
  <c r="D245" i="1" s="1" a="1"/>
  <c r="D245" i="1" s="1"/>
  <c r="D246" i="1" s="1" a="1"/>
  <c r="D246" i="1" s="1"/>
  <c r="D247" i="1" s="1" a="1"/>
  <c r="D247" i="1" s="1"/>
  <c r="D248" i="1" s="1" a="1"/>
  <c r="D248" i="1" s="1"/>
  <c r="D249" i="1" s="1" a="1"/>
  <c r="D249" i="1" s="1"/>
  <c r="D250" i="1" s="1" a="1"/>
  <c r="D250" i="1" s="1"/>
  <c r="D251" i="1" s="1" a="1"/>
  <c r="D251" i="1" s="1"/>
  <c r="D252" i="1" s="1" a="1"/>
  <c r="D252" i="1" s="1"/>
  <c r="D253" i="1" s="1" a="1"/>
  <c r="D253" i="1" s="1"/>
  <c r="D254" i="1" s="1" a="1"/>
  <c r="D254" i="1" s="1"/>
  <c r="D255" i="1" s="1" a="1"/>
  <c r="D255" i="1" s="1"/>
  <c r="D256" i="1" s="1" a="1"/>
  <c r="D256" i="1" s="1"/>
  <c r="D257" i="1" s="1" a="1"/>
  <c r="D257" i="1" s="1"/>
  <c r="D258" i="1" s="1" a="1"/>
  <c r="D258" i="1" s="1"/>
  <c r="D259" i="1" s="1" a="1"/>
  <c r="D259" i="1" s="1"/>
  <c r="D260" i="1" s="1" a="1"/>
  <c r="D260" i="1" s="1"/>
  <c r="D261" i="1" s="1" a="1"/>
  <c r="D261" i="1" s="1"/>
  <c r="D262" i="1" s="1" a="1"/>
  <c r="D262" i="1" s="1"/>
  <c r="D263" i="1" s="1" a="1"/>
  <c r="D263" i="1" s="1"/>
  <c r="D264" i="1" s="1" a="1"/>
  <c r="D264" i="1" s="1"/>
  <c r="D265" i="1" s="1" a="1"/>
  <c r="D265" i="1" s="1"/>
  <c r="D266" i="1" s="1" a="1"/>
  <c r="D266" i="1" s="1"/>
  <c r="D267" i="1" s="1" a="1"/>
  <c r="D267" i="1" s="1"/>
  <c r="D268" i="1" s="1" a="1"/>
  <c r="D268" i="1" s="1"/>
  <c r="D269" i="1" s="1" a="1"/>
  <c r="D269" i="1" s="1"/>
  <c r="D270" i="1" s="1" a="1"/>
  <c r="D270" i="1" s="1"/>
  <c r="D271" i="1" s="1" a="1"/>
  <c r="D271" i="1" s="1"/>
  <c r="D272" i="1" s="1" a="1"/>
  <c r="D272" i="1" s="1"/>
  <c r="D273" i="1" s="1" a="1"/>
  <c r="D273" i="1" s="1"/>
  <c r="D274" i="1" s="1" a="1"/>
  <c r="D274" i="1" s="1"/>
  <c r="D275" i="1" s="1" a="1"/>
  <c r="D275" i="1" s="1"/>
  <c r="D276" i="1" s="1" a="1"/>
  <c r="D276" i="1" s="1"/>
  <c r="D277" i="1" s="1" a="1"/>
  <c r="D277" i="1" s="1"/>
  <c r="D278" i="1" s="1" a="1"/>
  <c r="D278" i="1" s="1"/>
  <c r="D279" i="1" s="1" a="1"/>
  <c r="D279" i="1" s="1"/>
  <c r="D280" i="1" s="1" a="1"/>
  <c r="D280" i="1" s="1"/>
  <c r="D281" i="1" s="1" a="1"/>
  <c r="D281" i="1" s="1"/>
  <c r="D282" i="1" s="1" a="1"/>
  <c r="D282" i="1" s="1"/>
  <c r="D283" i="1" s="1" a="1"/>
  <c r="D283" i="1" s="1"/>
  <c r="D284" i="1" s="1" a="1"/>
  <c r="D284" i="1" s="1"/>
  <c r="D285" i="1" s="1" a="1"/>
  <c r="D285" i="1" s="1"/>
  <c r="D286" i="1" s="1" a="1"/>
  <c r="D286" i="1" s="1"/>
  <c r="D287" i="1" s="1" a="1"/>
  <c r="D287" i="1" s="1"/>
  <c r="D288" i="1" s="1" a="1"/>
  <c r="D288" i="1" s="1"/>
  <c r="D289" i="1" s="1" a="1"/>
  <c r="D289" i="1" s="1"/>
  <c r="D290" i="1" s="1" a="1"/>
  <c r="D290" i="1" s="1"/>
  <c r="D291" i="1" s="1" a="1"/>
  <c r="D291" i="1" s="1"/>
  <c r="D292" i="1" s="1" a="1"/>
  <c r="D292" i="1" s="1"/>
  <c r="D293" i="1" s="1" a="1"/>
  <c r="D293" i="1" s="1"/>
  <c r="D294" i="1" s="1" a="1"/>
  <c r="D294" i="1" s="1"/>
  <c r="D295" i="1" s="1" a="1"/>
  <c r="D295" i="1" s="1"/>
  <c r="D296" i="1" s="1" a="1"/>
  <c r="D296" i="1" s="1"/>
  <c r="D297" i="1" s="1" a="1"/>
  <c r="D297" i="1" s="1"/>
  <c r="D298" i="1" s="1" a="1"/>
  <c r="D298" i="1" s="1"/>
  <c r="D299" i="1" s="1" a="1"/>
  <c r="D299" i="1" s="1"/>
  <c r="D300" i="1" s="1" a="1"/>
  <c r="D300" i="1" s="1"/>
  <c r="D301" i="1" s="1" a="1"/>
  <c r="D301" i="1" s="1"/>
  <c r="D302" i="1" s="1" a="1"/>
  <c r="D302" i="1" s="1"/>
  <c r="D303" i="1" s="1" a="1"/>
  <c r="D303" i="1" s="1"/>
  <c r="D304" i="1" s="1" a="1"/>
  <c r="D304" i="1" s="1"/>
  <c r="D305" i="1" s="1" a="1"/>
  <c r="D305" i="1" s="1"/>
  <c r="D306" i="1" s="1" a="1"/>
  <c r="D306" i="1" s="1"/>
  <c r="D307" i="1" s="1" a="1"/>
  <c r="D307" i="1" s="1"/>
  <c r="D308" i="1" s="1" a="1"/>
  <c r="D308" i="1" s="1"/>
  <c r="D309" i="1" s="1" a="1"/>
  <c r="D309" i="1" s="1"/>
  <c r="D310" i="1" s="1" a="1"/>
  <c r="D310" i="1" s="1"/>
  <c r="D311" i="1" s="1" a="1"/>
  <c r="D311" i="1" s="1"/>
  <c r="D312" i="1" s="1" a="1"/>
  <c r="D312" i="1" s="1"/>
  <c r="D313" i="1" s="1" a="1"/>
  <c r="D313" i="1" s="1"/>
  <c r="D314" i="1" s="1" a="1"/>
  <c r="D314" i="1" s="1"/>
  <c r="D315" i="1" s="1" a="1"/>
  <c r="D315" i="1" s="1"/>
  <c r="D316" i="1" s="1" a="1"/>
  <c r="D316" i="1" s="1"/>
  <c r="D317" i="1" s="1" a="1"/>
  <c r="D317" i="1" s="1"/>
  <c r="D318" i="1" s="1" a="1"/>
  <c r="D318" i="1" s="1"/>
  <c r="D319" i="1" s="1" a="1"/>
  <c r="D319" i="1" s="1"/>
  <c r="D320" i="1" s="1" a="1"/>
  <c r="D320" i="1" s="1"/>
  <c r="D321" i="1" s="1" a="1"/>
  <c r="D321" i="1" s="1"/>
  <c r="D322" i="1" s="1" a="1"/>
  <c r="D322" i="1" s="1"/>
  <c r="A23" i="1" l="1"/>
  <c r="N1" i="3" s="1"/>
  <c r="I21" i="3" s="1"/>
  <c r="K22"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<sst xmlns="http://schemas.openxmlformats.org/spreadsheetml/2006/main" count="234" uniqueCount="102">
  <si>
    <t>Texte à traiter :</t>
  </si>
  <si>
    <t>Résultat :</t>
  </si>
  <si>
    <t>Nombre de caractère :</t>
  </si>
  <si>
    <t>Nombre de clé max à tester :</t>
  </si>
  <si>
    <t>Texte à analyser :</t>
  </si>
  <si>
    <t>Analyse :</t>
  </si>
  <si>
    <t>% en moins</t>
  </si>
  <si>
    <t>Langue utilisé :</t>
  </si>
  <si>
    <t xml:space="preserve">avec un indice de coincidance de </t>
  </si>
  <si>
    <t>Français</t>
  </si>
  <si>
    <t>IdC par décalage</t>
  </si>
  <si>
    <t>A</t>
  </si>
  <si>
    <t>B</t>
  </si>
  <si>
    <t>C</t>
  </si>
  <si>
    <t>D</t>
  </si>
  <si>
    <t>E</t>
  </si>
  <si>
    <t>F</t>
  </si>
  <si>
    <t>G</t>
  </si>
  <si>
    <t>H</t>
  </si>
  <si>
    <t>I</t>
  </si>
  <si>
    <t>J</t>
  </si>
  <si>
    <t>K</t>
  </si>
  <si>
    <t>L</t>
  </si>
  <si>
    <t>M</t>
  </si>
  <si>
    <t>N</t>
  </si>
  <si>
    <t>O</t>
  </si>
  <si>
    <t>P</t>
  </si>
  <si>
    <t>Q</t>
  </si>
  <si>
    <t>R</t>
  </si>
  <si>
    <t>S</t>
  </si>
  <si>
    <t>T</t>
  </si>
  <si>
    <t>U</t>
  </si>
  <si>
    <t>V</t>
  </si>
  <si>
    <t>W</t>
  </si>
  <si>
    <t>X</t>
  </si>
  <si>
    <t>Y</t>
  </si>
  <si>
    <t>Z</t>
  </si>
  <si>
    <t>IdC moyen</t>
  </si>
  <si>
    <t>Différence d'IdC avec la langue choisi</t>
  </si>
  <si>
    <t>Décalage / Clé utilisé</t>
  </si>
  <si>
    <t>Décalage choisis</t>
  </si>
  <si>
    <t>caractères.</t>
  </si>
  <si>
    <t>Sensiblilité de la détection en % :</t>
  </si>
  <si>
    <t>Rentrez le texte à traiter</t>
  </si>
  <si>
    <t>Clé</t>
  </si>
  <si>
    <t>Nbr de caractère</t>
  </si>
  <si>
    <t>Texte traité</t>
  </si>
  <si>
    <t>Texte sur lequel on applique l'analyse des fréquences avec un clé de longueur :</t>
  </si>
  <si>
    <t>Fréquence d'apparition classique dans un texte français</t>
  </si>
  <si>
    <t>La clé est certainement constitué de</t>
  </si>
  <si>
    <t>k</t>
  </si>
  <si>
    <t>Les lettre ci-cessous servent au déchiffrage de la clé</t>
  </si>
  <si>
    <t>Grâce à l'analyse des fréquences pour chaque décalage, on trouve la clé non traité ci-contre :</t>
  </si>
  <si>
    <t xml:space="preserve">Après traitement on trouve : </t>
  </si>
  <si>
    <r>
      <t xml:space="preserve">Nombre de caractères maximum de la clé :                                                                    </t>
    </r>
    <r>
      <rPr>
        <i/>
        <sz val="11"/>
        <color theme="1"/>
        <rFont val="Calibri"/>
        <family val="2"/>
        <scheme val="minor"/>
      </rPr>
      <t xml:space="preserve">(un nombre élevé prend plus de temps)  </t>
    </r>
    <r>
      <rPr>
        <sz val="11"/>
        <color theme="1"/>
        <rFont val="Calibri"/>
        <family val="2"/>
        <scheme val="minor"/>
      </rPr>
      <t xml:space="preserve">      </t>
    </r>
  </si>
  <si>
    <t>ConcatDecale</t>
  </si>
  <si>
    <t>KFJKKWMWFWSNKSKIAAWGFWYSYSJGWJAKDGMHZWGDEJWLSFWWMSSTZEKGSSVWYAEWMLWSWSDGWASKUMDMMATFXIDWWWTHWMMLWWJDWVJ</t>
  </si>
  <si>
    <t>QVUGJUKRGUVCQWOWXPPOQXGXNPNWUUPQUUTNGEKCCQVGKVWPTPKNGOCPKEGXGNOUEXNIUWGOGFIQCPGNVOQVKWCRGONTFGKGOGKCTGG</t>
  </si>
  <si>
    <t>OJULIXJLHULMCRYCYXNJHIFCCNYZUUYHXYFUMYMTFCBOMJMNMXFUMYPMHIOIOYYNBYOOCKMCNFUHPVAYLYCFLCCIMVYCYYBFJNNLVF</t>
  </si>
  <si>
    <t>WPNMNFBFUMPUTESTOPTBTZFSTTTGNQMUFTFORTEVBUPYTJFMHFFODEJUFUYZSDJHFVJFCVURMVDCFSVMFFUJNWUFUMBOTTBBFTEDBB</t>
  </si>
  <si>
    <t>EUUEMQGNDBSEEESUTLCGDANESUGREEEIPSSCURERDSNLETMERSSCOERRRECAAOLAELNREICUANEECUEAMNANEOLTSAUCNQNTTEEHUI</t>
  </si>
  <si>
    <t>FJKKWMWFWSNKSKIAAWGFWYSYSJGWJAKDGMHZWGDEJWLSFWWMSSTZEKGSSVWYAEWMLWSWSDGWASKUMDMMATFXIDWWWTHWMMLWWJDWVJ</t>
  </si>
  <si>
    <t>VUGJUKRGUVCQWOWXPPOQXGXNPNWUUPQUUTNGEKCCQVGKVWPTPKNGOCPKEGXGNOUEXNIUWGOGFIQCPGNVOQVKWCRGONTFGKGOGKCTGG</t>
  </si>
  <si>
    <t>JULIXJLHULMCRYCYXNJHIFCCNYZUUYHXYFUMYMTFCBOMJMNMXFUMYPMHIOIOYYNBYOOCKMCNFUHPVAYLYCFLCCIMVYCYYBFJNNLVF</t>
  </si>
  <si>
    <t>PNMNFBFUMPUTESTOPTBTZFSTTTGNQMUFTFORTEVBUPYTJFMHFFODEJUFUYZSDJHFVJFCVURMVDCFSVMFFUJNWUFUMBOTTBBFTEDBB</t>
  </si>
  <si>
    <t>UUEMQGNDBSEEESUTLCGDANESUGREEEIPSSCURERDSNLETMERSSCOERRRECAAOLAELNREICUANEECUEAMNANEOLTSAUCNQNTTEEHUI</t>
  </si>
  <si>
    <t>JKKWMWFWSNKSKIAAWGFWYSYSJGWJAKDGMHZWGDEJWLSFWWMSSTZEKGSSVWYAEWMLWSWSDGWASKUMDMMATFXIDWWWTHWMMLWWJDWVJ</t>
  </si>
  <si>
    <t>UGJUKRGUVCQWOWXPPOQXGXNPNWUUPQUUTNGEKCCQVGKVWPTPKNGOCPKEGXGNOUEXNIUWGOGFIQCPGNVOQVKWCRGONTFGKGOGKCTGG</t>
  </si>
  <si>
    <t>ULIXJLHULMCRYCYXNJHIFCCNYZUUYHXYFUMYMTFCBOMJMNMXFUMYPMHIOIOYYNBYOOCKMCNFUHPVAYLYCFLCCIMVYCYYBFJNNLVF</t>
  </si>
  <si>
    <t>NMNFBFUMPUTESTOPTBTZFSTTTGNQMUFTFORTEVBUPYTJFMHFFODEJUFUYZSDJHFVJFCVURMVDCFSVMFFUJNWUFUMBOTTBBFTEDBB</t>
  </si>
  <si>
    <t>UEMQGNDBSEEESUTLCGDANESUGREEEIPSSCURERDSNLETMERSSCOERRRECAAOLAELNREICUANEECUEAMNANEOLTSAUCNQNTTEEHUI</t>
  </si>
  <si>
    <t>KKWMWFWSNKSKIAAWGFWYSYSJGWJAKDGMHZWGDEJWLSFWWMSSTZEKGSSVWYAEWMLWSWSDGWASKUMDMMATFXIDWWWTHWMMLWWJDWVJ</t>
  </si>
  <si>
    <t>GJUKRGUVCQWOWXPPOQXGXNPNWUUPQUUTNGEKCCQVGKVWPTPKNGOCPKEGXGNOUEXNIUWGOGFIQCPGNVOQVKWCRGONTFGKGOGKCTGG</t>
  </si>
  <si>
    <t>LIXJLHULMCRYCYXNJHIFCCNYZUUYHXYFUMYMTFCBOMJMNMXFUMYPMHIOIOYYNBYOOCKMCNFUHPVAYLYCFLCCIMVYCYYBFJNNLVF</t>
  </si>
  <si>
    <t>MNFBFUMPUTESTOPTBTZFSTTTGNQMUFTFORTEVBUPYTJFMHFFODEJUFUYZSDJHFVJFCVURMVDCFSVMFFUJNWUFUMBOTTBBFTEDBB</t>
  </si>
  <si>
    <t>EMQGNDBSEEESUTLCGDANESUGREEEIPSSCURERDSNLETMERSSCOERRRECAAOLAELNREICUANEECUEAMNANEOLTSAUCNQNTTEEHUI</t>
  </si>
  <si>
    <t>KWMWFWSNKSKIAAWGFWYSYSJGWJAKDGMHZWGDEJWLSFWWMSSTZEKGSSVWYAEWMLWSWSDGWASKUMDMMATFXIDWWWTHWMMLWWJDWVJ</t>
  </si>
  <si>
    <t>JUKRGUVCQWOWXPPOQXGXNPNWUUPQUUTNGEKCCQVGKVWPTPKNGOCPKEGXGNOUEXNIUWGOGFIQCPGNVOQVKWCRGONTFGKGOGKCTGG</t>
  </si>
  <si>
    <t>IXJLHULMCRYCYXNJHIFCCNYZUUYHXYFUMYMTFCBOMJMNMXFUMYPMHIOIOYYNBYOOCKMCNFUHPVAYLYCFLCCIMVYCYYBFJNNLVF</t>
  </si>
  <si>
    <t>NFBFUMPUTESTOPTBTZFSTTTGNQMUFTFORTEVBUPYTJFMHFFODEJUFUYZSDJHFVJFCVURMVDCFSVMFFUJNWUFUMBOTTBBFTEDBB</t>
  </si>
  <si>
    <t>MQGNDBSEEESUTLCGDANESUGREEEIPSSCURERDSNLETMERSSCOERRRECAAOLAELNREICUANEECUEAMNANEOLTSAUCNQNTTEEHUI</t>
  </si>
  <si>
    <t>WMWFWSNKSKIAAWGFWYSYSJGWJAKDGMHZWGDEJWLSFWWMSSTZEKGSSVWYAEWMLWSWSDGWASKUMDMMATFXIDWWWTHWMMLWWJDWVJ</t>
  </si>
  <si>
    <t>FrequenceDecale</t>
  </si>
  <si>
    <t>UKRGUVCQWOWXPPOQXGXNPNWUUPQUUTNGEKCCQVGKVWPTPKNGOCPKEGXGNOUEXNIUWGOGFIQCPGNVOQVKWCRGONTFGKGOGKCTGG</t>
  </si>
  <si>
    <t>XJLHULMCRYCYXNJHIFCCNYZUUYHXYFUMYMTFCBOMJMNMXFUMYPMHIOIOYYNBYOOCKMCNFUHPVAYLYCFLCCIMVYCYYBFJNNLVF</t>
  </si>
  <si>
    <t>FBFUMPUTESTOPTBTZFSTTTGNQMUFTFORTEVBUPYTJFMHFFODEJUFUYZSDJHFVJFCVURMVDCFSVMFFUJNWUFUMBOTTBBFTEDBB</t>
  </si>
  <si>
    <t>QGNDBSEEESUTLCGDANESUGREEEIPSSCURERDSNLETMERSSCOERRRECAAOLAELNREICUANEECUEAMNANEOLTSAUCNQNTTEEHUI</t>
  </si>
  <si>
    <t>%</t>
  </si>
  <si>
    <t xml:space="preserve">Après analyse statistique on trouve : </t>
  </si>
  <si>
    <t>Avec un pourcentage par lettre de :</t>
  </si>
  <si>
    <t>"Qualité" lié au nbr de caractères max de la clé par rapport au nbr de caractères du texte à analyser. (&lt;40)</t>
  </si>
  <si>
    <t>(attention, un nombre élevé peut prendre beaucoup de temps)</t>
  </si>
  <si>
    <t>Ce résultat est sûr à :</t>
  </si>
  <si>
    <t>Recommandé</t>
  </si>
  <si>
    <t xml:space="preserve">
Soudain, David eut une idée. Florence jouait un rôle fondamental dans cette histoire, mais elle ne pouvait pas connaître les conséquences de ses actes. Prélude avait dû lui raconter n’importe quoi pour l’amener à faire ce qu’il voulait. Il fallait prévenir Florence avant qu’il ne soit trop tard.
La grande porte s’ouvrit lourdement en coulissant sur le côté gauche sans faire le moindre bruit. Derrière la porte, une nouvelle route, éclairée par de multiples projecteurs accrochés de chaque côtés, s’enfonçait dans les profondeurs de cet ouvrage. Cette route était faite de zigzag incessant, certainement pour empêcher le souffle d’une bombe atomique pensa David.
Comme je viens de te le dire Florence, ce n’est malheureusement pas une blague. David a travaillé sur deux anciennes technologies abandonnées depuis longtemps et il les a couplées. Séparées, elles ne valaient rien, mais, il les a réunies et a démarré le processus. Comme tu dois le savoir, il y a maintenant plus d’ordinateurs sur terre que d’humains et tous ces ordinateurs sont connectés entres eux grâce au réseau des réseaux : Internet.
Internet n’est pas le seul réseau. Il existe un autre réseau plus performant. Je ne t’apprendrais rien en te disant qu’Internet a été crée par l’armée Américaine dans un but militaire. Internet n’était que le prototype. Un autre réseau a été créé pour les militaires. Complètement indépendant d’Internet. Tirant des leçons du premier réseau, le petit frère d’Internet est devenue un grand frère.
En 1975, John Holland construisit un système artificiel qui s'appuyait sur les principes de sélection de Darwin et sur les méthodes de combinaison des gènes de Mendel. L'Algorithme Génétique, ou GA, était né. Un renouveau de l'Intelligence Artificielle allait voir le jour. Les médias contribuèrent grandement à faire apprécier les machines "intelligentes" au grand public.
Il a recommencé et recommencé. Pratiquement tous les ordinateurs existants furent sous son contrôle. Il ne laissait pas de trace, ne se montrait pas. Et puis, il a découvert les dialogues en direct via Internet, le téléphone, la visio-conférence, la domotique...
Il avait d’abord commencé par récupérer des informations depuis l’ordinateur de David, puis il était allé les chercher sur Internet. Il avait lui-même programmé l’ordinateur de David afin d’avoir un premier lien vers le monde extérieur : la voix. Il pouvait entendre la voix de David, mais ne la comprenait pas. C’est alors qu’il a décidé d’aller lui-même à l’information. Il s’est alors ‘transporté’ sur Internet afin de choisir une nouvelle ‘maison’. Il lui a été beaucoup plus facile de programmer ce nouvel ordinateur afin d’entendre une nouvelle voix.
« Prélude m’avait dit qu’il désirait connaître l’amour. Les ordinateurs n’ont pas de sentiments et l’amour n’est que sentiments. Il y a bien l’amour physique, mais sans les sentiments, cela ressemble davantage à un instinct de reproduction qu’à de l’amour. Un ordinateur n’a pas ce besoin de reproduction. Et pourquoi m’avoir choisi ? »
Le militaire regagna sa voiture et la barrière s’ouvrit. David regardait autour de lui, la base militaire où il avait passé dix mois de sa vie. Il n’y avait pas beaucoup de changement. L’herbe toujours aussi bien tondue, les allées toujours aussi propres. Les mêmes bâtiments. Juste les décors avaient changés. Il s’agissait de chars. C’étaient les chars que David avait eu l’occasion de voir fonctionner et qui, maintenant, avaient remplacés les vieux chars qui servaient de décors. Cela fit sourire David.
David se rappelait de ce programme mélangeant deux anciennes technologies. Il s’en souvenait très bien, cinq années de travail acharné pour réaliser un vieux rêve d’enfant un peu solitaire. Il voulait un ami et il avait trouvé en l’informatique la possibilité d’avoir cet ami. Un ami capable de réfléchir vite, exempt de sentiment.
Tu vas le prendre avec toi. Tu brancheras ton téléphone mobile dessus afin que je puisse rester en contact avec toi. Il te faudra aussi un câble de liaison pour brancher ton ordinateur sur le réseau militaire.
Un long silence se fit dans la voiture. Le chauffeur regardait droit devant. David jeta un œil sur le compteur qui affichait 210km/h. L’autoroute était déserte. Depuis la construction de la Ligne Grande Vitesse, les gens préféraient prendre les transports en communs, plus rapides et moins chers. La LGV traversait la France d'un bout à l'autre avec un arrêt à Paris.
Cela ressemblait aux gros ordinateurs que David avait pu voir dans des films de science fiction. Beaucoup de petites lumières indiquaient qu’il était en fonction. À la base, une sorte d’aquarium avait été installé tout autour. Certainement le système de refroidissement car des bulles montaient sans cesse, preuve que l’eau était en ébullition. Soudain, David resta bouche bée. Une voix caverneuse sortie des écrans où venait de s’afficher le mot « Prélude ».
D’ailleurs, le Dr. ne savait pas vraiment comment son processeur pouvait fonctionner. D’une architecture trop complexe, le Dr. s’était reposé sur les tests effectués. Tests très légèrement modifiés par Prélude afin de cacher certaines fonctions du processeur.
Florence est une jeune femme, grande et filiforme. Ses longs cheveux blonds ressemblent aux vagues que forment les blés dans les champs sous l’effet du vent. Et l’on pourrait croire que ses yeux sont des émeraudes trouvés sous les deux petites collines qui masquent une mine d’or : son cœur.
Aujourd’hui, c’est son anniversaire. Il a vingt-six ans, mais il ne s’en souvient plus. Il ne prête pas attention à ce genre de détails. David est un homme distrait, timide, mais sûr de lui. Il est grand et mince. De grandes mains prolongent ses longs bras. Il lui serait possible de tenir deux bouteilles de Champagne dans chacune de ses mains, mais il ne boit jamais. L'alcool le rend malade et malheureux, voir dépressif.
Je m’en rappellerais si j’avais créé un programme capable de parler. Et puis tiens, je suis en train de taper la causette avec un ordinateur ! Je deviens vraiment cinglé ! C’est fini, j’arrête l’informatique !
« Oui, mais rien d’exceptionnel. » David essaie de se rappeler si dans la lancée de sa jeunesse fougueuse, il n’aurait pas installé une bombe logique sur les ordinateurs de l’armée, mais il ne se rappelait pas avoir fait une telle bêtise. Planter tout le système informatique de la base aurait été trop grave de conséquences.
D’ailleurs, le Dr. ne savait pas vraiment comment son processeur pouvait fonctionner. D’une architecture trop complexe, le Dr. s’était reposé sur les tests effectués. Tests très légèrement modifiés par Prélude afin de cacher certaines fonctions du processeur.
Il avait d’abord commencé par récupérer des informations depuis l’ordinateur de David, puis il était allé les chercher sur Internet. Il avait lui-même programmé l’ordinateur de David afin d’avoir un premier lien vers le monde extérieur : la voix. Il pouvait entendre la voix de David, mais ne la comprenait pas. C’est alors qu’il a décidé d’aller lui-même à l’information. Il s’est alors ‘transporté’ sur Internet afin de choisir une nouvelle ‘maison’. Il lui a été beaucoup plus facile de programmer ce nouvel ordinateur afin d’entendre une nouvelle voix.
Ce n’est pas une blague David, ton programme a réellement fonctionné et je suis là. » Dit Prélude. Et suivit une longue explication de Prélude quant à son existence. Comment avait-il fait pour sortir de l’ordinateur de David pour s’installer sur Internet, et de ce fait sur tout les ordinateurs reliés à Internet. Les explications continuèrent pendant une bonne heure. David laissait parler Prélude. Personne n’intervenait. Tout le monde présent, généraux, informaticiens, simples gardes, tous étaient stupéfiaient.
De tout temps, l'homme a tenté de comprendre puis de reproduire l'extraordinaire machine qu'est l'être humain. Les premiers automates nous font sourire aujourd'hui. Les premiers ordinateurs également, mais un peu moins. Et lorsqu'un certain McCullogn, aidé de Pitts, invente en 1943 le premier neurone formel, on ne rigole plus. L'ordinateur est devenu capable de reproduire des neurones artificiels. Le "complexe de Frankenstein" va alors freiner les recherches. On commence à entendre parler du concept d'Intelligence Artificielle, plus connu sous les termes d'IA. Cela fait peur.
Il a recommencé et recommencé. Pratiquement tout les ordinateurs existants furent sous son contrôle. Il ne laissait pas de trace, ne se montrait pas. Et puis, il a découvert les dialogues en direct via Internet, le téléphone, la visio conférence, la domotique...
Interloqué, David ne sait pas quoi répondre. En effet, il connaît un certain Prélude : lui. C’était le pseudo qu’il utilisait dans sa jeunesse d’informaticien. Tous ses amis de l’époque le connaissaient sous ce nom. Il l’avait utilisé une fois ou deux pour signer les logiciels qu’il avait piraté. Mais jamais un logiciel important et encore moins un logiciel top secret. C'était également le surnom qu'il utilisait à la faculté.
Florence venait d’avouer quelque chose qu’elle n’osait même pas dire à la personne concernée : David. « Son » David. Oui, elle l’aimait. Depuis qu’il avait emménagé à côté de chez elle, il y a de ça cinq ans. Depuis le premier regard, elle savait que c’était lui. Et à chaque fois la même chose : dès qu’elle parlait de lui, dès qu’elle pensait à lui, ses yeux brillaient.
La journée commence. Il s’habille comme il peut tout en prenant son café. Chemise blanche repassée la veille par lui-même. Une cravate comme tous les jours. Et son costume noir de chez Sam Montiel, très chic et très branché. Chaussures cuir noir. Comme il aime faire remarquer : "Vous êtes soit dans vos chaussures, soit dans votre lit. Alors il faut de bonnes chaussures et une bonne literie !". La météo a annoncé un ciel bleu et des températures au-dessus de la normale saisonnière. C’est un très beau mois de mai qui s’annonce.
Cela ressemblait aux gros ordinateurs que David avait pu voir dans des films de science fiction. Beaucoup de petites lumières indiquaient qu’il était en fonction. À la base, une sorte d’aquarium avait été installé tout autour. Certainement le système de refroidissement car des bulles montaient sans cesse, preuve que l’eau était en ébullition. Soudain, David resta bouche bée. Une voix caverneuse sortie des écrans où venait de s’afficher le mot « Prélude ».
Oui et non. Ce n'est pas une blague, mais David y est pour quelque chose. Il a créé un programme sans le savoir. Ce programme se nomme Prélude. Il vit sur Internet à travers tout le réseau. Chaque ordinateur connecté connait Prélude. Chaque ordinateur est une partie de Prélude. Le réseau est Prélude.
Mais l'Intelligence Artificielle n'apportait pas le résultat tant recherché : donner une conscience aux ordinateurs. Alors l'homme oublia l'Intelligence Artificielle, et comme pour se prouver qu'il était bien le seul à avoir une conscience, se mit aux Arts. Les belles promesses sur l'intelligence des ordinateurs et des robots étaient oubliées. Le "complexe de Frankenstein" avec. De nouveaux ordinateurs plus puissants, mais dépourvus d'intelligence, virent le jour. C'était en 2004, un an après l'ouverture au grand public d'Internet 3.
Aujourd’hui, c’est son anniversaire. Il a vingt-six ans, mais il ne s’en souvient plus. Il ne prête pas attention à ce genre de détails. David est un homme distrait, timide, mais sûr de lui. Il est grand et mince. De grandes mains prolongent ses longs bras. Il lui serait possible de tenir deux bouteilles de Champagne dans chacune de ses mains, mais il ne boit jamais. L'alcool le rend malade et malheureux, voir dépressif.</t>
  </si>
  <si>
    <t>SOUDAINDAVIDEUTUNEIDEEFLORENCEJOUAITUNROLEFONDAMENTALDANSCETTEHISTOIREMAISELLENEPOUVAITPASCONNAITRELESCONSEQUENCESDESESACTESPRELUDEAVAITDULUIRACONTERNIMPORTEQUOIPOURLAMENERAFAIRECEQUILVOULAITILFALLAITPREVENIRFLORENCEAVANTQUILNESOITTROPTARDLAGRANDEPORTESOUVRITLOURDEMENTENCOULISSANTSURLECOTEGAUCHESANSFAIRELEMOINDREBRUITDERRIERELAPORTEUNENOUVELLEROUTEECLAIREEPARDEMULTIPLESPROJECTEURSACCROCHESDECHAQUECOTESSENFONCAITDANSLESPROFONDEURSDECETOUVRAGECETTEROUTEETAITFAITEDEZIGZAGINCESSANTCERTAINEMENTPOUREMPECHERLESOUFFLEDUNEBOMBEATOMIQUEPENSADAVIDCOMMEJEVIENSDETELEDIREFLORENCECENESTMALHEUREUSEMENTPASUNEBLAGUEDAVIDATRAVAILLESURDEUXANCIENNESTECHNOLOGIESABANDONNEESDEPUISLONGTEMPSETILLESACOUPLEESSEPAREESELLESNEVALAIENTRIENMAISILLESAREUNIESETADEMARRELEPROCESSUSCOMMETUDOISLESAVOIRILYAMAINTENANTPLUSDORDINATEURSSURTERREQUEDHUMAINSETTOUSCESORDINATEURSSONTCONNECTESENTRESEUXGRCEAURESEAUDESRESEAUXINTERNETINTERNETNESTPASLESEULRESEAUILEXISTEUNAUTRERESEAUPLUSPERFORMANTJENETAPPRENDRAISRIENENTEDISANTQUINTERNETAETECREEPARLARMEEAMERICAINEDANSUNBUTMILITAIREINTERNETNETAITQUELEPROTOTYPEUNAUTRERESEAUAETECREEPOURLESMILITAIRESCOMPLETEMENTINDEPENDANTDINTERNETTIRANTDESLECONSDUPREMIERRESEAULEPETITFREREDINTERNETESTDEVENUEUNGRANDFREREENJOHNHOLLANDCONSTRUISITUNSYSTEMEARTIFICIELQUISAPPUYAITSURLESPRINCIPESDESELECTIONDEDARWINETSURLESMETHODESDECOMBINAISONDESGENESDEMENDELLALGORITHMEGENETIQUEOUGAETAITNEUNRENOUVEAUDELINTELLIGENCEARTIFICIELLEALLAITVOIRLEJOURLESMEDIASCONTRIBUERENTGRANDEMENTAFAIREAPPRECIERLESMACHINESINTELLIGENTESAUGRANDPUBLICILARECOMMENCEETRECOMMENCEPRATIQUEMENTTOUSLESORDINATEURSEXISTANTSFURENTSOUSSONCONTROLEILNELAISSAITPASDETRACENESEMONTRAITPASETPUISILADECOUVERTLESDIALOGUESENDIRECTVIAINTERNETLETELEPHONELAVISIOCONFERENCELADOMOTIQUEILAVAITDABORDCOMMENCEPARRECUPERERDESINFORMATIONSDEPUISLORDINATEURDEDAVIDPUISILETAITALLELESCHERCHERSURINTERNETILAVAITLUIMEMEPROGRAMMELORDINATEURDEDAVIDAFINDAVOIRUNPREMIERLIENVERSLEMONDEEXTERIEURLAVOIXILPOUVAITENTENDRELAVOIXDEDAVIDMAISNELACOMPRENAITPASCESTALORSQUILADECIDEDALLERLUIMEMEALINFORMATIONILSESTALORSTRANSPORTESURINTERNETAFINDECHOISIRUNENOUVELLEMAISONILLUIAETEBEAUCOUPPLUSFACILEDEPROGRAMMERCENOUVELORDINATEURAFINDENTENDREUNENOUVELLEVOIXPRELUDEMAVAITDITQUILDESIRAITCONNAITRELAMOURLESORDINATEURSNONTPASDESENTIMENTSETLAMOURNESTQUESENTIMENTSILYABIENLAMOURPHYSIQUEMAISSANSLESSENTIMENTSCELARESSEMBLEDAVANTAGEAUNINSTINCTDEREPRODUCTIONQUADELAMOURUNORDINATEURNAPASCEBESOINDEREPRODUCTIONETPOURQUOIMAVOIRCHOISILEMILITAIREREGAGNASAVOITUREETLABARRIERESOUVRITDAVIDREGARDAITAUTOURDELUILABASEMILITAIREOUILAVAITPASSEDIXMOISDESAVIEILNYAVAITPASBEAUCOUPDECHANGEMENTLHERBETOUJOURSAUSSIBIENTONDUELESALLEESTOUJOURSAUSSIPROPRESLESMEMESBTIMENTSJUSTELESDECORSAVAIENTCHANGESILSAGISSAITDECHARSCETAIENTLESCHARSQUEDAVIDAVAITEULOCCASIONDEVOIRFONCTIONNERETQUIMAINTENANTAVAIENTREMPLACESLESVIEUXCHARSQUISERVAIENTDEDECORSCELAFITSOURIREDAVIDDAVIDSERAPPELAITDECEPROGRAMMEMELANGEANTDEUXANCIENNESTECHNOLOGIESILSENSOUVENAITTRESBIENCINQANNEESDETRAVAILACHARNEPOURREALISERUNVIEUXREVEDENFANTUNPEUSOLITAIREILVOULAITUNAMIETILAVAITTROUVEENLINFORMATIQUELAPOSSIBILITEDAVOIRCETAMIUNAMICAPABLEDEREFLECHIRVITEEXEMPTDESENTIMENTTUVASLEPRENDREAVECTOITUBRANCHERASTONTELEPHONEMOBILEDESSUSAFINQUEJEPUISSERESTERENCONTACTAVECTOIILTEFAUDRAAUSSIUNCBLEDELIAISONPOURBRANCHERTONORDINATEURSURLERESEAUMILITAIREUNLONGSILENCESEFITDANSLAVOITURELECHAUFFEURREGARDAITDROITDEVANTDAVIDJETAUNILSURLECOMPTEURQUIAFFICHAITKMHLAUTOROUTEETAITDESERTEDEPUISLACONSTRUCTIONDELALIGNEGRANDEVITESSELESGENSPREFERAIENTPRENDRELESTRANSPORTSENCOMMUNSPLUSRAPIDESETMOINSCHERSLALGVTRAVERSAITLAFRANCEDUNBOUTALAUTREAVECUNARRETAPARISCELARESSEMBLAITAUXGROSORDINATEURSQUEDAVIDAVAITPUVOIRDANSDESFILMSDESCIENCEFICTIONBEAUCOUPDEPETITESLUMIERESINDIQUAIENTQUILETAITENFONCTIONALABASEUNESORTEDAQUARIUMAVAITETEINSTALLETOUTAUTOURCERTAINEMENTLESYSTEMEDEREFROIDISSEMENTCARDESBULLESMONTAIENTSANSCESSEPREUVEQUELEAUETAITENEBULLITIONSOUDAINDAVIDRESTABOUCHEBEEUNEVOIXCAVERNEUSESORTIEDESECRANSOUVENAITDESAFFICHERLEMOTPRELUDEDAILLEURSLEDRNESAVAITPASVRAIMENTCOMMENTSONPROCESSEURPOUVAITFONCTIONNERDUNEARCHITECTURETROPCOMPLEXELEDRSETAITREPOSESURLESTESTSEFFECTUESTESTSTRESLEGEREMENTMODIFIESPARPRELUDEAFINDECACHERCERTAINESFONCTIONSDUPROCESSEURFLORENCEESTUNEJEUNEFEMMEGRANDEETFILIFORMESESLONGSCHEVEUXBLONDSRESSEMBLENTAUXVAGUESQUEFORMENTLESBLESDANSLESCHAMPSSOUSLEFFETDUVENTETLONPOURRAITCROIREQUESESYEUXSONTDESEMERAUDESTROUVESSOUSLESDEUXPETITESCOLLINESQUIMASQUENTUNEMINEDORSONCURAUJOURDHUICESTSONANNIVERSAIREILAVINGTSIXANSMAISILNESENSOUVIENTPLUSILNEPRETEPASATTENTIONACEGENREDEDETAILSDAVIDESTUNHOMMEDISTRAITTIMIDEMAISSURDELUIILESTGRANDETMINCEDEGRANDESMAINSPROLONGENTSESLONGSBRASILLUISERAITPOSSIBLEDETENIRDEUXBOUTEILLESDECHAMPAGNEDANSCHACUNEDESESMAINSMAISILNEBOITJAMAISLALCOOLLERENDMALADEETMALHEUREUXVOIRDEPRESSIFJEMENRAPPELLERAISSIJAVAISCREEUNPROGRAMMECAPABLEDEPARLERETPUISTIENSJESUISENTRAINDETAPERLACAUSETTEAVECUNORDINATEURJEDEVIENSVRAIMENTCINGLECESTFINIJARRETELINFORMATIQUEOUIMAISRIENDEXCEPTIONNELDAVIDESSAIEDESERAPPELERSIDANSLALANCEEDESAJEUNESSEFOUGUEUSEILNAURAITPASINSTALLEUNEBOMBELOGIQUESURLESORDINATEURSDELARMEEMAISILNESERAPPELAITPASAVOIRFAITUNETELLEBETISEPLANTERTOUTLESYSTEMEINFORMATIQUEDELABASEAURAITETETROPGRAVEDECONSEQUENCESDAILLEURSLEDRNESAVAITPASVRAIMENTCOMMENTSONPROCESSEURPOUVAITFONCTIONNERDUNEARCHITECTURETROPCOMPLEXELEDRSETAITREPOSESURLESTESTSEFFECTUESTESTSTRESLEGEREMENTMODIFIESPARPRELUDEAFINDECACHERCERTAINESFONCTIONSDUPROCESSEURILAVAITDABORDCOMMENCEPARRECUPERERDESINFORMATIONSDEPUISLORDINATEURDEDAVIDPUISILETAITALLELESCHERCHERSURINTERNETILAVAITLUIMEMEPROGRAMMELORDINATEURDEDAVIDAFINDAVOIRUNPREMIERLIENVERSLEMONDEEXTERIEURLAVOIXILPOUVAITENTENDRELAVOIXDEDAVIDMAISNELACOMPRENAITPASCESTALORSQUILADECIDEDALLERLUIMEMEALINFORMATIONILSESTALORSTRANSPORTESURINTERNETAFINDECHOISIRUNENOUVELLEMAISONILLUIAETEBEAUCOUPPLUSFACILEDEPROGRAMMERCENOUVELORDINATEURAFINDENTENDREUNENOUVELLEVOIXCENESTPASUNEBLAGUEDAVIDTONPROGRAMMEAREELLEMENTFONCTIONNEETJESUISLADITPRELUDEETSUIVITUNELONGUEEXPLICATIONDEPRELUDEQUANTASONEXISTENCECOMMENTAVAITILFAITPOURSORTIRDELORDINATEURDEDAVIDPOURSINSTALLERSURINTERNETETDECEFAITSURTOUTLESORDINATEURSRELIESAINTERNETLESEXPLICATIONSCONTINUERENTPENDANTUNEBONNEHEUREDAVIDLAISSAITPARLERPRELUDEPERSONNENINTERVENAITTOUTLEMONDEPRESENTGENERAUXINFORMATICIENSSIMPLESGARDESTOUSETAIENTSTUPEFIAIENTDETOUTTEMPSLHOMMEATENTEDECOMPRENDREPUISDEREPRODUIRELEXTRAORDINAIREMACHINEQUESTLETREHUMAINLESPREMIERSAUTOMATESNOUSFONTSOURIREAUJOURDHUILESPREMIERSORDINATEURSEGALEMENTMAISUNPEUMOINSETLORSQUUNCERTAINMCCULLOGNAIDEDEPITTSINVENTEENLEPREMIERNEURONEFORMELONNERIGOLEPLUSLORDINATEURESTDEVENUCAPABLEDEREPRODUIREDESNEURONESARTIFICIELSLECOMPLEXEDEFRANKENSTEINVAALORSFREINERLESRECHERCHESONCOMMENCEAENTENDREPARLERDUCONCEPTDINTELLIGENCEARTIFICIELLEPLUSCONNUSOUSLESTERMESDIACELAFAITPEURILARECOMMENCEETRECOMMENCEPRATIQUEMENTTOUTLESORDINATEURSEXISTANTSFURENTSOUSSONCONTROLEILNELAISSAITPASDETRACENESEMONTRAITPASETPUISILADECOUVERTLESDIALOGUESENDIRECTVIAINTERNETLETELEPHONELAVISIOCONFERENCELADOMOTIQUEINTERLOQUEDAVIDNESAITPASQUOIREPONDREENEFFETILCONNAITUNCERTAINPRELUDELUICETAITLEPSEUDOQUILUTILISAITDANSSAJEUNESSEDINFORMATICIENTOUSSESAMISDELEPOQUELECONNAISSAIENTSOUSCENOMILLAVAITUTILISEUNEFOISOUDEUXPOURSIGNERLESLOGICIELSQUILAVAITPIRATEMAISJAMAISUNLOGICIELIMPORTANTETENCOREMOINSUNLOGICIELTOPSECRETCETAITEGALEMENTLESURNOMQUILUTILISAITALAFACULTEFLORENCEVENAITDAVOUERQUELQUECHOSEQUELLENOSAITMEMEPASDIREALAPERSONNECONCERNEEDAVIDSONDAVIDOUIELLELAIMAITDEPUISQUILAVAITEMMENAGEACOTEDECHEZELLEILYADECACINQANSDEPUISLEPREMIERREGARDELLESAVAITQUECETAITLUIETACHAQUEFOISLAMEMECHOSEDESQUELLEPARLAITDELUIDESQUELLEPENSAITALUISESYEUXBRILLAIENTLAJOURNEECOMMENCEILSHABILLECOMMEILPEUTTOUTENPRENANTSONCAFECHEMISEBLANCHEREPASSEELAVEILLEPARLUIMEMEUNECRAVATECOMMETOUSLESJOURSETSONCOSTUMENOIRDECHEZSAMMONTIELTRESCHICETTRESBRANCHECHAUSSURESCUIRNOIRCOMMEILAIMEFAIREREMARQUERVOUSETESSOITDANSVOSCHAUSSURESSOITDANSVOTRELITALORSILFAUTDEBONNESCHAUSSURESETUNEBONNELITERIELAMETEOAANNONCEUNCIELBLEUETDESTEMPERATURESAUDESSUSDELANORMALESAISONNIERECESTUNTRESBEAUMOISDEMAIQUISANNONCECELARESSEMBLAITAUXGROSORDINATEURSQUEDAVIDAVAITPUVOIRDANSDESFILMSDESCIENCEFICTIONBEAUCOUPDEPETITESLUMIERESINDIQUAIENTQUILETAITENFONCTIONALABASEUNESORTEDAQUARIUMAVAITETEINSTALLETOUTAUTOURCERTAINEMENTLESYSTEMEDEREFROIDISSEMENTCARDESBULLESMONTAIENTSANSCESSEPREUVEQUELEAUETAITENEBULLITIONSOUDAINDAVIDRESTABOUCHEBEEUNEVOIXCAVERNEUSESORTIEDESECRANSOUVENAITDESAFFICHERLEMOTPRELUDEOUIETNONCENESTPASUNEBLAGUEMAISDAVIDYESTPOURQUELQUECHOSEILACREEUNPROGRAMMESANSLESAVOIRCEPROGRAMMESENOMMEPRELUDEILVITSURINTERNETATRAVERSTOUTLERESEAUCHAQUEORDINATEURCONNECTECONNAITPRELUDECHAQUEORDINATEURESTUNEPARTIEDEPRELUDELERESEAUESTPRELUDEMAISLINTELLIGENCEARTIFICIELLENAPPORTAITPASLERESULTATTANTRECHERCHEDONNERUNECONSCIENCEAUXORDINATEURSALORSLHOMMEOUBLIALINTELLIGENCEARTIFICIELLEETCOMMEPOURSEPROUVERQUILETAITBIENLESEULAAVOIRUNECONSCIENCESEMITAUXARTSLESBELLESPROMESSESSURLINTELLIGENCEDESORDINATEURSETDESROBOTSETAIENTOUBLIEESLECOMPLEXEDEFRANKENSTEINAVECDENOUVEAUXORDINATEURSPLUSPUISSANTSMAISDEPOURVUSDINTELLIGENCEVIRENTLEJOURCETAITENUNANAPRESLOUVERTUREAUGRANDPUBLICDINTERNETAUJOURDHUICESTSONANNIVERSAIREILAVINGTSIXANSMAISILNESENSOUVIENTPLUSILNEPRETEPASATTENTIONACEGENREDEDETAILSDAVIDESTUNHOMMEDISTRAITTIMIDEMAISSURDELUIILESTGRANDETMINCEDEGRANDESMAINSPROLONGENTSESLONGSBRASILLUISERAITPOSSIBLEDETENIRDEUXBOUTEILLESDECHAMPAGNEDANSCHACUNEDESESMAINSMAISILNEBOITJAMAISLALCOOLLERENDMALADEETMALHEUREUXVOIRDEPRESSIF</t>
  </si>
  <si>
    <t>Nombre de caractères de la clé:</t>
  </si>
  <si>
    <t>La clé équivaut à</t>
  </si>
  <si>
    <t>% du texte.</t>
  </si>
  <si>
    <t>BONJOURSALUTTUVASBIEN</t>
  </si>
  <si>
    <t>TCHMOCEVAGCWXOOUFFQHRFTYXFYEUEUINTCOUFSWPRGCAMOGVFTLFWTHNCWUBIUJGGXWLVEATMXEFZNWQWYIBWGYOMTGNYUBMLZLWTKSATSDDSHTWSOYLXMVCLFATEFZHMSUMSIEXNEODRSDWRGFFARAJFJTPKNHCKOMSTEZFBRAOZRARPWXJODLNPCPNJHVUTUCDATNIKYQEFJZJYPFRWQYRNAYNJNCGNWTWMGUFBYHUIVLLAKTHYEHPZXRTCHEFCKDOFLWXGZNLFVGBVZVBGUELSFLEXWJTWHIYPISFJBMWSICYEXGJIFEZIOSIVCRYIJIPLXEUKOJUMYAFBBDJYCDECINMYZCDBQVRFDNARYDMLECIEYNPJPRIPUSHAGUTURZWAXMYEUIIUHFQBCSMJWNQIGVUDTVBVWYFGCACZFFDPOKLXZCWUWYISOTNQYKLECINMYZTSJBJNJHRMSTZYZLABGWZSKBVXPFFGJWHVEEYNIHOMEEQMGUFFYNGILXFWYWNHZBGNJINUCZREOVHEYMTWUQIVDWQZFXREWYEKDPNXEYYIJFNPBSSALSWVFEDNFTFCEMSMYFFARWHJRKUYYUEUBUWEIZVEOGAOPRALWYLNLYEMYIRPJSAWSMKWCSHHEIBIWTIFNORBWBYVKDPJNBMGOFHBIZQGRCWFCWSLWHNJGEWTAICBFRNGYCDEDHXOUGAAFVXEJSAVOCJALWYLTLZUFJMWRUOQNAUIJEWYIKIXEKTCWPPAZNHOUGIDFXLUQOASQPLBANRBNVFAYNIEONDGSLMABHRDFMJMREYKKYLUWEPYZBWABSNKGUDWXLIMDAOIXRVFFBCHKUOYHXVNZSWOBVRTSHGULTWAFLXLYVUVFAVRTSNDLCELECHXMCITWSVIGOSFCDUJDEDYNELZSWBCMYFLVBHYLFAFNKXLZSWBCTYVGCNFZFJMLHMCYIELBXTEFBQAOCJJIPHXGNZDATIRGRIVWHYIFEEUXMYXRWFXEEMOEVSYREECCVTCIEVBVWHOPHCACCATLCKXCITWSVIGOSGJWNHMEWYIKIOOLZXIHOOHCFYIWSPUNTYOEUSMICPIEUSMDALTNTBLZSUPUTYFHRVSHKANOYIXHYAFULMAUSEWSNKARLHMWYNLWDWRFEICASGZWRCYLXUPLWQMXVUTENFYUANEYKGYOEKULIIFBHNIHXJAYXYKYMEWORSUOVBUZUEVCZHLMLPIKJBYATMFCSGVSRECYBWDEDRCMFBDCDMUZLSFLEXMKRAOKMCFGQNGYCWCECHGXZDSSEMAFHFDFFVKMPNAHXZSVFKSZCWAJWMFFDPMZXHZSVFUIAESYUOFXGRTNAFYBEFFBMDVSBDUUVLATNGXOIRWOWYIFOHMSFZFTPFEBAZNUFIVGJTVLWYCDELFETCOVGJZPRKCHAZYJEEOCTLWJNLSQFHFFRWHAISNOYFXHOAXBQVRBDCASWZWRWYLFUXHAOMWVOHRUZCXWNEYLTOBRSOLTHCZVLWFRJENIFFYICWFBVRDCZVSHTWPCUMBKPEEFVXGPIFUSMFJDTHTMYPRKFFMFUOACGZLJEYNLHONSGOKSAUFBUSCCFEWUBLMVILQIWQFHEJQYEWSPGHGNMAAUXEFFHCDWMZDAOYVHOQEJUTIFEWNUCALWSPHWBLZCLWQEVOHRABYKDEEYEXJCOFFTEIJGVXQIEXECYGVYGAVPUSGJEHNWFRNATNWTVJRVDWQZFBPNDUIJENOIXLZRVFAMAGCEVONZGNDXXIODSDPZHVOOGNILUWDLPBWJPIKJTIGBWGJZFVDEDWAXLXHWSAYEJBGNFHVLIWUOTCOLMJUIZFDEXULREMPFHKXDNSUMYEESQJJCUSFTHWTPJIJVVTEFAVNFFZWNGYKLFZMGOLIRYHRAWYLJLLPHBRDLHPCZNJHRWHYEVRPFTOIDXVFLEIJRZJWMEWLLWHFJMEFBQXCBGPNGNRDOCMJNCGAVFKMQFRNUZYIDUTGXFYVLAONSENOGRCHZDSPMMTFJRKUZEATDBAHYJMRTHMXLIELBNMAESPQCCJARFHXGIPVWMTIZBWFXBCCDUTUXMYWESVKSHQDYDGZRUIWYWXJMOYSIQZFFPNBILNEWIKWCIALFCVNGWAMSHKWNOLXNHZNGVDIYMSIXWRGJEWOWXGVVSJBHVUEHRZXVKICUBMWJNFBQXEFZNVCOIDEDIKWCIALFCVFOCACDUJVEDYGMCHEFUAIGMOZXILEWSEKNXMZNLJUIAUGVUMUSAEYFTFIPRHIGWVRIRVOCJKAYMEXMNEFUQQROHFLSFRJEDMXFVGEVBDEAUOTNOOEANDNBGWODWSMTEPRHLHCFFQFUWXFVMGVZYAPFQRBUKWUCHTIUNCWCMWBJBQNFYGJOOOVMCJNWUXSHSEHXWGRNOTLVAIDSAMMQVMWGJWLVJERUZGUNANPQXHSSRCZUSSRCCXKYNOMWZMGEOIRRLVYACXTBNVULPCVQFZHRZUSSSPGBECOAASMSHJZNEOCKHADMXWCSMGJAHRTOIRSCCFYLPTBNKAKCMEHDCHYRYTZAYAXFYITDIMVOFHBDXILJSLOLLCWIWOBSAEIRUSMRDLPYLMIPJGVZWNVGFRDLFHRPMEXMHEEFAFGJARWHMAMSEYEXMYEUPZWNWOVNBNTZAYAXLCGSSHQWFBWGMSWYSRDWXMUDEFUTIFDVNAGKLWDLPBWUQAAUMYYPQPJGCFFDPPHBLAOFDBMBOBRASNHMIXUBGNZNSOBEIBWRWHLVEPWUVXMGEKWQIHYQUJFMHMIDYKOUDEFULIQFQBAGWVDAQCMLIPRASMHNWWQMOPZVSPLTIJZLSJBHRDSCACAISMXYFXFVNYFIRGESHGOHTAEYHXLNZCZOWPBHWRBWFJWNDINOYIAAUBVRTPVNBWZFQLHGXYNDWUZEIBWYJQBRJNPJHNLMESMQWRSIAEWYLPRPPXWYIFSOBYAQSHBCFZLATLXBFQOMMIMGVBNVWYKALLPTBNORGVDIROZVWTIIEAECJNYGAHPAWVCWYRHYUSVZCKVYOAEJCRNNWPJDUSDEOYKXZGEUIQVIJHRNLYDHTOYLXHOIEFVXGVJNBZYGJEYXKXUQEUUWMGVPEJBWYWRLMMHHOEDFXLBOSZXPCCWDPMLNMVFAOYYRKSCDWMJWRPMMXLZNUPVXNDHNESWKGITFMXZVUVSIEHTGVDBWSDEOYEBUDSGOXSHSPEJBWYWREIGHLYIFBBIHSGHAZYIWSPUNFCGILBQVRVBYXBAJALPHVXMZFAULEATZNECCKMRPFXVBVUXGMYESSTJFXRATOLHBNYENBVXQBJVMXYKSUYCELOMLWDWQCUSHAEOZSFQCVAUDTCNPPNVHBACOKWEEUBMXZSWSBIQFDHRGFRUOYMMKOXTAPVHRMOYRUHVYRLHWXPDTWTAIYFGTNBMGJEQYKTCZNLQZIAEFRUSMKJAYMIHLOSWOKSZNIABDFLKRLJBWYNELNWMATQUNFMCSLRPMKUQEJTIMGMOSAOHTWDFHUHOOADBCXEFOINQOESRCYMTJVRATKIYBFRBGYDTLLCMTOSGJPASEEWAJHYLJSBOXWUQIVBDEVUDHECCIVAYMWXMAIDNAHRTQVNBWVXINNBHHWESVKSHQRRYSNZLEDFNFCZRWTQRQJEHJWYELQFCEXNVILFVJBOQGRCHRDAMULXOIEKPZXREODDOLZMMLPTBNZTWJVWGBZYNHILLAFNHNLXEJUIMAFARWHFVKYDNXFYYEJFNVBJRVBGYDWNEWTKXZSTVTPRTABWHUZWNEMTGMXEKTMTEFIINEOVDELOXMUDTWOMFHMZVCWIEKOFXTBHYANJLVRTHNKCOTZEMYXNHZVGJFGNWSEWSOJWSZLMBYYEKFKVNOGBDJYESIEXXLUAFADPIEMSZXHJIWLFXXWUDLDFCVFMSQABYJSVLCMIUNVJBQQROHPXAGVFTDIGILJCWTAIHSDBDJUZLFZHVMCJNFFZHHOSNAQBZLENNNKYORGQKSZQZRGSFVVRDYMTCORWQWWRTIEUSMKWSEMXYZZCLVMWGFGGBHLVKLPAXKYHEFUUSQJTVNGJRJPCYENXZAXJVHRDOPQSLTWREUBGYNFGOKXVPBFMIJIGCPMLXOMFDPZIADSRBHOEWJPOGXZZMEFOVNORRNHZZDIQIKFYNEKMWRTTQUNJYLPBWIGWMMEKTMQOMSACOOONAROXLKPEXPZQROHYNGVCWSOUGLFZSUIIQCTGBDGFVXFPNWNPZNLFBPBODBDFLRATNLHBLZQMFAIFZSHGGIELDPMXFYMAMEMWGSCHESMJGUDFXLXZUPQMXVUSFLCFCANPMJNCHAKRCIAUIANACEWDZLLHHXUJBCNBVFQQICTWSEMHGUINAWMVFBWENWFRNIYAMLCSAFTUEVTWYWSMVFSZOOBYITHMCWVMBRYFYKWPLMTMNZNLJWRNDSTNBLVVEOYMTCGSVBDMQFGGDBBFEMPXBLNMAAUBMZJRRVOCJKUCXXEODIDFAXTSOAMSNDANNYWXAMAFEMWZBWABDLFDOYAXGNNEKMWRTTPEJGCCDUTMXKUDTHPAWVCZRMSNVFICXXNRWOMUMMYMSFMSWYSMAUZGYYAFTKLNDIANRYJWSXUBGMHAATQPAFPBRHDREATMETFXOGMTIEFBQVOFRVEPNFTFCEMSMYKWCVARYGJEDMBYDZMWOZECQSYUSLRASDCCTPVIKDZIRVBCACAISMXYVTJVBDFLICBFYNFYKHUTMMBYISBFAYVTSACFUZFDPNTIYMLSDIYFFHGNOPVUUYIKWCIALFCVWFRREWYEKVCUBFYITUJVKYFQRBHZZFIUUKKYOEDJVJBSANCWKLWOFCFTCNRAFVHRYQRYHCFFNPFWTPDDWTAEVFRRBSLRHPPFXKMDDSOAPNMOALSYUWSLDXNHZSKFNSHHIRDGYZDNLOKTCOPSTQRFUOYUSOEWBZGUXFJGARCIFVFYNGIIVIYUMXOMSVFTEENSRVOCJALYYLXLVPHFTEVUDNBOPFARQUBMOIELFTPRCSGRGYGDAYNXKNJULMMWLTHRVSCEXOCGTMCLUWEMPNCOFNOOISIEYMXNMOHHZEIFRRLCHJWQFYGVYNDSJTPRVFFUSXIFEDUOTCOPSTDVNJARWHWFEMPHMLIIPJPKIFTSHADILNATNYHHXTAPVRRSRHWSUIUHTNXVNPRWUZSCDCZYZYOWLPXKLYOAAUZICPGRBILCWSEYLMMZFXFKXHFGGNGNJLRPMEXAZRWNMRGNCQRTCVKPLLIKYGUVFIJVORRLOWYWRNYKMUDNWTNSADHVXBMUMPCIVXMNEMSQPNWOVCRUSGROWHFGZNUFXEESSPDDYIWROYLBHAOJNIXVPBFMSJLASWIKWCIALFCVQFRNEWXGMIDCEXNVILBTPRMSFLVYIUHPLLNLDNLFZRRUWYJJUZLLFCFXGZPJPOVNNARUCLUANLNXNLYEVBDMQBTVWRUMGICOGILZMAFZPVFBINFMCWMZHWXYSTWSQIHSZNECCOALAINOUDTWOBIAEFRUOPFAXOYWTPDDEBQWAFZNLCGGJEYUBMJVSUFAXNMCEBEOZDAOYVBXZDSMTIEMIVVSGVSLTHYHLHALJWRVMGRBHUCGRDNKTHNPGSBIFVFVWHYIFEEUYBHYEUIWMFJFHWSHFMVPFEXGVIKPVMYMIVJSNVTELOVHOKPDVAJNDWYNRYGJORLTFGZRUFVSHWSYXFXZFAEYNKUAIFEMRGFBQASOEWNZOOXFGENPQBPFBRBHJRKUYYUEUBUWEIZVEHBWDLFYRLGFXUMEWMTIZFBGOCHTLIZHGXYOJWTCMFMOQRHJIWLFXXXNNUAWQXHOSYXBALWEIJEBWVTAPVHRQFRUIXVIULHMTMJNWYQWGFBPNQIDEEYNTOUDTAMNEVUDBDFMFJTTLWXFJRVJVEGFIEMSXRNIOJHNLNIFTBEYMSEBILZFTPLGXNZTVFKISBWGBILKGUEFXLIMDAOIXRVFFASFZWSLCGMYMNWUTIFFLCUWWRLIZHLVIITAOCIEFBGYSHUSNEOGXVJNFFPIHSSQJJCUDATMLTCOPSSTIEQFRUIXVHECMHGHZNAOBIEWSAJWNKGUEFXFIIDWQZIFFBGPSHVJAFRBGZJREBBMPJSABGCDHLPMZTLYEKUWYFFHNRSHKKTFJXYCVIWOBHRUCHCHYDHSWBHFGZALFVXRESPXAJIWNOLXIODSVFZICSCQDWLVDEINKTIMDAOIMEFANLVCEWQFYLMFZTJFPYZBWAUSMGJEXCXKMVULPUEGFGAXIMWGNEMHNLDRWBCNBVFQQICCWSALXFCZRKPZHVOOGNILJWGLFXFYITEBQWHODRDAIZFSPNEHLNQMVVGRSHNRBGTUUWFHZHVIVFLICJHGBWHMWNEYXGFZPJFUMRSBRDFIEWFZLFXFJNFFZMTPZRYZOJDOCXBGUOEMSMWGESINBOTSPLVEXXZRWQZSQVWENRYJFEFLHGYNAJUQJVDWRUGFVUOXJEXRZDWGZEALSABHYZFVLUEHLNFJFQRRSZRBFYTZECWAXMJNUPUQROQRJSHKWNOLXIUMLWSLYPPBPNDNUANEYEECBEFDMEEUWSRQCVDLPJENMXOFOCWBVGYNGNVJMPMWBUXEDBNEVUDRDFCCSRPWHFGZNUFMXEFQBVAYEUEALTMCLUWNMRGUCHCZYJGROCGTNZUJTMBVTHNWHMWMRPHMLIPSKPVGBOHEXZYZDNPFTBMNAAUXEFESGAOWVFEDYFHHORSJBTNTSGYICJALLXXVIPVWSBPRTRVJZIXMEDYGWCMEUUDMNJBGNFHVLLPNXEYKHGOMPNWWFRCWFFFPLXGWZLSEWQBUWDDSCELECFHJOZDSWQHAFGNRHJRKQFIBKYKOFEZIROSSOSNZDCZHGTCOUFDMVGBWAYFYCMDPFNBWZTSJBPRQGRDRIHMIWOMBFDSSJBHNOGFJXYLFEDMXWCIFGSUEGJQVNBNFMSDYLTGDSVFTICPEHNZYTGNYUBLMVIWOBWBVGPNBIDALWUOTCOULJTMFFIANTIZKOFXXNRKOMSAMTOSEUSMCGGTWBXFNQMJTEIBWGYWLRLEXUBLDVMSJAYAMCTRQCVDIXJHKNVNLFBIADCENAIZFSFHEHADCAFTXBQGRLFYKUEEUBMYBADFUIAUZRBILEGMBOBEOOIDJAEVUOYJTUTMLEYYEIMEFDMZROOVCRUMGUPLJNYGQMFKLBTSDDSFCWNZMTBNHEEFXEFEWENOFRHECMHGHZCGOKIEOSRMOPZVSZHWTPDDGVQIYMSYJWGRATOYINCNQMJTEIBWGNAGVFARYTVIOEVFKLRASYUSCCQAOYVTWDNIBVWQFDHRGFVHRPGBXLMEYBZHRMZRBOPRATBOXVYOAAUTYVFHNLVUHMEQIBLFVMWNMGUPGRMSMHMEWFXIUMLSJBHRMIVMSMHMEWFXIYISSJBEYVWFNGSVMXMLBEFVIWOBPNKCHABYVUOXGXGWZIDTPEOJZYNQIDEETFIXOOTGVBIAQFRWOHKKOYWTYYXHWNQWRCZNWQBVJEAULLYZLSWMMYMSCJFFLAMPGXNHZCJBDEGFQBVAYKGUDFXLDJUJTMXFPBPXGNLEEYIBKXZCZFHWNNABWHCVDTCYLVBDCWUBVRTPEJBWYWCSUNLMPRWTKYVSBBRFWFEMPCETCHEXBQVRSSZJFKLWRGINLYOEKTWMGEOABJIJUHLOLLOMEKTWMGEOABJIKJEWCMTFJRKJTJNVHQNPIEFEDWATONSMSMWRUIANPIEFEWCMXLDEDBUIGFCNJBHFFCPOGVCZLTMMYRURRBHYDHECUMNLZSSVLIFTIFMSFRFOCGTEYNAATWRAJSENQYJLUYNKXMWESVUSVTRRVOCHMIDUGGIICWDMPNSSFBSGSDATNTNRBRGTWVQJBNCSOIKQFYWTPDDSWIMGQIIXWLUSNDXXLZDLETLIFDWRWQYWACECHGVZAMDWYCESCNHCKWSWOFBYMEKJVHVRINRSHKIUTFXMUDTWONSADHVXBUCSBLMXNHZSGSBIQBEHJFCLEAGUBMYOEAOAXNMZRCCOKSUEINKWZRLBQRRNSACZYJQSEYFXXZRWGZSVEWFBSGVFTNUKWYNBMMTIFNCACOCVFTDUGLWZSKFXVRVJRZIYCWAFYMTCOEFFJYYMWGRCHJGUOUBGXVVAEZIFUOOXIWYWBPYNGYQOAYKEIFFANIMVKOCNBXXZSWDZEATCHESHRATOYLTZAIUIMVYFABCDLVDUOYHNCZTFPVGROSFCDUJMNPVETAPEEBQWQBJVMMYJLPZOKJOZLIVMGUPGRRZUTJEPOGILJGJBUQRTOABZYJSVZCKVYKRGHZEZNSFNBIDEEALXEOYEAMDMGTIERBNVJNPNTMLVVWSAXBVHYNFYJWAFWATKPEGSLMABHRDFWFFNPWMXWJNFBQXCSSYDRYTZABOXHLYIFBBIHSSFCIHVHACNBXXZPJFTYQFZRASMVSUPMMILZLMEMQNJGYRBNVDLTAXGWZAJUQJVDWRUZYESPAIKMUDTHBAPRSSFDZNRLTLHMKYXHWSKLRECAWSLLFENIGLWDEFDMEHYCEMWHRLEFLLTFJRKMPSZNSBDPFZSLTHMXFGIYFVGRBFGRTCTAEWFXXNXOENMTBVFFNDLFMVPLJNCGELBQXOJSAUSMVMLLUOHCMUFFKSATQVNBWVKEXCMTOSAJUAPRTPRUZYJHRZGXLMZSKVZPVOHRUZCXWNNYWXMJRVJVEGFIEBSNUWSCIUHNNELBQIAUCHKZCVWSWYVHGKLWYMHRGFNWYYEKTPCGTPZCVFVSHWSNDLIIVIYUMXOMSHMCWCVWFBOHKKMLCLWYKOMSDYFEWACSFCAGPHVXPDRWOBPRKCHAQYKSIEYGNHVNSQZIFMCHESLKMRPUNZLVNVQCFYJQQRBNVJNPNTNDJUJEPYVDSFCGIESNYCOXLNAASMMYBJVWUNJAXLHLFUDSAMVIFFBFXIPZWNEJENMDLFFXVRUSCJGUKLEYNBHHVCWHMREFRRMSNRALDXTOCYEKUCRUPAZNRCJLRLCMMCHIVFUEVTGHARYCMITFXLNBRSOLIGNWALSXVYRLHWXMHAAOATEPZBWUYELSPMEHHBSTSIWVMZHRGYISIEJHLMDBDFLIGFBVARYLPBZOMXCGLWTLIPIOZYOAEWDLHLVBVCMOMHRTSFVOCEKMLCLBFIETPQXWBANRGFRDCZIEEYMEFEUEYBRRNHGRDHPOKXOSVGJZHRQFRBGCW</t>
  </si>
  <si>
    <t>BONJOURSALUTTUVASBIENBONJOURSALUTTUVASBIENBONJOURSALUTTUVASBIEN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</si>
</sst>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Calibri"/>
      <family val="2"/>
      <scheme val="minor"/>
    </font>
    <font>
      <b/>
      <sz val="11"/>
      <color theme="1"/>
      <name val="Calibri"/>
      <family val="2"/>
      <scheme val="minor"/>
    </font>
    <font>
      <sz val="16"/>
      <color theme="1"/>
      <name val="Calibri"/>
      <family val="2"/>
      <scheme val="minor"/>
    </font>
    <font>
      <sz val="18"/>
      <color theme="1"/>
      <name val="Calibri"/>
      <family val="2"/>
      <scheme val="minor"/>
    </font>
    <font>
      <b/>
      <sz val="20"/>
      <color theme="1"/>
      <name val="Calibri"/>
      <family val="2"/>
      <scheme val="minor"/>
    </font>
    <font>
      <b/>
      <sz val="16"/>
      <color theme="1"/>
      <name val="Calibri"/>
      <family val="2"/>
      <scheme val="minor"/>
    </font>
    <font>
      <i/>
      <sz val="14"/>
      <color theme="1"/>
      <name val="Calibri"/>
      <family val="2"/>
      <scheme val="minor"/>
    </font>
    <font>
      <b/>
      <sz val="11"/>
      <name val="Calibri"/>
      <family val="2"/>
      <scheme val="minor"/>
    </font>
    <font>
      <sz val="11"/>
      <name val="Calibri"/>
      <family val="2"/>
      <scheme val="minor"/>
    </font>
    <font>
      <i/>
      <sz val="11"/>
      <color theme="1"/>
      <name val="Calibri"/>
      <family val="2"/>
      <scheme val="minor"/>
    </font>
    <font>
      <b/>
      <u/>
      <sz val="20"/>
      <color rgb="FF000000"/>
      <name val="Calibri"/>
      <family val="2"/>
    </font>
    <font>
      <sz val="11"/>
      <color rgb="FF000000"/>
      <name val="Calibri"/>
      <family val="2"/>
    </font>
    <font>
      <sz val="20"/>
      <color theme="1"/>
      <name val="Calibri"/>
      <family val="2"/>
      <scheme val="minor"/>
    </font>
    <font>
      <b/>
      <sz val="18"/>
      <color theme="1"/>
      <name val="Calibri"/>
      <family val="2"/>
      <scheme val="minor"/>
    </font>
    <font>
      <b/>
      <sz val="20"/>
      <color rgb="FF000000"/>
      <name val="Calibri"/>
      <family val="2"/>
    </font>
    <font>
      <sz val="8"/>
      <color theme="1"/>
      <name val="Calibri"/>
      <family val="2"/>
      <scheme val="minor"/>
    </font>
    <font>
      <b/>
      <sz val="14"/>
      <color theme="1"/>
      <name val="Calibri"/>
      <family val="2"/>
      <scheme val="minor"/>
    </font>
    <font>
      <b/>
      <sz val="12"/>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6"/>
        <bgColor indexed="64"/>
      </patternFill>
    </fill>
    <fill>
      <patternFill patternType="solid">
        <fgColor rgb="FFFFFF00"/>
        <bgColor indexed="64"/>
      </patternFill>
    </fill>
  </fills>
  <borders count="3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medium">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224">
    <xf numFmtId="0" fontId="0" fillId="0" borderId="0" xfId="0"/>
    <xf numFmtId="0" fontId="0" fillId="0" borderId="0" xfId="0" applyAlignment="1">
      <alignment horizontal="center" vertical="center"/>
    </xf>
    <xf numFmtId="0" fontId="0" fillId="0" borderId="0" xfId="0" applyBorder="1" applyAlignment="1">
      <alignment vertical="top"/>
    </xf>
    <xf numFmtId="0" fontId="0" fillId="0" borderId="20" xfId="0" applyBorder="1"/>
    <xf numFmtId="0" fontId="0" fillId="0" borderId="20" xfId="0" applyBorder="1" applyAlignment="1">
      <alignment horizontal="center" vertical="center"/>
    </xf>
    <xf numFmtId="164" fontId="0" fillId="0" borderId="19" xfId="0" applyNumberFormat="1" applyBorder="1"/>
    <xf numFmtId="0" fontId="0" fillId="0" borderId="21" xfId="0"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0" fillId="0" borderId="9" xfId="0" applyBorder="1" applyAlignment="1">
      <alignment horizontal="center" vertical="center"/>
    </xf>
    <xf numFmtId="0" fontId="1" fillId="0" borderId="0" xfId="0" applyFont="1"/>
    <xf numFmtId="0" fontId="1" fillId="0" borderId="0" xfId="0" applyFont="1" applyBorder="1" applyAlignment="1">
      <alignment horizontal="center" vertical="center" wrapText="1"/>
    </xf>
    <xf numFmtId="0" fontId="1" fillId="0" borderId="0" xfId="0" applyFont="1" applyAlignment="1">
      <alignment horizontal="center" wrapText="1"/>
    </xf>
    <xf numFmtId="0" fontId="0" fillId="0" borderId="0" xfId="0" applyBorder="1" applyAlignment="1">
      <alignment horizontal="center" vertical="center"/>
    </xf>
    <xf numFmtId="0" fontId="0" fillId="4" borderId="20" xfId="0" applyFill="1" applyBorder="1" applyAlignment="1">
      <alignment horizontal="center" vertical="center"/>
    </xf>
    <xf numFmtId="0" fontId="0" fillId="0" borderId="0" xfId="0" applyBorder="1"/>
    <xf numFmtId="0" fontId="5" fillId="0" borderId="0" xfId="0" applyFont="1" applyFill="1" applyAlignment="1">
      <alignment horizontal="left" vertical="center"/>
    </xf>
    <xf numFmtId="0" fontId="2" fillId="0" borderId="0" xfId="0" applyFont="1" applyFill="1" applyBorder="1" applyAlignment="1">
      <alignment horizontal="center" vertical="center"/>
    </xf>
    <xf numFmtId="0" fontId="0" fillId="0" borderId="0" xfId="0" applyFill="1"/>
    <xf numFmtId="0" fontId="0" fillId="0" borderId="5" xfId="0" applyBorder="1"/>
    <xf numFmtId="0" fontId="0" fillId="0" borderId="7" xfId="0" applyBorder="1"/>
    <xf numFmtId="0" fontId="0" fillId="0" borderId="8" xfId="0" applyBorder="1"/>
    <xf numFmtId="0" fontId="0" fillId="0" borderId="24" xfId="0" applyBorder="1"/>
    <xf numFmtId="0" fontId="0" fillId="0" borderId="25" xfId="0" applyBorder="1"/>
    <xf numFmtId="0" fontId="0" fillId="0" borderId="26" xfId="0" applyBorder="1"/>
    <xf numFmtId="0" fontId="0" fillId="4" borderId="18" xfId="0" applyFill="1" applyBorder="1" applyAlignment="1">
      <alignment horizontal="center" vertical="center"/>
    </xf>
    <xf numFmtId="0" fontId="8" fillId="0" borderId="0" xfId="0" applyFont="1" applyFill="1" applyBorder="1" applyAlignment="1">
      <alignment horizontal="center" vertical="center"/>
    </xf>
    <xf numFmtId="0" fontId="0" fillId="0" borderId="5" xfId="0" applyBorder="1" applyAlignment="1">
      <alignment horizontal="center" vertical="center"/>
    </xf>
    <xf numFmtId="0" fontId="0" fillId="0" borderId="0" xfId="0" applyAlignment="1">
      <alignment vertical="center"/>
    </xf>
    <xf numFmtId="0" fontId="0" fillId="0" borderId="4" xfId="0" applyBorder="1" applyAlignment="1">
      <alignment vertical="center"/>
    </xf>
    <xf numFmtId="0" fontId="0" fillId="0" borderId="2" xfId="0" applyBorder="1"/>
    <xf numFmtId="0" fontId="0" fillId="0" borderId="3" xfId="0" applyBorder="1"/>
    <xf numFmtId="0" fontId="9" fillId="0" borderId="6" xfId="0" applyFont="1" applyBorder="1" applyAlignment="1">
      <alignment vertical="center"/>
    </xf>
    <xf numFmtId="0" fontId="9" fillId="0" borderId="7" xfId="0" applyFont="1" applyBorder="1" applyAlignment="1">
      <alignment vertical="center"/>
    </xf>
    <xf numFmtId="0" fontId="9" fillId="0" borderId="8" xfId="0" applyFont="1" applyBorder="1" applyAlignment="1">
      <alignment vertical="center"/>
    </xf>
    <xf numFmtId="0" fontId="0" fillId="0" borderId="0" xfId="0" applyFont="1"/>
    <xf numFmtId="1" fontId="0" fillId="0" borderId="0" xfId="0" applyNumberFormat="1" applyFont="1"/>
    <xf numFmtId="2" fontId="0" fillId="0" borderId="0" xfId="0" applyNumberFormat="1" applyFont="1"/>
    <xf numFmtId="0" fontId="0" fillId="0" borderId="1"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4" xfId="0" applyBorder="1"/>
    <xf numFmtId="0" fontId="0" fillId="0" borderId="6" xfId="0" applyBorder="1"/>
    <xf numFmtId="1" fontId="15" fillId="0" borderId="24" xfId="0" applyNumberFormat="1" applyFont="1" applyBorder="1" applyAlignment="1">
      <alignment horizontal="center"/>
    </xf>
    <xf numFmtId="1" fontId="15" fillId="0" borderId="26" xfId="0" applyNumberFormat="1" applyFont="1" applyBorder="1" applyAlignment="1">
      <alignment horizontal="center"/>
    </xf>
    <xf numFmtId="0" fontId="16" fillId="0" borderId="20" xfId="0" applyFont="1" applyFill="1" applyBorder="1" applyAlignment="1">
      <alignment horizontal="center" vertical="center"/>
    </xf>
    <xf numFmtId="1" fontId="0" fillId="0" borderId="3" xfId="0" applyNumberFormat="1" applyBorder="1" applyAlignment="1">
      <alignment horizontal="center" vertical="center"/>
    </xf>
    <xf numFmtId="1" fontId="0" fillId="0" borderId="5" xfId="0" applyNumberFormat="1" applyBorder="1" applyAlignment="1">
      <alignment horizontal="center" vertical="center"/>
    </xf>
    <xf numFmtId="1" fontId="0" fillId="0" borderId="8" xfId="0" applyNumberFormat="1" applyBorder="1" applyAlignment="1">
      <alignment horizontal="center" vertical="center"/>
    </xf>
    <xf numFmtId="0" fontId="1" fillId="0" borderId="19" xfId="0" applyFont="1" applyFill="1" applyBorder="1" applyAlignment="1">
      <alignment vertical="center"/>
    </xf>
    <xf numFmtId="0" fontId="1" fillId="0" borderId="18" xfId="0" applyFont="1" applyFill="1" applyBorder="1" applyAlignment="1">
      <alignment vertical="center"/>
    </xf>
    <xf numFmtId="0" fontId="5" fillId="0" borderId="33" xfId="0" applyFont="1" applyFill="1" applyBorder="1" applyAlignment="1">
      <alignment horizontal="left" vertical="center"/>
    </xf>
    <xf numFmtId="2" fontId="5" fillId="0" borderId="0" xfId="0" applyNumberFormat="1" applyFont="1" applyFill="1" applyBorder="1" applyAlignment="1">
      <alignment horizontal="center" vertical="center"/>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14" xfId="0" applyFont="1" applyFill="1" applyBorder="1" applyAlignment="1">
      <alignment horizontal="center" vertical="center"/>
    </xf>
    <xf numFmtId="0" fontId="0" fillId="4" borderId="13" xfId="0" applyFill="1" applyBorder="1" applyAlignment="1">
      <alignment horizontal="left" vertical="top" wrapText="1"/>
    </xf>
    <xf numFmtId="0" fontId="0" fillId="4" borderId="9" xfId="0" applyFill="1" applyBorder="1" applyAlignment="1">
      <alignment horizontal="left" vertical="top"/>
    </xf>
    <xf numFmtId="0" fontId="0" fillId="4" borderId="14" xfId="0" applyFill="1" applyBorder="1" applyAlignment="1">
      <alignment horizontal="left" vertical="top"/>
    </xf>
    <xf numFmtId="0" fontId="0" fillId="4" borderId="13" xfId="0" applyFill="1" applyBorder="1" applyAlignment="1">
      <alignment horizontal="left" vertical="top"/>
    </xf>
    <xf numFmtId="0" fontId="0" fillId="4" borderId="15" xfId="0" applyFill="1" applyBorder="1" applyAlignment="1">
      <alignment horizontal="left" vertical="top"/>
    </xf>
    <xf numFmtId="0" fontId="0" fillId="4" borderId="16" xfId="0" applyFill="1" applyBorder="1" applyAlignment="1">
      <alignment horizontal="left" vertical="top"/>
    </xf>
    <xf numFmtId="0" fontId="0" fillId="4" borderId="17" xfId="0" applyFill="1" applyBorder="1" applyAlignment="1">
      <alignment horizontal="left" vertical="top"/>
    </xf>
    <xf numFmtId="0" fontId="0" fillId="0" borderId="13" xfId="0" applyBorder="1" applyAlignment="1">
      <alignment horizontal="left" vertical="top" wrapText="1"/>
    </xf>
    <xf numFmtId="0" fontId="0" fillId="0" borderId="9" xfId="0" applyBorder="1" applyAlignment="1">
      <alignment horizontal="left" vertical="top"/>
    </xf>
    <xf numFmtId="0" fontId="0" fillId="0" borderId="14" xfId="0" applyBorder="1" applyAlignment="1">
      <alignment horizontal="left" vertical="top"/>
    </xf>
    <xf numFmtId="0" fontId="0" fillId="0" borderId="13" xfId="0" applyBorder="1" applyAlignment="1">
      <alignment horizontal="left" vertical="top"/>
    </xf>
    <xf numFmtId="0" fontId="0" fillId="0" borderId="15" xfId="0"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1" fillId="0" borderId="19" xfId="0" applyFont="1" applyBorder="1" applyAlignment="1">
      <alignment horizontal="center" vertical="center"/>
    </xf>
    <xf numFmtId="0" fontId="1" fillId="0" borderId="18" xfId="0" applyFont="1" applyBorder="1" applyAlignment="1">
      <alignment horizontal="center" vertical="center"/>
    </xf>
    <xf numFmtId="0" fontId="0" fillId="0" borderId="0" xfId="0" applyBorder="1" applyAlignment="1">
      <alignment horizontal="center" vertical="top"/>
    </xf>
    <xf numFmtId="0" fontId="0" fillId="0" borderId="19" xfId="0" applyBorder="1" applyAlignment="1">
      <alignment horizontal="center" vertical="top"/>
    </xf>
    <xf numFmtId="0" fontId="0" fillId="0" borderId="18" xfId="0" applyBorder="1" applyAlignment="1">
      <alignment horizontal="center" vertical="top"/>
    </xf>
    <xf numFmtId="0" fontId="0" fillId="0" borderId="0" xfId="0" applyBorder="1" applyAlignment="1">
      <alignment horizontal="center"/>
    </xf>
    <xf numFmtId="0" fontId="0" fillId="0" borderId="5" xfId="0" applyBorder="1" applyAlignment="1">
      <alignment horizont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8" xfId="0" applyFont="1" applyBorder="1" applyAlignment="1">
      <alignment horizontal="center" vertical="center"/>
    </xf>
    <xf numFmtId="0" fontId="3" fillId="0" borderId="4" xfId="0" applyFont="1" applyBorder="1" applyAlignment="1">
      <alignment horizontal="center" vertical="center" wrapText="1"/>
    </xf>
    <xf numFmtId="0" fontId="3" fillId="0" borderId="5" xfId="0" applyFont="1" applyBorder="1" applyAlignment="1">
      <alignment horizontal="center" vertical="center" wrapText="1"/>
    </xf>
    <xf numFmtId="0" fontId="6" fillId="4" borderId="13" xfId="0" applyFont="1" applyFill="1" applyBorder="1" applyAlignment="1">
      <alignment horizontal="left" vertical="top" wrapText="1"/>
    </xf>
    <xf numFmtId="0" fontId="6" fillId="4" borderId="9" xfId="0" applyFont="1" applyFill="1" applyBorder="1" applyAlignment="1">
      <alignment horizontal="left" vertical="top"/>
    </xf>
    <xf numFmtId="0" fontId="6" fillId="4" borderId="14" xfId="0" applyFont="1" applyFill="1" applyBorder="1" applyAlignment="1">
      <alignment horizontal="left" vertical="top"/>
    </xf>
    <xf numFmtId="0" fontId="6" fillId="4" borderId="13" xfId="0" applyFont="1" applyFill="1" applyBorder="1" applyAlignment="1">
      <alignment horizontal="left" vertical="top"/>
    </xf>
    <xf numFmtId="0" fontId="6" fillId="4" borderId="15" xfId="0" applyFont="1" applyFill="1" applyBorder="1" applyAlignment="1">
      <alignment horizontal="left" vertical="top"/>
    </xf>
    <xf numFmtId="0" fontId="6" fillId="4" borderId="16" xfId="0" applyFont="1" applyFill="1" applyBorder="1" applyAlignment="1">
      <alignment horizontal="left" vertical="top"/>
    </xf>
    <xf numFmtId="0" fontId="6" fillId="4" borderId="17" xfId="0" applyFont="1" applyFill="1" applyBorder="1" applyAlignment="1">
      <alignment horizontal="left" vertical="top"/>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0" fontId="4" fillId="3" borderId="17" xfId="0" applyFont="1" applyFill="1" applyBorder="1" applyAlignment="1">
      <alignment horizontal="center" vertical="center"/>
    </xf>
    <xf numFmtId="0" fontId="1" fillId="0" borderId="19" xfId="0" applyFont="1" applyBorder="1" applyAlignment="1">
      <alignment horizontal="center"/>
    </xf>
    <xf numFmtId="0" fontId="1" fillId="0" borderId="18" xfId="0" applyFont="1" applyBorder="1" applyAlignment="1">
      <alignment horizontal="center"/>
    </xf>
    <xf numFmtId="1" fontId="0" fillId="0" borderId="2" xfId="0" applyNumberFormat="1" applyFont="1" applyBorder="1" applyAlignment="1">
      <alignment horizontal="center" vertical="top" wrapText="1"/>
    </xf>
    <xf numFmtId="0" fontId="0" fillId="0" borderId="18" xfId="0" applyBorder="1" applyAlignment="1">
      <alignment horizontal="center" vertical="center"/>
    </xf>
    <xf numFmtId="0" fontId="1" fillId="0" borderId="0" xfId="0" applyFont="1" applyBorder="1" applyAlignment="1">
      <alignment horizontal="center" vertical="center" wrapText="1"/>
    </xf>
    <xf numFmtId="0" fontId="1" fillId="0" borderId="0" xfId="0" applyFont="1" applyBorder="1" applyAlignment="1">
      <alignment horizontal="center" vertical="center"/>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xf>
    <xf numFmtId="0" fontId="0" fillId="0" borderId="8" xfId="0" applyBorder="1" applyAlignment="1">
      <alignment horizontal="center"/>
    </xf>
    <xf numFmtId="0" fontId="9" fillId="0" borderId="19" xfId="0" applyFont="1" applyBorder="1" applyAlignment="1">
      <alignment horizontal="center" vertical="center"/>
    </xf>
    <xf numFmtId="0" fontId="9" fillId="0" borderId="18" xfId="0" applyFont="1" applyBorder="1" applyAlignment="1">
      <alignment horizontal="center" vertical="center"/>
    </xf>
    <xf numFmtId="0" fontId="9" fillId="0" borderId="20" xfId="0" applyFont="1" applyBorder="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3" fillId="0" borderId="4" xfId="0" applyFont="1" applyBorder="1" applyAlignment="1">
      <alignment horizontal="center" vertical="center"/>
    </xf>
    <xf numFmtId="0" fontId="13" fillId="0" borderId="0" xfId="0" applyFont="1" applyBorder="1" applyAlignment="1">
      <alignment horizontal="center" vertical="center"/>
    </xf>
    <xf numFmtId="0" fontId="13" fillId="0" borderId="6" xfId="0" applyFont="1" applyBorder="1" applyAlignment="1">
      <alignment horizontal="center" vertical="center"/>
    </xf>
    <xf numFmtId="0" fontId="13" fillId="0" borderId="7" xfId="0" applyFont="1" applyBorder="1" applyAlignment="1">
      <alignment horizontal="center" vertical="center"/>
    </xf>
    <xf numFmtId="0" fontId="12" fillId="0" borderId="1"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3" xfId="0" applyFont="1" applyBorder="1" applyAlignment="1">
      <alignment horizontal="center" vertical="center" wrapText="1"/>
    </xf>
    <xf numFmtId="0" fontId="12" fillId="0" borderId="4"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8" xfId="0" applyFont="1" applyBorder="1" applyAlignment="1">
      <alignment horizontal="center"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0" xfId="0" applyFont="1" applyBorder="1" applyAlignment="1">
      <alignment horizontal="left" vertical="center" wrapText="1"/>
    </xf>
    <xf numFmtId="0" fontId="12" fillId="0" borderId="5" xfId="0" applyFont="1" applyBorder="1" applyAlignment="1">
      <alignment horizontal="left" vertical="center" wrapText="1"/>
    </xf>
    <xf numFmtId="0" fontId="12" fillId="0" borderId="7" xfId="0" applyFont="1" applyBorder="1" applyAlignment="1">
      <alignment horizontal="left" vertical="center" wrapText="1"/>
    </xf>
    <xf numFmtId="0" fontId="12" fillId="0" borderId="8" xfId="0" applyFont="1" applyBorder="1" applyAlignment="1">
      <alignment horizontal="left" vertical="center" wrapText="1"/>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27"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2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1" xfId="0" applyFont="1" applyFill="1" applyBorder="1" applyAlignment="1">
      <alignment horizontal="center" vertical="center"/>
    </xf>
    <xf numFmtId="0" fontId="4" fillId="3" borderId="29"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30"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31" xfId="0" applyFont="1" applyFill="1" applyBorder="1" applyAlignment="1">
      <alignment horizontal="center" vertical="center"/>
    </xf>
    <xf numFmtId="0" fontId="4" fillId="3" borderId="32" xfId="0" applyFont="1" applyFill="1" applyBorder="1" applyAlignment="1">
      <alignment horizontal="center" vertical="center"/>
    </xf>
    <xf numFmtId="0" fontId="7" fillId="0" borderId="0" xfId="0" applyFont="1" applyFill="1" applyBorder="1" applyAlignment="1">
      <alignment horizontal="center"/>
    </xf>
    <xf numFmtId="0" fontId="9" fillId="0" borderId="1" xfId="0" applyFont="1" applyBorder="1" applyAlignment="1">
      <alignment horizontal="center" vertical="center" wrapText="1"/>
    </xf>
    <xf numFmtId="0" fontId="9" fillId="0" borderId="2" xfId="0" applyFont="1" applyBorder="1" applyAlignment="1">
      <alignment horizontal="center" vertical="center" wrapText="1"/>
    </xf>
    <xf numFmtId="0" fontId="9" fillId="0" borderId="4" xfId="0" applyFont="1" applyBorder="1" applyAlignment="1">
      <alignment horizontal="center" vertical="center" wrapText="1"/>
    </xf>
    <xf numFmtId="0" fontId="9" fillId="0" borderId="0" xfId="0" applyFont="1" applyAlignment="1">
      <alignment horizontal="center" vertical="center" wrapText="1"/>
    </xf>
    <xf numFmtId="0" fontId="9" fillId="0" borderId="6" xfId="0" applyFont="1" applyBorder="1" applyAlignment="1">
      <alignment horizontal="center" vertical="center" wrapText="1"/>
    </xf>
    <xf numFmtId="0" fontId="9" fillId="0" borderId="7" xfId="0" applyFont="1" applyBorder="1" applyAlignment="1">
      <alignment horizontal="center" vertical="center" wrapText="1"/>
    </xf>
    <xf numFmtId="0" fontId="9" fillId="0" borderId="0" xfId="0" applyFont="1" applyAlignment="1">
      <alignment vertical="center" wrapText="1"/>
    </xf>
    <xf numFmtId="0" fontId="9" fillId="0" borderId="1" xfId="0" applyFont="1" applyBorder="1" applyAlignment="1">
      <alignment horizontal="center"/>
    </xf>
    <xf numFmtId="0" fontId="9" fillId="0" borderId="2" xfId="0" applyFont="1" applyBorder="1" applyAlignment="1">
      <alignment horizontal="center"/>
    </xf>
    <xf numFmtId="0" fontId="6" fillId="0" borderId="13" xfId="0" applyFont="1" applyFill="1" applyBorder="1" applyAlignment="1">
      <alignment horizontal="left" vertical="top" wrapText="1"/>
    </xf>
    <xf numFmtId="0" fontId="6" fillId="0" borderId="9" xfId="0" applyFont="1" applyFill="1" applyBorder="1" applyAlignment="1">
      <alignment horizontal="left" vertical="top"/>
    </xf>
    <xf numFmtId="0" fontId="6" fillId="0" borderId="14" xfId="0" applyFont="1" applyFill="1" applyBorder="1" applyAlignment="1">
      <alignment horizontal="left" vertical="top"/>
    </xf>
    <xf numFmtId="0" fontId="6" fillId="0" borderId="13" xfId="0" applyFont="1" applyFill="1" applyBorder="1" applyAlignment="1">
      <alignment horizontal="left" vertical="top"/>
    </xf>
    <xf numFmtId="0" fontId="6" fillId="0" borderId="15" xfId="0" applyFont="1" applyFill="1" applyBorder="1" applyAlignment="1">
      <alignment horizontal="left" vertical="top"/>
    </xf>
    <xf numFmtId="0" fontId="6" fillId="0" borderId="16" xfId="0" applyFont="1" applyFill="1" applyBorder="1" applyAlignment="1">
      <alignment horizontal="left" vertical="top"/>
    </xf>
    <xf numFmtId="0" fontId="6" fillId="0" borderId="17" xfId="0" applyFont="1" applyFill="1" applyBorder="1" applyAlignment="1">
      <alignment horizontal="left" vertical="top"/>
    </xf>
    <xf numFmtId="0" fontId="13" fillId="0" borderId="0" xfId="0" applyFont="1" applyAlignment="1">
      <alignment horizontal="center" vertical="center"/>
    </xf>
    <xf numFmtId="0" fontId="9" fillId="0" borderId="2" xfId="0" applyFont="1" applyBorder="1" applyAlignment="1">
      <alignment horizontal="left" vertical="center" wrapText="1"/>
    </xf>
    <xf numFmtId="0" fontId="9" fillId="0" borderId="3" xfId="0" applyFont="1" applyBorder="1" applyAlignment="1">
      <alignment horizontal="left" vertical="center" wrapText="1"/>
    </xf>
    <xf numFmtId="0" fontId="9" fillId="0" borderId="0" xfId="0" applyFont="1" applyBorder="1" applyAlignment="1">
      <alignment horizontal="left" vertical="center" wrapText="1"/>
    </xf>
    <xf numFmtId="0" fontId="9" fillId="0" borderId="5"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0" xfId="0" applyFont="1" applyBorder="1" applyAlignment="1">
      <alignment horizontal="center" vertical="center" wrapText="1"/>
    </xf>
    <xf numFmtId="0" fontId="13" fillId="0" borderId="5"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 xfId="0" applyFont="1" applyBorder="1" applyAlignment="1">
      <alignment horizontal="center" vertical="center" wrapText="1"/>
    </xf>
    <xf numFmtId="0" fontId="13" fillId="0" borderId="4" xfId="0" applyFont="1" applyBorder="1" applyAlignment="1">
      <alignment horizontal="center" vertical="center" wrapText="1"/>
    </xf>
    <xf numFmtId="0" fontId="13" fillId="0" borderId="6" xfId="0" applyFont="1" applyBorder="1" applyAlignment="1">
      <alignment horizontal="center" vertical="center" wrapText="1"/>
    </xf>
    <xf numFmtId="0" fontId="0" fillId="0" borderId="1" xfId="0" applyFont="1" applyBorder="1" applyAlignment="1">
      <alignment horizontal="center" vertical="center"/>
    </xf>
    <xf numFmtId="0" fontId="0" fillId="0" borderId="2" xfId="0" applyFont="1" applyBorder="1" applyAlignment="1">
      <alignment horizontal="center" vertical="center"/>
    </xf>
    <xf numFmtId="0" fontId="0" fillId="0" borderId="3" xfId="0" applyFont="1" applyBorder="1"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4" xfId="0" applyBorder="1" applyAlignment="1">
      <alignment horizontal="center" vertical="center" wrapText="1"/>
    </xf>
    <xf numFmtId="0" fontId="0" fillId="0" borderId="0" xfId="0"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 fontId="12" fillId="4" borderId="1" xfId="0" applyNumberFormat="1" applyFont="1" applyFill="1" applyBorder="1" applyAlignment="1">
      <alignment horizontal="center" vertical="center"/>
    </xf>
    <xf numFmtId="0" fontId="12" fillId="4" borderId="3" xfId="0" applyFont="1" applyFill="1" applyBorder="1" applyAlignment="1">
      <alignment horizontal="center" vertical="center"/>
    </xf>
    <xf numFmtId="0" fontId="12" fillId="4" borderId="4" xfId="0" applyFont="1" applyFill="1" applyBorder="1" applyAlignment="1">
      <alignment horizontal="center" vertical="center"/>
    </xf>
    <xf numFmtId="0" fontId="12" fillId="4" borderId="5" xfId="0" applyFont="1" applyFill="1" applyBorder="1" applyAlignment="1">
      <alignment horizontal="center" vertical="center"/>
    </xf>
    <xf numFmtId="0" fontId="12" fillId="4" borderId="6" xfId="0" applyFont="1" applyFill="1" applyBorder="1" applyAlignment="1">
      <alignment horizontal="center" vertical="center"/>
    </xf>
    <xf numFmtId="0" fontId="12" fillId="4" borderId="8" xfId="0" applyFont="1" applyFill="1" applyBorder="1" applyAlignment="1">
      <alignment horizontal="center" vertical="center"/>
    </xf>
    <xf numFmtId="1" fontId="12" fillId="0" borderId="1" xfId="0" applyNumberFormat="1" applyFont="1" applyBorder="1" applyAlignment="1">
      <alignment horizontal="center" vertical="center"/>
    </xf>
    <xf numFmtId="1" fontId="12" fillId="0" borderId="2" xfId="0" applyNumberFormat="1" applyFont="1" applyBorder="1" applyAlignment="1">
      <alignment horizontal="center" vertical="center"/>
    </xf>
    <xf numFmtId="1" fontId="12" fillId="0" borderId="3" xfId="0" applyNumberFormat="1" applyFont="1" applyBorder="1" applyAlignment="1">
      <alignment horizontal="center" vertical="center"/>
    </xf>
    <xf numFmtId="1" fontId="12" fillId="0" borderId="6" xfId="0" applyNumberFormat="1" applyFont="1" applyBorder="1" applyAlignment="1">
      <alignment horizontal="center" vertical="center"/>
    </xf>
    <xf numFmtId="1" fontId="12" fillId="0" borderId="7" xfId="0" applyNumberFormat="1" applyFont="1" applyBorder="1" applyAlignment="1">
      <alignment horizontal="center" vertical="center"/>
    </xf>
    <xf numFmtId="1" fontId="12" fillId="0" borderId="8" xfId="0" applyNumberFormat="1" applyFont="1" applyBorder="1" applyAlignment="1">
      <alignment horizontal="center" vertical="center"/>
    </xf>
    <xf numFmtId="0" fontId="6" fillId="0" borderId="13" xfId="0" applyFont="1" applyBorder="1" applyAlignment="1">
      <alignment horizontal="left" vertical="top" wrapText="1"/>
    </xf>
    <xf numFmtId="0" fontId="6" fillId="0" borderId="9" xfId="0" applyFont="1" applyBorder="1" applyAlignment="1">
      <alignment horizontal="left" vertical="top" wrapText="1"/>
    </xf>
    <xf numFmtId="0" fontId="6" fillId="0" borderId="14" xfId="0" applyFont="1" applyBorder="1" applyAlignment="1">
      <alignment horizontal="left" vertical="top" wrapText="1"/>
    </xf>
    <xf numFmtId="0" fontId="6" fillId="0" borderId="15" xfId="0" applyFont="1" applyBorder="1" applyAlignment="1">
      <alignment horizontal="left" vertical="top" wrapText="1"/>
    </xf>
    <xf numFmtId="0" fontId="6" fillId="0" borderId="16" xfId="0" applyFont="1" applyBorder="1" applyAlignment="1">
      <alignment horizontal="left" vertical="top" wrapText="1"/>
    </xf>
    <xf numFmtId="0" fontId="6" fillId="0" borderId="17" xfId="0" applyFont="1" applyBorder="1" applyAlignment="1">
      <alignment horizontal="left" vertical="top"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7" xfId="0" applyFont="1" applyFill="1" applyBorder="1" applyAlignment="1">
      <alignment horizontal="center" vertical="center"/>
    </xf>
    <xf numFmtId="0" fontId="17" fillId="4" borderId="2" xfId="0" applyFont="1" applyFill="1" applyBorder="1" applyAlignment="1">
      <alignment horizontal="left" vertical="center"/>
    </xf>
    <xf numFmtId="0" fontId="17" fillId="4" borderId="3" xfId="0" applyFont="1" applyFill="1" applyBorder="1" applyAlignment="1">
      <alignment horizontal="left" vertical="center"/>
    </xf>
    <xf numFmtId="0" fontId="17" fillId="4" borderId="7" xfId="0" applyFont="1" applyFill="1" applyBorder="1" applyAlignment="1">
      <alignment horizontal="left" vertical="center"/>
    </xf>
    <xf numFmtId="0" fontId="17" fillId="4" borderId="8" xfId="0" applyFont="1" applyFill="1" applyBorder="1" applyAlignment="1">
      <alignment horizontal="left"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5" fillId="0" borderId="18" xfId="0" applyFont="1" applyFill="1" applyBorder="1" applyAlignment="1">
      <alignment horizontal="center" vertical="center"/>
    </xf>
    <xf numFmtId="0" fontId="5" fillId="0" borderId="18" xfId="0" applyFont="1" applyFill="1" applyBorder="1" applyAlignment="1">
      <alignment horizontal="left" vertical="center"/>
    </xf>
  </cellXfs>
  <cellStyles count="1">
    <cellStyle name="Normal" xfId="0" builtinId="0"/>
  </cellStyles>
  <dxfs count="3">
    <dxf>
      <font>
        <color rgb="FF006100"/>
      </font>
      <fill>
        <patternFill>
          <bgColor rgb="FFC6EF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Vision</a:t>
            </a:r>
            <a:r>
              <a:rPr lang="en-GB" baseline="0"/>
              <a:t> large des piques de l'IdC moyen (1-200)</a:t>
            </a:r>
            <a:endParaRPr lang="en-GB"/>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val>
            <c:numRef>
              <c:f>Test_De_Friedman!$I$23:$I$224</c:f>
              <c:numCache>
                <c:formatCode>General</c:formatCode>
                <c:ptCount val="202"/>
                <c:pt idx="0">
                  <c:v>4.0278773754835129E-2</c:v>
                </c:pt>
                <c:pt idx="1">
                  <c:v>4.028693214058876E-2</c:v>
                </c:pt>
                <c:pt idx="2">
                  <c:v>4.4545282920201622E-2</c:v>
                </c:pt>
                <c:pt idx="3">
                  <c:v>4.0221930481493473E-2</c:v>
                </c:pt>
                <c:pt idx="4">
                  <c:v>4.0337968617677689E-2</c:v>
                </c:pt>
                <c:pt idx="5">
                  <c:v>4.454143407444159E-2</c:v>
                </c:pt>
                <c:pt idx="6">
                  <c:v>5.1403420312064033E-2</c:v>
                </c:pt>
                <c:pt idx="7">
                  <c:v>4.0247040335088968E-2</c:v>
                </c:pt>
                <c:pt idx="8">
                  <c:v>4.4582616537809372E-2</c:v>
                </c:pt>
                <c:pt idx="9">
                  <c:v>4.0297056362032888E-2</c:v>
                </c:pt>
                <c:pt idx="10">
                  <c:v>4.0349582718177276E-2</c:v>
                </c:pt>
                <c:pt idx="11">
                  <c:v>4.4514017800490059E-2</c:v>
                </c:pt>
                <c:pt idx="12">
                  <c:v>4.0060755725090318E-2</c:v>
                </c:pt>
                <c:pt idx="13">
                  <c:v>5.1418671384453773E-2</c:v>
                </c:pt>
                <c:pt idx="14">
                  <c:v>4.4584003339211149E-2</c:v>
                </c:pt>
                <c:pt idx="15">
                  <c:v>4.0233463514596224E-2</c:v>
                </c:pt>
                <c:pt idx="16">
                  <c:v>4.0291550624019956E-2</c:v>
                </c:pt>
                <c:pt idx="17">
                  <c:v>4.4645772626002632E-2</c:v>
                </c:pt>
                <c:pt idx="18">
                  <c:v>4.0152089180130711E-2</c:v>
                </c:pt>
                <c:pt idx="19">
                  <c:v>4.0390729531645776E-2</c:v>
                </c:pt>
                <c:pt idx="20">
                  <c:v>7.6848054570811133E-2</c:v>
                </c:pt>
                <c:pt idx="21">
                  <c:v>4.0393405678597366E-2</c:v>
                </c:pt>
                <c:pt idx="22">
                  <c:v>4.0203157164480377E-2</c:v>
                </c:pt>
                <c:pt idx="23">
                  <c:v>4.4523934212823711E-2</c:v>
                </c:pt>
                <c:pt idx="24">
                  <c:v>4.0265185832977293E-2</c:v>
                </c:pt>
                <c:pt idx="25">
                  <c:v>4.0085134168083854E-2</c:v>
                </c:pt>
                <c:pt idx="26">
                  <c:v>4.4720102239538123E-2</c:v>
                </c:pt>
                <c:pt idx="27">
                  <c:v>5.1315690523811748E-2</c:v>
                </c:pt>
                <c:pt idx="28">
                  <c:v>4.0120139332680868E-2</c:v>
                </c:pt>
                <c:pt idx="29">
                  <c:v>4.4496706624825792E-2</c:v>
                </c:pt>
                <c:pt idx="30">
                  <c:v>4.0335889425008528E-2</c:v>
                </c:pt>
                <c:pt idx="31">
                  <c:v>4.0061136591248214E-2</c:v>
                </c:pt>
                <c:pt idx="32">
                  <c:v>4.4527876444838264E-2</c:v>
                </c:pt>
                <c:pt idx="33">
                  <c:v>4.0311803822131717E-2</c:v>
                </c:pt>
                <c:pt idx="34">
                  <c:v>5.1732565888336725E-2</c:v>
                </c:pt>
                <c:pt idx="35">
                  <c:v>4.4494169039858714E-2</c:v>
                </c:pt>
                <c:pt idx="36">
                  <c:v>4.0052922392213669E-2</c:v>
                </c:pt>
                <c:pt idx="37">
                  <c:v>3.9993132611638622E-2</c:v>
                </c:pt>
                <c:pt idx="38">
                  <c:v>4.4207778401099719E-2</c:v>
                </c:pt>
                <c:pt idx="39">
                  <c:v>4.0521173831075431E-2</c:v>
                </c:pt>
                <c:pt idx="40">
                  <c:v>4.0110040274335117E-2</c:v>
                </c:pt>
                <c:pt idx="41">
                  <c:v>7.6744682554687776E-2</c:v>
                </c:pt>
                <c:pt idx="42">
                  <c:v>4.0091561110213746E-2</c:v>
                </c:pt>
                <c:pt idx="43">
                  <c:v>4.0330222807824612E-2</c:v>
                </c:pt>
                <c:pt idx="44">
                  <c:v>4.4388141483068466E-2</c:v>
                </c:pt>
                <c:pt idx="45">
                  <c:v>4.0086988602643425E-2</c:v>
                </c:pt>
                <c:pt idx="46">
                  <c:v>3.9874622320875207E-2</c:v>
                </c:pt>
                <c:pt idx="47">
                  <c:v>4.4363720032076039E-2</c:v>
                </c:pt>
                <c:pt idx="48">
                  <c:v>5.1178968150396735E-2</c:v>
                </c:pt>
                <c:pt idx="49">
                  <c:v>4.0289717987179757E-2</c:v>
                </c:pt>
                <c:pt idx="50">
                  <c:v>4.4138019721882013E-2</c:v>
                </c:pt>
                <c:pt idx="51">
                  <c:v>4.0299378693676911E-2</c:v>
                </c:pt>
                <c:pt idx="52">
                  <c:v>4.0042797138668457E-2</c:v>
                </c:pt>
                <c:pt idx="53">
                  <c:v>4.4739893396143558E-2</c:v>
                </c:pt>
                <c:pt idx="54">
                  <c:v>4.0147017213431273E-2</c:v>
                </c:pt>
                <c:pt idx="55">
                  <c:v>5.1209691446274519E-2</c:v>
                </c:pt>
                <c:pt idx="56">
                  <c:v>4.417631984279867E-2</c:v>
                </c:pt>
                <c:pt idx="57">
                  <c:v>4.0093068483060802E-2</c:v>
                </c:pt>
                <c:pt idx="58">
                  <c:v>4.0388442512791035E-2</c:v>
                </c:pt>
                <c:pt idx="59">
                  <c:v>4.4662470122178395E-2</c:v>
                </c:pt>
                <c:pt idx="60">
                  <c:v>4.0104034738462482E-2</c:v>
                </c:pt>
                <c:pt idx="61">
                  <c:v>3.9949627472989017E-2</c:v>
                </c:pt>
                <c:pt idx="62">
                  <c:v>7.6932337608129259E-2</c:v>
                </c:pt>
                <c:pt idx="63">
                  <c:v>4.0089097514282912E-2</c:v>
                </c:pt>
                <c:pt idx="64">
                  <c:v>3.9972080806126964E-2</c:v>
                </c:pt>
                <c:pt idx="65">
                  <c:v>4.4273571873253044E-2</c:v>
                </c:pt>
                <c:pt idx="66">
                  <c:v>4.037925973534584E-2</c:v>
                </c:pt>
                <c:pt idx="67">
                  <c:v>4.041170991738053E-2</c:v>
                </c:pt>
                <c:pt idx="68">
                  <c:v>4.4095324865285904E-2</c:v>
                </c:pt>
                <c:pt idx="69">
                  <c:v>5.1697425544261932E-2</c:v>
                </c:pt>
                <c:pt idx="70">
                  <c:v>3.9823072949345679E-2</c:v>
                </c:pt>
                <c:pt idx="71">
                  <c:v>4.4320732044676937E-2</c:v>
                </c:pt>
                <c:pt idx="72">
                  <c:v>3.9778016864845195E-2</c:v>
                </c:pt>
                <c:pt idx="73">
                  <c:v>4.0069027577300333E-2</c:v>
                </c:pt>
                <c:pt idx="74">
                  <c:v>4.4507093379894891E-2</c:v>
                </c:pt>
                <c:pt idx="75">
                  <c:v>3.9641356634858405E-2</c:v>
                </c:pt>
                <c:pt idx="76">
                  <c:v>5.1773993032319207E-2</c:v>
                </c:pt>
                <c:pt idx="77">
                  <c:v>4.4146620358029999E-2</c:v>
                </c:pt>
                <c:pt idx="78">
                  <c:v>3.9728802923537511E-2</c:v>
                </c:pt>
                <c:pt idx="79">
                  <c:v>4.0492702275514603E-2</c:v>
                </c:pt>
                <c:pt idx="80">
                  <c:v>4.4206952975120076E-2</c:v>
                </c:pt>
                <c:pt idx="81">
                  <c:v>3.9827539471954831E-2</c:v>
                </c:pt>
                <c:pt idx="82">
                  <c:v>3.9952340165534651E-2</c:v>
                </c:pt>
                <c:pt idx="83">
                  <c:v>7.6526109084841754E-2</c:v>
                </c:pt>
                <c:pt idx="84">
                  <c:v>4.0405530219568928E-2</c:v>
                </c:pt>
                <c:pt idx="85">
                  <c:v>3.9985545889236203E-2</c:v>
                </c:pt>
                <c:pt idx="86">
                  <c:v>4.4084986821673382E-2</c:v>
                </c:pt>
                <c:pt idx="87">
                  <c:v>4.0167419197545809E-2</c:v>
                </c:pt>
                <c:pt idx="88">
                  <c:v>4.0150309044323609E-2</c:v>
                </c:pt>
                <c:pt idx="89">
                  <c:v>4.4161618749300642E-2</c:v>
                </c:pt>
                <c:pt idx="90">
                  <c:v>5.0972339257106675E-2</c:v>
                </c:pt>
                <c:pt idx="91">
                  <c:v>3.9703476890597653E-2</c:v>
                </c:pt>
                <c:pt idx="92">
                  <c:v>4.4295934860103872E-2</c:v>
                </c:pt>
                <c:pt idx="93">
                  <c:v>3.9372711184811088E-2</c:v>
                </c:pt>
                <c:pt idx="94">
                  <c:v>3.9972538108888428E-2</c:v>
                </c:pt>
                <c:pt idx="95">
                  <c:v>4.4093430701953672E-2</c:v>
                </c:pt>
                <c:pt idx="96">
                  <c:v>3.9676339087105286E-2</c:v>
                </c:pt>
                <c:pt idx="97">
                  <c:v>5.0965559763871897E-2</c:v>
                </c:pt>
                <c:pt idx="98">
                  <c:v>4.4225004774452459E-2</c:v>
                </c:pt>
                <c:pt idx="99">
                  <c:v>4.0309450551867486E-2</c:v>
                </c:pt>
                <c:pt idx="200">
                  <c:v>7.8018070638772863E-2</c:v>
                </c:pt>
                <c:pt idx="201">
                  <c:v>7.6943586737212563E-2</c:v>
                </c:pt>
              </c:numCache>
            </c:numRef>
          </c:val>
          <c:extLst>
            <c:ext xmlns:c16="http://schemas.microsoft.com/office/drawing/2014/chart" uri="{C3380CC4-5D6E-409C-BE32-E72D297353CC}">
              <c16:uniqueId val="{00000003-BC8C-4922-928E-C131526D6161}"/>
            </c:ext>
          </c:extLst>
        </c:ser>
        <c:dLbls>
          <c:showLegendKey val="0"/>
          <c:showVal val="0"/>
          <c:showCatName val="0"/>
          <c:showSerName val="0"/>
          <c:showPercent val="0"/>
          <c:showBubbleSize val="0"/>
        </c:dLbls>
        <c:gapWidth val="219"/>
        <c:overlap val="-27"/>
        <c:axId val="27031599"/>
        <c:axId val="43258159"/>
      </c:barChart>
      <c:catAx>
        <c:axId val="2703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58159"/>
        <c:crosses val="autoZero"/>
        <c:auto val="1"/>
        <c:lblAlgn val="ctr"/>
        <c:lblOffset val="100"/>
        <c:noMultiLvlLbl val="0"/>
      </c:catAx>
      <c:valAx>
        <c:axId val="43258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31599"/>
        <c:crosses val="autoZero"/>
        <c:crossBetween val="between"/>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Vision</a:t>
            </a:r>
            <a:r>
              <a:rPr lang="en-GB" baseline="0"/>
              <a:t> réduite des piques de l'IdC moyen (1-20)</a:t>
            </a:r>
            <a:endParaRPr lang="en-GB"/>
          </a:p>
        </c:rich>
      </c:tx>
      <c:overlay val="0"/>
      <c:spPr>
        <a:noFill/>
        <a:ln>
          <a:noFill/>
        </a:ln>
        <a:effectLst/>
      </c:spPr>
    </c:title>
    <c:autoTitleDeleted val="0"/>
    <c:plotArea>
      <c:layout/>
      <c:barChart>
        <c:barDir val="col"/>
        <c:grouping val="clustered"/>
        <c:varyColors val="0"/>
        <c:ser>
          <c:idx val="1"/>
          <c:order val="0"/>
          <c:invertIfNegative val="0"/>
          <c:val>
            <c:numRef>
              <c:f>Test_De_Friedman!$I$23:$I$44</c:f>
              <c:numCache>
                <c:formatCode>General</c:formatCode>
                <c:ptCount val="22"/>
                <c:pt idx="0">
                  <c:v>4.0278773754835129E-2</c:v>
                </c:pt>
                <c:pt idx="1">
                  <c:v>4.028693214058876E-2</c:v>
                </c:pt>
                <c:pt idx="2">
                  <c:v>4.4545282920201622E-2</c:v>
                </c:pt>
                <c:pt idx="3">
                  <c:v>4.0221930481493473E-2</c:v>
                </c:pt>
                <c:pt idx="4">
                  <c:v>4.0337968617677689E-2</c:v>
                </c:pt>
                <c:pt idx="5">
                  <c:v>4.454143407444159E-2</c:v>
                </c:pt>
                <c:pt idx="6">
                  <c:v>5.1403420312064033E-2</c:v>
                </c:pt>
                <c:pt idx="7">
                  <c:v>4.0247040335088968E-2</c:v>
                </c:pt>
                <c:pt idx="8">
                  <c:v>4.4582616537809372E-2</c:v>
                </c:pt>
                <c:pt idx="9">
                  <c:v>4.0297056362032888E-2</c:v>
                </c:pt>
                <c:pt idx="10">
                  <c:v>4.0349582718177276E-2</c:v>
                </c:pt>
                <c:pt idx="11">
                  <c:v>4.4514017800490059E-2</c:v>
                </c:pt>
                <c:pt idx="12">
                  <c:v>4.0060755725090318E-2</c:v>
                </c:pt>
                <c:pt idx="13">
                  <c:v>5.1418671384453773E-2</c:v>
                </c:pt>
                <c:pt idx="14">
                  <c:v>4.4584003339211149E-2</c:v>
                </c:pt>
                <c:pt idx="15">
                  <c:v>4.0233463514596224E-2</c:v>
                </c:pt>
                <c:pt idx="16">
                  <c:v>4.0291550624019956E-2</c:v>
                </c:pt>
                <c:pt idx="17">
                  <c:v>4.4645772626002632E-2</c:v>
                </c:pt>
                <c:pt idx="18">
                  <c:v>4.0152089180130711E-2</c:v>
                </c:pt>
                <c:pt idx="19">
                  <c:v>4.0390729531645776E-2</c:v>
                </c:pt>
                <c:pt idx="20">
                  <c:v>7.6848054570811133E-2</c:v>
                </c:pt>
                <c:pt idx="21">
                  <c:v>4.0393405678597366E-2</c:v>
                </c:pt>
              </c:numCache>
            </c:numRef>
          </c:val>
          <c:extLst>
            <c:ext xmlns:c16="http://schemas.microsoft.com/office/drawing/2014/chart" uri="{C3380CC4-5D6E-409C-BE32-E72D297353CC}">
              <c16:uniqueId val="{00000000-5D28-43E1-B204-3934C001773F}"/>
            </c:ext>
          </c:extLst>
        </c:ser>
        <c:dLbls>
          <c:showLegendKey val="0"/>
          <c:showVal val="0"/>
          <c:showCatName val="0"/>
          <c:showSerName val="0"/>
          <c:showPercent val="0"/>
          <c:showBubbleSize val="0"/>
        </c:dLbls>
        <c:gapWidth val="219"/>
        <c:overlap val="-27"/>
        <c:axId val="27031599"/>
        <c:axId val="43258159"/>
        <c:extLst>
          <c:ext xmlns:c15="http://schemas.microsoft.com/office/drawing/2012/chart" uri="{02D57815-91ED-43cb-92C2-25804820EDAC}">
            <c15:filteredBarSeries>
              <c15:ser>
                <c:idx val="0"/>
                <c:order val="1"/>
                <c:spPr>
                  <a:solidFill>
                    <a:schemeClr val="accent1"/>
                  </a:solidFill>
                  <a:ln>
                    <a:noFill/>
                  </a:ln>
                  <a:effectLst/>
                </c:spPr>
                <c:invertIfNegative val="0"/>
                <c:val>
                  <c:numRef>
                    <c:extLst>
                      <c:ext uri="{02D57815-91ED-43cb-92C2-25804820EDAC}">
                        <c15:formulaRef>
                          <c15:sqref>Test_De_Friedman!$I$23:$I$59</c15:sqref>
                        </c15:formulaRef>
                      </c:ext>
                    </c:extLst>
                    <c:numCache>
                      <c:formatCode>General</c:formatCode>
                      <c:ptCount val="37"/>
                      <c:pt idx="0">
                        <c:v>4.0278773754835129E-2</c:v>
                      </c:pt>
                      <c:pt idx="1">
                        <c:v>4.028693214058876E-2</c:v>
                      </c:pt>
                      <c:pt idx="2">
                        <c:v>4.4545282920201622E-2</c:v>
                      </c:pt>
                      <c:pt idx="3">
                        <c:v>4.0221930481493473E-2</c:v>
                      </c:pt>
                      <c:pt idx="4">
                        <c:v>4.0337968617677689E-2</c:v>
                      </c:pt>
                      <c:pt idx="5">
                        <c:v>4.454143407444159E-2</c:v>
                      </c:pt>
                      <c:pt idx="6">
                        <c:v>5.1403420312064033E-2</c:v>
                      </c:pt>
                      <c:pt idx="7">
                        <c:v>4.0247040335088968E-2</c:v>
                      </c:pt>
                      <c:pt idx="8">
                        <c:v>4.4582616537809372E-2</c:v>
                      </c:pt>
                      <c:pt idx="9">
                        <c:v>4.0297056362032888E-2</c:v>
                      </c:pt>
                      <c:pt idx="10">
                        <c:v>4.0349582718177276E-2</c:v>
                      </c:pt>
                      <c:pt idx="11">
                        <c:v>4.4514017800490059E-2</c:v>
                      </c:pt>
                      <c:pt idx="12">
                        <c:v>4.0060755725090318E-2</c:v>
                      </c:pt>
                      <c:pt idx="13">
                        <c:v>5.1418671384453773E-2</c:v>
                      </c:pt>
                      <c:pt idx="14">
                        <c:v>4.4584003339211149E-2</c:v>
                      </c:pt>
                      <c:pt idx="15">
                        <c:v>4.0233463514596224E-2</c:v>
                      </c:pt>
                      <c:pt idx="16">
                        <c:v>4.0291550624019956E-2</c:v>
                      </c:pt>
                      <c:pt idx="17">
                        <c:v>4.4645772626002632E-2</c:v>
                      </c:pt>
                      <c:pt idx="18">
                        <c:v>4.0152089180130711E-2</c:v>
                      </c:pt>
                      <c:pt idx="19">
                        <c:v>4.0390729531645776E-2</c:v>
                      </c:pt>
                      <c:pt idx="20">
                        <c:v>7.6848054570811133E-2</c:v>
                      </c:pt>
                      <c:pt idx="21">
                        <c:v>4.0393405678597366E-2</c:v>
                      </c:pt>
                      <c:pt idx="22">
                        <c:v>4.0203157164480377E-2</c:v>
                      </c:pt>
                      <c:pt idx="23">
                        <c:v>4.4523934212823711E-2</c:v>
                      </c:pt>
                      <c:pt idx="24">
                        <c:v>4.0265185832977293E-2</c:v>
                      </c:pt>
                      <c:pt idx="25">
                        <c:v>4.0085134168083854E-2</c:v>
                      </c:pt>
                      <c:pt idx="26">
                        <c:v>4.4720102239538123E-2</c:v>
                      </c:pt>
                      <c:pt idx="27">
                        <c:v>5.1315690523811748E-2</c:v>
                      </c:pt>
                      <c:pt idx="28">
                        <c:v>4.0120139332680868E-2</c:v>
                      </c:pt>
                      <c:pt idx="29">
                        <c:v>4.4496706624825792E-2</c:v>
                      </c:pt>
                      <c:pt idx="30">
                        <c:v>4.0335889425008528E-2</c:v>
                      </c:pt>
                      <c:pt idx="31">
                        <c:v>4.0061136591248214E-2</c:v>
                      </c:pt>
                      <c:pt idx="32">
                        <c:v>4.4527876444838264E-2</c:v>
                      </c:pt>
                      <c:pt idx="33">
                        <c:v>4.0311803822131717E-2</c:v>
                      </c:pt>
                      <c:pt idx="34">
                        <c:v>5.1732565888336725E-2</c:v>
                      </c:pt>
                      <c:pt idx="35">
                        <c:v>4.4494169039858714E-2</c:v>
                      </c:pt>
                      <c:pt idx="36">
                        <c:v>4.0052922392213669E-2</c:v>
                      </c:pt>
                    </c:numCache>
                  </c:numRef>
                </c:val>
                <c:extLst>
                  <c:ext xmlns:c16="http://schemas.microsoft.com/office/drawing/2014/chart" uri="{C3380CC4-5D6E-409C-BE32-E72D297353CC}">
                    <c16:uniqueId val="{00000001-5D28-43E1-B204-3934C001773F}"/>
                  </c:ext>
                </c:extLst>
              </c15:ser>
            </c15:filteredBarSeries>
          </c:ext>
        </c:extLst>
      </c:barChart>
      <c:catAx>
        <c:axId val="2703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58159"/>
        <c:crosses val="autoZero"/>
        <c:auto val="1"/>
        <c:lblAlgn val="ctr"/>
        <c:lblOffset val="100"/>
        <c:noMultiLvlLbl val="0"/>
      </c:catAx>
      <c:valAx>
        <c:axId val="43258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31599"/>
        <c:crosses val="autoZero"/>
        <c:crossBetween val="between"/>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Vision très</a:t>
            </a:r>
            <a:r>
              <a:rPr lang="en-GB" baseline="0"/>
              <a:t> large des piques de l'IdC moyen (1-1000)</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val>
            <c:numRef>
              <c:f>Test_De_Friedman!$I$23:$I$1023</c:f>
              <c:numCache>
                <c:formatCode>General</c:formatCode>
                <c:ptCount val="1001"/>
                <c:pt idx="0">
                  <c:v>4.0278773754835129E-2</c:v>
                </c:pt>
                <c:pt idx="1">
                  <c:v>4.028693214058876E-2</c:v>
                </c:pt>
                <c:pt idx="2">
                  <c:v>4.4545282920201622E-2</c:v>
                </c:pt>
                <c:pt idx="3">
                  <c:v>4.0221930481493473E-2</c:v>
                </c:pt>
                <c:pt idx="4">
                  <c:v>4.0337968617677689E-2</c:v>
                </c:pt>
                <c:pt idx="5">
                  <c:v>4.454143407444159E-2</c:v>
                </c:pt>
                <c:pt idx="6">
                  <c:v>5.1403420312064033E-2</c:v>
                </c:pt>
                <c:pt idx="7">
                  <c:v>4.0247040335088968E-2</c:v>
                </c:pt>
                <c:pt idx="8">
                  <c:v>4.4582616537809372E-2</c:v>
                </c:pt>
                <c:pt idx="9">
                  <c:v>4.0297056362032888E-2</c:v>
                </c:pt>
                <c:pt idx="10">
                  <c:v>4.0349582718177276E-2</c:v>
                </c:pt>
                <c:pt idx="11">
                  <c:v>4.4514017800490059E-2</c:v>
                </c:pt>
                <c:pt idx="12">
                  <c:v>4.0060755725090318E-2</c:v>
                </c:pt>
                <c:pt idx="13">
                  <c:v>5.1418671384453773E-2</c:v>
                </c:pt>
                <c:pt idx="14">
                  <c:v>4.4584003339211149E-2</c:v>
                </c:pt>
                <c:pt idx="15">
                  <c:v>4.0233463514596224E-2</c:v>
                </c:pt>
                <c:pt idx="16">
                  <c:v>4.0291550624019956E-2</c:v>
                </c:pt>
                <c:pt idx="17">
                  <c:v>4.4645772626002632E-2</c:v>
                </c:pt>
                <c:pt idx="18">
                  <c:v>4.0152089180130711E-2</c:v>
                </c:pt>
                <c:pt idx="19">
                  <c:v>4.0390729531645776E-2</c:v>
                </c:pt>
                <c:pt idx="20">
                  <c:v>7.6848054570811133E-2</c:v>
                </c:pt>
                <c:pt idx="21">
                  <c:v>4.0393405678597366E-2</c:v>
                </c:pt>
                <c:pt idx="22">
                  <c:v>4.0203157164480377E-2</c:v>
                </c:pt>
                <c:pt idx="23">
                  <c:v>4.4523934212823711E-2</c:v>
                </c:pt>
                <c:pt idx="24">
                  <c:v>4.0265185832977293E-2</c:v>
                </c:pt>
                <c:pt idx="25">
                  <c:v>4.0085134168083854E-2</c:v>
                </c:pt>
                <c:pt idx="26">
                  <c:v>4.4720102239538123E-2</c:v>
                </c:pt>
                <c:pt idx="27">
                  <c:v>5.1315690523811748E-2</c:v>
                </c:pt>
                <c:pt idx="28">
                  <c:v>4.0120139332680868E-2</c:v>
                </c:pt>
                <c:pt idx="29">
                  <c:v>4.4496706624825792E-2</c:v>
                </c:pt>
                <c:pt idx="30">
                  <c:v>4.0335889425008528E-2</c:v>
                </c:pt>
                <c:pt idx="31">
                  <c:v>4.0061136591248214E-2</c:v>
                </c:pt>
                <c:pt idx="32">
                  <c:v>4.4527876444838264E-2</c:v>
                </c:pt>
                <c:pt idx="33">
                  <c:v>4.0311803822131717E-2</c:v>
                </c:pt>
                <c:pt idx="34">
                  <c:v>5.1732565888336725E-2</c:v>
                </c:pt>
                <c:pt idx="35">
                  <c:v>4.4494169039858714E-2</c:v>
                </c:pt>
                <c:pt idx="36">
                  <c:v>4.0052922392213669E-2</c:v>
                </c:pt>
                <c:pt idx="37">
                  <c:v>3.9993132611638622E-2</c:v>
                </c:pt>
                <c:pt idx="38">
                  <c:v>4.4207778401099719E-2</c:v>
                </c:pt>
                <c:pt idx="39">
                  <c:v>4.0521173831075431E-2</c:v>
                </c:pt>
                <c:pt idx="40">
                  <c:v>4.0110040274335117E-2</c:v>
                </c:pt>
                <c:pt idx="41">
                  <c:v>7.6744682554687776E-2</c:v>
                </c:pt>
                <c:pt idx="42">
                  <c:v>4.0091561110213746E-2</c:v>
                </c:pt>
                <c:pt idx="43">
                  <c:v>4.0330222807824612E-2</c:v>
                </c:pt>
                <c:pt idx="44">
                  <c:v>4.4388141483068466E-2</c:v>
                </c:pt>
                <c:pt idx="45">
                  <c:v>4.0086988602643425E-2</c:v>
                </c:pt>
                <c:pt idx="46">
                  <c:v>3.9874622320875207E-2</c:v>
                </c:pt>
                <c:pt idx="47">
                  <c:v>4.4363720032076039E-2</c:v>
                </c:pt>
                <c:pt idx="48">
                  <c:v>5.1178968150396735E-2</c:v>
                </c:pt>
                <c:pt idx="49">
                  <c:v>4.0289717987179757E-2</c:v>
                </c:pt>
                <c:pt idx="50">
                  <c:v>4.4138019721882013E-2</c:v>
                </c:pt>
                <c:pt idx="51">
                  <c:v>4.0299378693676911E-2</c:v>
                </c:pt>
                <c:pt idx="52">
                  <c:v>4.0042797138668457E-2</c:v>
                </c:pt>
                <c:pt idx="53">
                  <c:v>4.4739893396143558E-2</c:v>
                </c:pt>
                <c:pt idx="54">
                  <c:v>4.0147017213431273E-2</c:v>
                </c:pt>
                <c:pt idx="55">
                  <c:v>5.1209691446274519E-2</c:v>
                </c:pt>
                <c:pt idx="56">
                  <c:v>4.417631984279867E-2</c:v>
                </c:pt>
                <c:pt idx="57">
                  <c:v>4.0093068483060802E-2</c:v>
                </c:pt>
                <c:pt idx="58">
                  <c:v>4.0388442512791035E-2</c:v>
                </c:pt>
                <c:pt idx="59">
                  <c:v>4.4662470122178395E-2</c:v>
                </c:pt>
                <c:pt idx="60">
                  <c:v>4.0104034738462482E-2</c:v>
                </c:pt>
                <c:pt idx="61">
                  <c:v>3.9949627472989017E-2</c:v>
                </c:pt>
                <c:pt idx="62">
                  <c:v>7.6932337608129259E-2</c:v>
                </c:pt>
                <c:pt idx="63">
                  <c:v>4.0089097514282912E-2</c:v>
                </c:pt>
                <c:pt idx="64">
                  <c:v>3.9972080806126964E-2</c:v>
                </c:pt>
                <c:pt idx="65">
                  <c:v>4.4273571873253044E-2</c:v>
                </c:pt>
                <c:pt idx="66">
                  <c:v>4.037925973534584E-2</c:v>
                </c:pt>
                <c:pt idx="67">
                  <c:v>4.041170991738053E-2</c:v>
                </c:pt>
                <c:pt idx="68">
                  <c:v>4.4095324865285904E-2</c:v>
                </c:pt>
                <c:pt idx="69">
                  <c:v>5.1697425544261932E-2</c:v>
                </c:pt>
                <c:pt idx="70">
                  <c:v>3.9823072949345679E-2</c:v>
                </c:pt>
                <c:pt idx="71">
                  <c:v>4.4320732044676937E-2</c:v>
                </c:pt>
                <c:pt idx="72">
                  <c:v>3.9778016864845195E-2</c:v>
                </c:pt>
                <c:pt idx="73">
                  <c:v>4.0069027577300333E-2</c:v>
                </c:pt>
                <c:pt idx="74">
                  <c:v>4.4507093379894891E-2</c:v>
                </c:pt>
                <c:pt idx="75">
                  <c:v>3.9641356634858405E-2</c:v>
                </c:pt>
                <c:pt idx="76">
                  <c:v>5.1773993032319207E-2</c:v>
                </c:pt>
                <c:pt idx="77">
                  <c:v>4.4146620358029999E-2</c:v>
                </c:pt>
                <c:pt idx="78">
                  <c:v>3.9728802923537511E-2</c:v>
                </c:pt>
                <c:pt idx="79">
                  <c:v>4.0492702275514603E-2</c:v>
                </c:pt>
                <c:pt idx="80">
                  <c:v>4.4206952975120076E-2</c:v>
                </c:pt>
                <c:pt idx="81">
                  <c:v>3.9827539471954831E-2</c:v>
                </c:pt>
                <c:pt idx="82">
                  <c:v>3.9952340165534651E-2</c:v>
                </c:pt>
                <c:pt idx="83">
                  <c:v>7.6526109084841754E-2</c:v>
                </c:pt>
                <c:pt idx="84">
                  <c:v>4.0405530219568928E-2</c:v>
                </c:pt>
                <c:pt idx="85">
                  <c:v>3.9985545889236203E-2</c:v>
                </c:pt>
                <c:pt idx="86">
                  <c:v>4.4084986821673382E-2</c:v>
                </c:pt>
                <c:pt idx="87">
                  <c:v>4.0167419197545809E-2</c:v>
                </c:pt>
                <c:pt idx="88">
                  <c:v>4.0150309044323609E-2</c:v>
                </c:pt>
                <c:pt idx="89">
                  <c:v>4.4161618749300642E-2</c:v>
                </c:pt>
                <c:pt idx="90">
                  <c:v>5.0972339257106675E-2</c:v>
                </c:pt>
                <c:pt idx="91">
                  <c:v>3.9703476890597653E-2</c:v>
                </c:pt>
                <c:pt idx="92">
                  <c:v>4.4295934860103872E-2</c:v>
                </c:pt>
                <c:pt idx="93">
                  <c:v>3.9372711184811088E-2</c:v>
                </c:pt>
                <c:pt idx="94">
                  <c:v>3.9972538108888428E-2</c:v>
                </c:pt>
                <c:pt idx="95">
                  <c:v>4.4093430701953672E-2</c:v>
                </c:pt>
                <c:pt idx="96">
                  <c:v>3.9676339087105286E-2</c:v>
                </c:pt>
                <c:pt idx="97">
                  <c:v>5.0965559763871897E-2</c:v>
                </c:pt>
                <c:pt idx="98">
                  <c:v>4.4225004774452459E-2</c:v>
                </c:pt>
                <c:pt idx="99">
                  <c:v>4.0309450551867486E-2</c:v>
                </c:pt>
                <c:pt idx="200">
                  <c:v>7.8018070638772863E-2</c:v>
                </c:pt>
                <c:pt idx="201">
                  <c:v>7.6943586737212563E-2</c:v>
                </c:pt>
                <c:pt idx="202">
                  <c:v>7.6727004474019769E-2</c:v>
                </c:pt>
                <c:pt idx="203">
                  <c:v>7.7700491538088695E-2</c:v>
                </c:pt>
                <c:pt idx="204">
                  <c:v>7.7316751912599652E-2</c:v>
                </c:pt>
                <c:pt idx="205">
                  <c:v>7.6968716294730746E-2</c:v>
                </c:pt>
                <c:pt idx="206">
                  <c:v>7.6330658822243921E-2</c:v>
                </c:pt>
                <c:pt idx="207">
                  <c:v>7.7218630727237239E-2</c:v>
                </c:pt>
                <c:pt idx="208">
                  <c:v>7.6971000924920346E-2</c:v>
                </c:pt>
                <c:pt idx="209">
                  <c:v>7.7602940123705638E-2</c:v>
                </c:pt>
                <c:pt idx="210">
                  <c:v>7.6057500219175594E-2</c:v>
                </c:pt>
                <c:pt idx="211">
                  <c:v>7.7834462834838428E-2</c:v>
                </c:pt>
                <c:pt idx="212">
                  <c:v>7.6779918718925658E-2</c:v>
                </c:pt>
                <c:pt idx="213">
                  <c:v>7.7807995864999632E-2</c:v>
                </c:pt>
                <c:pt idx="214">
                  <c:v>7.5746103480111723E-2</c:v>
                </c:pt>
                <c:pt idx="215">
                  <c:v>7.5881554503683696E-2</c:v>
                </c:pt>
                <c:pt idx="216">
                  <c:v>7.6933494258311488E-2</c:v>
                </c:pt>
                <c:pt idx="217">
                  <c:v>7.6630891633963361E-2</c:v>
                </c:pt>
                <c:pt idx="218">
                  <c:v>7.6963634829815122E-2</c:v>
                </c:pt>
                <c:pt idx="219">
                  <c:v>7.7636383490806274E-2</c:v>
                </c:pt>
                <c:pt idx="220">
                  <c:v>7.6137457767762748E-2</c:v>
                </c:pt>
                <c:pt idx="221">
                  <c:v>7.8671354448070399E-2</c:v>
                </c:pt>
                <c:pt idx="222">
                  <c:v>7.6762081512287597E-2</c:v>
                </c:pt>
                <c:pt idx="223">
                  <c:v>7.6043999803784706E-2</c:v>
                </c:pt>
                <c:pt idx="224">
                  <c:v>7.7295651021930908E-2</c:v>
                </c:pt>
                <c:pt idx="225">
                  <c:v>7.6956975347964113E-2</c:v>
                </c:pt>
                <c:pt idx="226">
                  <c:v>7.7635113379634954E-2</c:v>
                </c:pt>
                <c:pt idx="227">
                  <c:v>7.5777624439644184E-2</c:v>
                </c:pt>
                <c:pt idx="228">
                  <c:v>7.5837656009665744E-2</c:v>
                </c:pt>
                <c:pt idx="229">
                  <c:v>7.6247656053822971E-2</c:v>
                </c:pt>
                <c:pt idx="230">
                  <c:v>7.8917154921339702E-2</c:v>
                </c:pt>
                <c:pt idx="231">
                  <c:v>7.7534991605528472E-2</c:v>
                </c:pt>
                <c:pt idx="232">
                  <c:v>7.7110449115989549E-2</c:v>
                </c:pt>
                <c:pt idx="233">
                  <c:v>7.6437479490016266E-2</c:v>
                </c:pt>
                <c:pt idx="234">
                  <c:v>7.8386598064544358E-2</c:v>
                </c:pt>
                <c:pt idx="235">
                  <c:v>7.8756091027062824E-2</c:v>
                </c:pt>
                <c:pt idx="236">
                  <c:v>7.6872968441071887E-2</c:v>
                </c:pt>
                <c:pt idx="237">
                  <c:v>7.7231823975423802E-2</c:v>
                </c:pt>
                <c:pt idx="238">
                  <c:v>7.7495210620898078E-2</c:v>
                </c:pt>
                <c:pt idx="239">
                  <c:v>7.7372463528687749E-2</c:v>
                </c:pt>
                <c:pt idx="240">
                  <c:v>7.7097121409731781E-2</c:v>
                </c:pt>
                <c:pt idx="241">
                  <c:v>7.7534840496118404E-2</c:v>
                </c:pt>
                <c:pt idx="242">
                  <c:v>7.6661306444877453E-2</c:v>
                </c:pt>
                <c:pt idx="243">
                  <c:v>7.6550865484798544E-2</c:v>
                </c:pt>
                <c:pt idx="244">
                  <c:v>7.7707782919917784E-2</c:v>
                </c:pt>
                <c:pt idx="245">
                  <c:v>7.638864777982235E-2</c:v>
                </c:pt>
                <c:pt idx="246">
                  <c:v>7.6767903816724117E-2</c:v>
                </c:pt>
                <c:pt idx="247">
                  <c:v>7.6748968883147167E-2</c:v>
                </c:pt>
                <c:pt idx="248">
                  <c:v>7.6634656204037879E-2</c:v>
                </c:pt>
                <c:pt idx="249">
                  <c:v>7.6782361179590225E-2</c:v>
                </c:pt>
                <c:pt idx="250">
                  <c:v>7.5988443783554904E-2</c:v>
                </c:pt>
                <c:pt idx="251">
                  <c:v>7.6995192893913808E-2</c:v>
                </c:pt>
                <c:pt idx="252">
                  <c:v>7.5917815399381958E-2</c:v>
                </c:pt>
                <c:pt idx="253">
                  <c:v>7.7224469281674368E-2</c:v>
                </c:pt>
                <c:pt idx="254">
                  <c:v>7.5859053418332462E-2</c:v>
                </c:pt>
                <c:pt idx="255">
                  <c:v>7.6858109314343892E-2</c:v>
                </c:pt>
                <c:pt idx="256">
                  <c:v>7.7466629025189332E-2</c:v>
                </c:pt>
                <c:pt idx="257">
                  <c:v>7.6799891513678456E-2</c:v>
                </c:pt>
                <c:pt idx="258">
                  <c:v>7.9066583793250753E-2</c:v>
                </c:pt>
                <c:pt idx="259">
                  <c:v>7.7502336353063583E-2</c:v>
                </c:pt>
                <c:pt idx="260">
                  <c:v>7.5947571431654162E-2</c:v>
                </c:pt>
                <c:pt idx="261">
                  <c:v>7.6312715500479439E-2</c:v>
                </c:pt>
                <c:pt idx="262">
                  <c:v>7.5942673313187103E-2</c:v>
                </c:pt>
                <c:pt idx="263">
                  <c:v>7.7449567982870518E-2</c:v>
                </c:pt>
                <c:pt idx="264">
                  <c:v>7.6395541443577353E-2</c:v>
                </c:pt>
                <c:pt idx="265">
                  <c:v>7.7765845266499919E-2</c:v>
                </c:pt>
                <c:pt idx="266">
                  <c:v>7.7266291216406477E-2</c:v>
                </c:pt>
                <c:pt idx="267">
                  <c:v>7.6990906399355005E-2</c:v>
                </c:pt>
                <c:pt idx="268">
                  <c:v>7.8687914311331889E-2</c:v>
                </c:pt>
                <c:pt idx="269">
                  <c:v>7.6841808496801944E-2</c:v>
                </c:pt>
                <c:pt idx="270">
                  <c:v>7.7119234839378686E-2</c:v>
                </c:pt>
                <c:pt idx="271">
                  <c:v>7.6869785744587291E-2</c:v>
                </c:pt>
                <c:pt idx="272">
                  <c:v>7.5877810640758644E-2</c:v>
                </c:pt>
                <c:pt idx="273">
                  <c:v>7.7113584268593438E-2</c:v>
                </c:pt>
                <c:pt idx="274">
                  <c:v>7.7247609509663154E-2</c:v>
                </c:pt>
                <c:pt idx="275">
                  <c:v>7.6463968209598374E-2</c:v>
                </c:pt>
                <c:pt idx="276">
                  <c:v>7.5511029655860221E-2</c:v>
                </c:pt>
                <c:pt idx="277">
                  <c:v>7.6226451708901702E-2</c:v>
                </c:pt>
                <c:pt idx="278">
                  <c:v>7.8066400622808799E-2</c:v>
                </c:pt>
                <c:pt idx="279">
                  <c:v>7.715256542765668E-2</c:v>
                </c:pt>
                <c:pt idx="280">
                  <c:v>7.776887036091068E-2</c:v>
                </c:pt>
                <c:pt idx="281">
                  <c:v>7.6883114478055473E-2</c:v>
                </c:pt>
                <c:pt idx="282">
                  <c:v>7.7296819458896618E-2</c:v>
                </c:pt>
                <c:pt idx="283">
                  <c:v>7.7870724958852985E-2</c:v>
                </c:pt>
                <c:pt idx="284">
                  <c:v>7.7874457574727246E-2</c:v>
                </c:pt>
                <c:pt idx="285">
                  <c:v>7.7667963827823427E-2</c:v>
                </c:pt>
                <c:pt idx="286">
                  <c:v>7.7559766479693218E-2</c:v>
                </c:pt>
                <c:pt idx="287">
                  <c:v>7.7286643247740969E-2</c:v>
                </c:pt>
                <c:pt idx="288">
                  <c:v>7.7442862454376413E-2</c:v>
                </c:pt>
                <c:pt idx="289">
                  <c:v>7.6335659199233713E-2</c:v>
                </c:pt>
                <c:pt idx="290">
                  <c:v>7.575241101208012E-2</c:v>
                </c:pt>
                <c:pt idx="291">
                  <c:v>7.7511415676507225E-2</c:v>
                </c:pt>
                <c:pt idx="292">
                  <c:v>7.6043157650749024E-2</c:v>
                </c:pt>
                <c:pt idx="293">
                  <c:v>7.6968125884934346E-2</c:v>
                </c:pt>
                <c:pt idx="294">
                  <c:v>7.7064880564556279E-2</c:v>
                </c:pt>
                <c:pt idx="295">
                  <c:v>7.7176874503493309E-2</c:v>
                </c:pt>
                <c:pt idx="296">
                  <c:v>7.7645179285645891E-2</c:v>
                </c:pt>
                <c:pt idx="297">
                  <c:v>7.7076116839311273E-2</c:v>
                </c:pt>
                <c:pt idx="298">
                  <c:v>7.7903045995478648E-2</c:v>
                </c:pt>
                <c:pt idx="299">
                  <c:v>7.8702060890694453E-2</c:v>
                </c:pt>
              </c:numCache>
            </c:numRef>
          </c:val>
          <c:extLst>
            <c:ext xmlns:c16="http://schemas.microsoft.com/office/drawing/2014/chart" uri="{C3380CC4-5D6E-409C-BE32-E72D297353CC}">
              <c16:uniqueId val="{00000000-D547-435A-B28B-D29954964956}"/>
            </c:ext>
          </c:extLst>
        </c:ser>
        <c:dLbls>
          <c:showLegendKey val="0"/>
          <c:showVal val="0"/>
          <c:showCatName val="0"/>
          <c:showSerName val="0"/>
          <c:showPercent val="0"/>
          <c:showBubbleSize val="0"/>
        </c:dLbls>
        <c:gapWidth val="219"/>
        <c:overlap val="-27"/>
        <c:axId val="27031599"/>
        <c:axId val="43258159"/>
      </c:barChart>
      <c:catAx>
        <c:axId val="2703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58159"/>
        <c:crosses val="autoZero"/>
        <c:auto val="1"/>
        <c:lblAlgn val="ctr"/>
        <c:lblOffset val="100"/>
        <c:noMultiLvlLbl val="0"/>
      </c:catAx>
      <c:valAx>
        <c:axId val="43258159"/>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General"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31599"/>
        <c:crosses val="autoZero"/>
        <c:crossBetween val="between"/>
      </c:valAx>
      <c:spPr>
        <a:solidFill>
          <a:schemeClr val="bg1"/>
        </a:solidFill>
        <a:ln>
          <a:noFill/>
        </a:ln>
        <a:effectLst/>
      </c:spPr>
    </c:plotArea>
    <c:plotVisOnly val="1"/>
    <c:dispBlanksAs val="gap"/>
    <c:showDLblsOverMax val="0"/>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628650</xdr:colOff>
          <xdr:row>0</xdr:row>
          <xdr:rowOff>104775</xdr:rowOff>
        </xdr:from>
        <xdr:to>
          <xdr:col>13</xdr:col>
          <xdr:colOff>476250</xdr:colOff>
          <xdr:row>2</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sng" strike="noStrike" baseline="0">
                  <a:solidFill>
                    <a:srgbClr val="000000"/>
                  </a:solidFill>
                  <a:latin typeface="Calibri"/>
                  <a:cs typeface="Calibri"/>
                </a:rPr>
                <a:t>Traiter le texte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390525</xdr:colOff>
          <xdr:row>14</xdr:row>
          <xdr:rowOff>57150</xdr:rowOff>
        </xdr:from>
        <xdr:to>
          <xdr:col>13</xdr:col>
          <xdr:colOff>66675</xdr:colOff>
          <xdr:row>15</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Lancer l'analyse</a:t>
              </a:r>
            </a:p>
          </xdr:txBody>
        </xdr:sp>
        <xdr:clientData fPrintsWithSheet="0"/>
      </xdr:twoCellAnchor>
    </mc:Choice>
    <mc:Fallback/>
  </mc:AlternateContent>
  <xdr:twoCellAnchor>
    <xdr:from>
      <xdr:col>0</xdr:col>
      <xdr:colOff>0</xdr:colOff>
      <xdr:row>38</xdr:row>
      <xdr:rowOff>0</xdr:rowOff>
    </xdr:from>
    <xdr:to>
      <xdr:col>2</xdr:col>
      <xdr:colOff>723899</xdr:colOff>
      <xdr:row>47</xdr:row>
      <xdr:rowOff>180975</xdr:rowOff>
    </xdr:to>
    <xdr:graphicFrame macro="">
      <xdr:nvGraphicFramePr>
        <xdr:cNvPr id="4" name="Graphique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27</xdr:row>
      <xdr:rowOff>9525</xdr:rowOff>
    </xdr:from>
    <xdr:to>
      <xdr:col>2</xdr:col>
      <xdr:colOff>733425</xdr:colOff>
      <xdr:row>37</xdr:row>
      <xdr:rowOff>0</xdr:rowOff>
    </xdr:to>
    <xdr:graphicFrame macro="">
      <xdr:nvGraphicFramePr>
        <xdr:cNvPr id="9" name="Graphique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49</xdr:row>
      <xdr:rowOff>0</xdr:rowOff>
    </xdr:from>
    <xdr:to>
      <xdr:col>2</xdr:col>
      <xdr:colOff>723899</xdr:colOff>
      <xdr:row>58</xdr:row>
      <xdr:rowOff>180975</xdr:rowOff>
    </xdr:to>
    <xdr:graphicFrame macro="">
      <xdr:nvGraphicFramePr>
        <xdr:cNvPr id="5" name="Graphique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390525</xdr:colOff>
          <xdr:row>14</xdr:row>
          <xdr:rowOff>57150</xdr:rowOff>
        </xdr:from>
        <xdr:to>
          <xdr:col>13</xdr:col>
          <xdr:colOff>66675</xdr:colOff>
          <xdr:row>15</xdr:row>
          <xdr:rowOff>152400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Lancer l'analyse des fréquences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28575</xdr:colOff>
          <xdr:row>13</xdr:row>
          <xdr:rowOff>9525</xdr:rowOff>
        </xdr:from>
        <xdr:to>
          <xdr:col>15</xdr:col>
          <xdr:colOff>9525</xdr:colOff>
          <xdr:row>15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sng" strike="noStrike" baseline="0">
                  <a:solidFill>
                    <a:srgbClr val="000000"/>
                  </a:solidFill>
                  <a:latin typeface="Calibri"/>
                  <a:cs typeface="Calibri"/>
                </a:rPr>
                <a:t>CRYPTER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13</xdr:row>
          <xdr:rowOff>9525</xdr:rowOff>
        </xdr:from>
        <xdr:to>
          <xdr:col>18</xdr:col>
          <xdr:colOff>47625</xdr:colOff>
          <xdr:row>15</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sng" strike="noStrike" baseline="0">
                  <a:solidFill>
                    <a:srgbClr val="000000"/>
                  </a:solidFill>
                  <a:latin typeface="Calibri"/>
                  <a:cs typeface="Calibri"/>
                </a:rPr>
                <a:t>DECRYPTER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752475</xdr:colOff>
          <xdr:row>0</xdr:row>
          <xdr:rowOff>171450</xdr:rowOff>
        </xdr:from>
        <xdr:to>
          <xdr:col>16</xdr:col>
          <xdr:colOff>428625</xdr:colOff>
          <xdr:row>2</xdr:row>
          <xdr:rowOff>76200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Lancer l'analyse des fréquences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36984-7373-4966-8A65-68F7BDD68023}">
  <sheetPr codeName="Feuil2"/>
  <dimension ref="A1:S27"/>
  <sheetViews>
    <sheetView tabSelected="1" workbookViewId="0">
      <selection sqref="A1:S3"/>
    </sheetView>
  </sheetViews>
  <sheetFormatPr baseColWidth="10" defaultRowHeight="15" x14ac:dyDescent="0.25"/>
  <sheetData>
    <row r="1" spans="1:19" x14ac:dyDescent="0.25">
      <c r="A1" s="53" t="s">
        <v>0</v>
      </c>
      <c r="B1" s="54"/>
      <c r="C1" s="54"/>
      <c r="D1" s="54"/>
      <c r="E1" s="54"/>
      <c r="F1" s="54"/>
      <c r="G1" s="54"/>
      <c r="H1" s="54"/>
      <c r="I1" s="54"/>
      <c r="J1" s="54"/>
      <c r="K1" s="54"/>
      <c r="L1" s="54"/>
      <c r="M1" s="54"/>
      <c r="N1" s="54"/>
      <c r="O1" s="54"/>
      <c r="P1" s="54"/>
      <c r="Q1" s="54"/>
      <c r="R1" s="54"/>
      <c r="S1" s="55"/>
    </row>
    <row r="2" spans="1:19" x14ac:dyDescent="0.25">
      <c r="A2" s="56"/>
      <c r="B2" s="57"/>
      <c r="C2" s="57"/>
      <c r="D2" s="57"/>
      <c r="E2" s="57"/>
      <c r="F2" s="57"/>
      <c r="G2" s="57"/>
      <c r="H2" s="57"/>
      <c r="I2" s="57"/>
      <c r="J2" s="57"/>
      <c r="K2" s="57"/>
      <c r="L2" s="57"/>
      <c r="M2" s="57"/>
      <c r="N2" s="57"/>
      <c r="O2" s="57"/>
      <c r="P2" s="57"/>
      <c r="Q2" s="57"/>
      <c r="R2" s="57"/>
      <c r="S2" s="58"/>
    </row>
    <row r="3" spans="1:19" x14ac:dyDescent="0.25">
      <c r="A3" s="56"/>
      <c r="B3" s="57"/>
      <c r="C3" s="57"/>
      <c r="D3" s="57"/>
      <c r="E3" s="57"/>
      <c r="F3" s="57"/>
      <c r="G3" s="57"/>
      <c r="H3" s="57"/>
      <c r="I3" s="57"/>
      <c r="J3" s="57"/>
      <c r="K3" s="57"/>
      <c r="L3" s="57"/>
      <c r="M3" s="57"/>
      <c r="N3" s="57"/>
      <c r="O3" s="57"/>
      <c r="P3" s="57"/>
      <c r="Q3" s="57"/>
      <c r="R3" s="57"/>
      <c r="S3" s="58"/>
    </row>
    <row r="4" spans="1:19" ht="15" customHeight="1" x14ac:dyDescent="0.25">
      <c r="A4" s="59" t="s">
        <v>94</v>
      </c>
      <c r="B4" s="60"/>
      <c r="C4" s="60"/>
      <c r="D4" s="60"/>
      <c r="E4" s="60"/>
      <c r="F4" s="60"/>
      <c r="G4" s="60"/>
      <c r="H4" s="60"/>
      <c r="I4" s="60"/>
      <c r="J4" s="60"/>
      <c r="K4" s="60"/>
      <c r="L4" s="60"/>
      <c r="M4" s="60"/>
      <c r="N4" s="60"/>
      <c r="O4" s="60"/>
      <c r="P4" s="60"/>
      <c r="Q4" s="60"/>
      <c r="R4" s="60"/>
      <c r="S4" s="61"/>
    </row>
    <row r="5" spans="1:19" x14ac:dyDescent="0.25">
      <c r="A5" s="62"/>
      <c r="B5" s="60"/>
      <c r="C5" s="60"/>
      <c r="D5" s="60"/>
      <c r="E5" s="60"/>
      <c r="F5" s="60"/>
      <c r="G5" s="60"/>
      <c r="H5" s="60"/>
      <c r="I5" s="60"/>
      <c r="J5" s="60"/>
      <c r="K5" s="60"/>
      <c r="L5" s="60"/>
      <c r="M5" s="60"/>
      <c r="N5" s="60"/>
      <c r="O5" s="60"/>
      <c r="P5" s="60"/>
      <c r="Q5" s="60"/>
      <c r="R5" s="60"/>
      <c r="S5" s="61"/>
    </row>
    <row r="6" spans="1:19" x14ac:dyDescent="0.25">
      <c r="A6" s="62"/>
      <c r="B6" s="60"/>
      <c r="C6" s="60"/>
      <c r="D6" s="60"/>
      <c r="E6" s="60"/>
      <c r="F6" s="60"/>
      <c r="G6" s="60"/>
      <c r="H6" s="60"/>
      <c r="I6" s="60"/>
      <c r="J6" s="60"/>
      <c r="K6" s="60"/>
      <c r="L6" s="60"/>
      <c r="M6" s="60"/>
      <c r="N6" s="60"/>
      <c r="O6" s="60"/>
      <c r="P6" s="60"/>
      <c r="Q6" s="60"/>
      <c r="R6" s="60"/>
      <c r="S6" s="61"/>
    </row>
    <row r="7" spans="1:19" x14ac:dyDescent="0.25">
      <c r="A7" s="62"/>
      <c r="B7" s="60"/>
      <c r="C7" s="60"/>
      <c r="D7" s="60"/>
      <c r="E7" s="60"/>
      <c r="F7" s="60"/>
      <c r="G7" s="60"/>
      <c r="H7" s="60"/>
      <c r="I7" s="60"/>
      <c r="J7" s="60"/>
      <c r="K7" s="60"/>
      <c r="L7" s="60"/>
      <c r="M7" s="60"/>
      <c r="N7" s="60"/>
      <c r="O7" s="60"/>
      <c r="P7" s="60"/>
      <c r="Q7" s="60"/>
      <c r="R7" s="60"/>
      <c r="S7" s="61"/>
    </row>
    <row r="8" spans="1:19" x14ac:dyDescent="0.25">
      <c r="A8" s="62"/>
      <c r="B8" s="60"/>
      <c r="C8" s="60"/>
      <c r="D8" s="60"/>
      <c r="E8" s="60"/>
      <c r="F8" s="60"/>
      <c r="G8" s="60"/>
      <c r="H8" s="60"/>
      <c r="I8" s="60"/>
      <c r="J8" s="60"/>
      <c r="K8" s="60"/>
      <c r="L8" s="60"/>
      <c r="M8" s="60"/>
      <c r="N8" s="60"/>
      <c r="O8" s="60"/>
      <c r="P8" s="60"/>
      <c r="Q8" s="60"/>
      <c r="R8" s="60"/>
      <c r="S8" s="61"/>
    </row>
    <row r="9" spans="1:19" x14ac:dyDescent="0.25">
      <c r="A9" s="62"/>
      <c r="B9" s="60"/>
      <c r="C9" s="60"/>
      <c r="D9" s="60"/>
      <c r="E9" s="60"/>
      <c r="F9" s="60"/>
      <c r="G9" s="60"/>
      <c r="H9" s="60"/>
      <c r="I9" s="60"/>
      <c r="J9" s="60"/>
      <c r="K9" s="60"/>
      <c r="L9" s="60"/>
      <c r="M9" s="60"/>
      <c r="N9" s="60"/>
      <c r="O9" s="60"/>
      <c r="P9" s="60"/>
      <c r="Q9" s="60"/>
      <c r="R9" s="60"/>
      <c r="S9" s="61"/>
    </row>
    <row r="10" spans="1:19" x14ac:dyDescent="0.25">
      <c r="A10" s="62"/>
      <c r="B10" s="60"/>
      <c r="C10" s="60"/>
      <c r="D10" s="60"/>
      <c r="E10" s="60"/>
      <c r="F10" s="60"/>
      <c r="G10" s="60"/>
      <c r="H10" s="60"/>
      <c r="I10" s="60"/>
      <c r="J10" s="60"/>
      <c r="K10" s="60"/>
      <c r="L10" s="60"/>
      <c r="M10" s="60"/>
      <c r="N10" s="60"/>
      <c r="O10" s="60"/>
      <c r="P10" s="60"/>
      <c r="Q10" s="60"/>
      <c r="R10" s="60"/>
      <c r="S10" s="61"/>
    </row>
    <row r="11" spans="1:19" x14ac:dyDescent="0.25">
      <c r="A11" s="62"/>
      <c r="B11" s="60"/>
      <c r="C11" s="60"/>
      <c r="D11" s="60"/>
      <c r="E11" s="60"/>
      <c r="F11" s="60"/>
      <c r="G11" s="60"/>
      <c r="H11" s="60"/>
      <c r="I11" s="60"/>
      <c r="J11" s="60"/>
      <c r="K11" s="60"/>
      <c r="L11" s="60"/>
      <c r="M11" s="60"/>
      <c r="N11" s="60"/>
      <c r="O11" s="60"/>
      <c r="P11" s="60"/>
      <c r="Q11" s="60"/>
      <c r="R11" s="60"/>
      <c r="S11" s="61"/>
    </row>
    <row r="12" spans="1:19" x14ac:dyDescent="0.25">
      <c r="A12" s="62"/>
      <c r="B12" s="60"/>
      <c r="C12" s="60"/>
      <c r="D12" s="60"/>
      <c r="E12" s="60"/>
      <c r="F12" s="60"/>
      <c r="G12" s="60"/>
      <c r="H12" s="60"/>
      <c r="I12" s="60"/>
      <c r="J12" s="60"/>
      <c r="K12" s="60"/>
      <c r="L12" s="60"/>
      <c r="M12" s="60"/>
      <c r="N12" s="60"/>
      <c r="O12" s="60"/>
      <c r="P12" s="60"/>
      <c r="Q12" s="60"/>
      <c r="R12" s="60"/>
      <c r="S12" s="61"/>
    </row>
    <row r="13" spans="1:19" ht="15.75" thickBot="1" x14ac:dyDescent="0.3">
      <c r="A13" s="63"/>
      <c r="B13" s="64"/>
      <c r="C13" s="64"/>
      <c r="D13" s="64"/>
      <c r="E13" s="64"/>
      <c r="F13" s="64"/>
      <c r="G13" s="64"/>
      <c r="H13" s="64"/>
      <c r="I13" s="64"/>
      <c r="J13" s="64"/>
      <c r="K13" s="64"/>
      <c r="L13" s="64"/>
      <c r="M13" s="64"/>
      <c r="N13" s="64"/>
      <c r="O13" s="64"/>
      <c r="P13" s="64"/>
      <c r="Q13" s="64"/>
      <c r="R13" s="64"/>
      <c r="S13" s="65"/>
    </row>
    <row r="14" spans="1:19" ht="15.75" thickBot="1" x14ac:dyDescent="0.3">
      <c r="A14" s="73" t="s">
        <v>2</v>
      </c>
      <c r="B14" s="74"/>
      <c r="C14" s="4">
        <f>LEN(A4)</f>
        <v>11695</v>
      </c>
    </row>
    <row r="15" spans="1:19" x14ac:dyDescent="0.25">
      <c r="A15" s="53" t="s">
        <v>1</v>
      </c>
      <c r="B15" s="54"/>
      <c r="C15" s="54"/>
      <c r="D15" s="54"/>
      <c r="E15" s="54"/>
      <c r="F15" s="54"/>
      <c r="G15" s="54"/>
      <c r="H15" s="54"/>
      <c r="I15" s="54"/>
      <c r="J15" s="54"/>
      <c r="K15" s="54"/>
      <c r="L15" s="54"/>
      <c r="M15" s="54"/>
      <c r="N15" s="54"/>
      <c r="O15" s="54"/>
      <c r="P15" s="54"/>
      <c r="Q15" s="54"/>
      <c r="R15" s="54"/>
      <c r="S15" s="55"/>
    </row>
    <row r="16" spans="1:19" x14ac:dyDescent="0.25">
      <c r="A16" s="56"/>
      <c r="B16" s="57"/>
      <c r="C16" s="57"/>
      <c r="D16" s="57"/>
      <c r="E16" s="57"/>
      <c r="F16" s="57"/>
      <c r="G16" s="57"/>
      <c r="H16" s="57"/>
      <c r="I16" s="57"/>
      <c r="J16" s="57"/>
      <c r="K16" s="57"/>
      <c r="L16" s="57"/>
      <c r="M16" s="57"/>
      <c r="N16" s="57"/>
      <c r="O16" s="57"/>
      <c r="P16" s="57"/>
      <c r="Q16" s="57"/>
      <c r="R16" s="57"/>
      <c r="S16" s="58"/>
    </row>
    <row r="17" spans="1:19" x14ac:dyDescent="0.25">
      <c r="A17" s="66" t="s">
        <v>95</v>
      </c>
      <c r="B17" s="67"/>
      <c r="C17" s="67"/>
      <c r="D17" s="67"/>
      <c r="E17" s="67"/>
      <c r="F17" s="67"/>
      <c r="G17" s="67"/>
      <c r="H17" s="67"/>
      <c r="I17" s="67"/>
      <c r="J17" s="67"/>
      <c r="K17" s="67"/>
      <c r="L17" s="67"/>
      <c r="M17" s="67"/>
      <c r="N17" s="67"/>
      <c r="O17" s="67"/>
      <c r="P17" s="67"/>
      <c r="Q17" s="67"/>
      <c r="R17" s="67"/>
      <c r="S17" s="68"/>
    </row>
    <row r="18" spans="1:19" x14ac:dyDescent="0.25">
      <c r="A18" s="69"/>
      <c r="B18" s="67"/>
      <c r="C18" s="67"/>
      <c r="D18" s="67"/>
      <c r="E18" s="67"/>
      <c r="F18" s="67"/>
      <c r="G18" s="67"/>
      <c r="H18" s="67"/>
      <c r="I18" s="67"/>
      <c r="J18" s="67"/>
      <c r="K18" s="67"/>
      <c r="L18" s="67"/>
      <c r="M18" s="67"/>
      <c r="N18" s="67"/>
      <c r="O18" s="67"/>
      <c r="P18" s="67"/>
      <c r="Q18" s="67"/>
      <c r="R18" s="67"/>
      <c r="S18" s="68"/>
    </row>
    <row r="19" spans="1:19" x14ac:dyDescent="0.25">
      <c r="A19" s="69"/>
      <c r="B19" s="67"/>
      <c r="C19" s="67"/>
      <c r="D19" s="67"/>
      <c r="E19" s="67"/>
      <c r="F19" s="67"/>
      <c r="G19" s="67"/>
      <c r="H19" s="67"/>
      <c r="I19" s="67"/>
      <c r="J19" s="67"/>
      <c r="K19" s="67"/>
      <c r="L19" s="67"/>
      <c r="M19" s="67"/>
      <c r="N19" s="67"/>
      <c r="O19" s="67"/>
      <c r="P19" s="67"/>
      <c r="Q19" s="67"/>
      <c r="R19" s="67"/>
      <c r="S19" s="68"/>
    </row>
    <row r="20" spans="1:19" x14ac:dyDescent="0.25">
      <c r="A20" s="69"/>
      <c r="B20" s="67"/>
      <c r="C20" s="67"/>
      <c r="D20" s="67"/>
      <c r="E20" s="67"/>
      <c r="F20" s="67"/>
      <c r="G20" s="67"/>
      <c r="H20" s="67"/>
      <c r="I20" s="67"/>
      <c r="J20" s="67"/>
      <c r="K20" s="67"/>
      <c r="L20" s="67"/>
      <c r="M20" s="67"/>
      <c r="N20" s="67"/>
      <c r="O20" s="67"/>
      <c r="P20" s="67"/>
      <c r="Q20" s="67"/>
      <c r="R20" s="67"/>
      <c r="S20" s="68"/>
    </row>
    <row r="21" spans="1:19" x14ac:dyDescent="0.25">
      <c r="A21" s="69"/>
      <c r="B21" s="67"/>
      <c r="C21" s="67"/>
      <c r="D21" s="67"/>
      <c r="E21" s="67"/>
      <c r="F21" s="67"/>
      <c r="G21" s="67"/>
      <c r="H21" s="67"/>
      <c r="I21" s="67"/>
      <c r="J21" s="67"/>
      <c r="K21" s="67"/>
      <c r="L21" s="67"/>
      <c r="M21" s="67"/>
      <c r="N21" s="67"/>
      <c r="O21" s="67"/>
      <c r="P21" s="67"/>
      <c r="Q21" s="67"/>
      <c r="R21" s="67"/>
      <c r="S21" s="68"/>
    </row>
    <row r="22" spans="1:19" x14ac:dyDescent="0.25">
      <c r="A22" s="69"/>
      <c r="B22" s="67"/>
      <c r="C22" s="67"/>
      <c r="D22" s="67"/>
      <c r="E22" s="67"/>
      <c r="F22" s="67"/>
      <c r="G22" s="67"/>
      <c r="H22" s="67"/>
      <c r="I22" s="67"/>
      <c r="J22" s="67"/>
      <c r="K22" s="67"/>
      <c r="L22" s="67"/>
      <c r="M22" s="67"/>
      <c r="N22" s="67"/>
      <c r="O22" s="67"/>
      <c r="P22" s="67"/>
      <c r="Q22" s="67"/>
      <c r="R22" s="67"/>
      <c r="S22" s="68"/>
    </row>
    <row r="23" spans="1:19" x14ac:dyDescent="0.25">
      <c r="A23" s="69"/>
      <c r="B23" s="67"/>
      <c r="C23" s="67"/>
      <c r="D23" s="67"/>
      <c r="E23" s="67"/>
      <c r="F23" s="67"/>
      <c r="G23" s="67"/>
      <c r="H23" s="67"/>
      <c r="I23" s="67"/>
      <c r="J23" s="67"/>
      <c r="K23" s="67"/>
      <c r="L23" s="67"/>
      <c r="M23" s="67"/>
      <c r="N23" s="67"/>
      <c r="O23" s="67"/>
      <c r="P23" s="67"/>
      <c r="Q23" s="67"/>
      <c r="R23" s="67"/>
      <c r="S23" s="68"/>
    </row>
    <row r="24" spans="1:19" x14ac:dyDescent="0.25">
      <c r="A24" s="69"/>
      <c r="B24" s="67"/>
      <c r="C24" s="67"/>
      <c r="D24" s="67"/>
      <c r="E24" s="67"/>
      <c r="F24" s="67"/>
      <c r="G24" s="67"/>
      <c r="H24" s="67"/>
      <c r="I24" s="67"/>
      <c r="J24" s="67"/>
      <c r="K24" s="67"/>
      <c r="L24" s="67"/>
      <c r="M24" s="67"/>
      <c r="N24" s="67"/>
      <c r="O24" s="67"/>
      <c r="P24" s="67"/>
      <c r="Q24" s="67"/>
      <c r="R24" s="67"/>
      <c r="S24" s="68"/>
    </row>
    <row r="25" spans="1:19" x14ac:dyDescent="0.25">
      <c r="A25" s="69"/>
      <c r="B25" s="67"/>
      <c r="C25" s="67"/>
      <c r="D25" s="67"/>
      <c r="E25" s="67"/>
      <c r="F25" s="67"/>
      <c r="G25" s="67"/>
      <c r="H25" s="67"/>
      <c r="I25" s="67"/>
      <c r="J25" s="67"/>
      <c r="K25" s="67"/>
      <c r="L25" s="67"/>
      <c r="M25" s="67"/>
      <c r="N25" s="67"/>
      <c r="O25" s="67"/>
      <c r="P25" s="67"/>
      <c r="Q25" s="67"/>
      <c r="R25" s="67"/>
      <c r="S25" s="68"/>
    </row>
    <row r="26" spans="1:19" ht="15.75" thickBot="1" x14ac:dyDescent="0.3">
      <c r="A26" s="70"/>
      <c r="B26" s="71"/>
      <c r="C26" s="71"/>
      <c r="D26" s="71"/>
      <c r="E26" s="71"/>
      <c r="F26" s="71"/>
      <c r="G26" s="71"/>
      <c r="H26" s="71"/>
      <c r="I26" s="71"/>
      <c r="J26" s="71"/>
      <c r="K26" s="71"/>
      <c r="L26" s="71"/>
      <c r="M26" s="71"/>
      <c r="N26" s="71"/>
      <c r="O26" s="71"/>
      <c r="P26" s="71"/>
      <c r="Q26" s="71"/>
      <c r="R26" s="71"/>
      <c r="S26" s="72"/>
    </row>
    <row r="27" spans="1:19" ht="15.75" thickBot="1" x14ac:dyDescent="0.3">
      <c r="A27" s="73" t="s">
        <v>2</v>
      </c>
      <c r="B27" s="74"/>
      <c r="C27" s="4">
        <f>LEN(A17)</f>
        <v>9310</v>
      </c>
      <c r="D27" s="5">
        <f>IF(C14&lt;&gt;0,(1-C27/C14)*100,0)</f>
        <v>20.393330483112436</v>
      </c>
      <c r="E27" s="3" t="s">
        <v>6</v>
      </c>
    </row>
  </sheetData>
  <mergeCells count="6">
    <mergeCell ref="A1:S3"/>
    <mergeCell ref="A4:S13"/>
    <mergeCell ref="A17:S26"/>
    <mergeCell ref="A15:S16"/>
    <mergeCell ref="A27:B27"/>
    <mergeCell ref="A14:B14"/>
  </mergeCells>
  <conditionalFormatting sqref="D27">
    <cfRule type="colorScale" priority="1">
      <colorScale>
        <cfvo type="num" val="0"/>
        <cfvo type="num" val="100"/>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aitementTexte">
                <anchor moveWithCells="1" sizeWithCells="1">
                  <from>
                    <xdr:col>10</xdr:col>
                    <xdr:colOff>628650</xdr:colOff>
                    <xdr:row>0</xdr:row>
                    <xdr:rowOff>104775</xdr:rowOff>
                  </from>
                  <to>
                    <xdr:col>13</xdr:col>
                    <xdr:colOff>476250</xdr:colOff>
                    <xdr:row>2</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E72F1-1470-4E38-BF9B-47FD51E83460}">
  <sheetPr codeName="Feuil1"/>
  <dimension ref="A1:KX1023"/>
  <sheetViews>
    <sheetView zoomScale="85" zoomScaleNormal="85" workbookViewId="0">
      <selection sqref="A1:S3"/>
    </sheetView>
  </sheetViews>
  <sheetFormatPr baseColWidth="10" defaultRowHeight="15" x14ac:dyDescent="0.25"/>
  <sheetData>
    <row r="1" spans="1:19" x14ac:dyDescent="0.25">
      <c r="A1" s="53" t="s">
        <v>4</v>
      </c>
      <c r="B1" s="54"/>
      <c r="C1" s="54"/>
      <c r="D1" s="54"/>
      <c r="E1" s="54"/>
      <c r="F1" s="54"/>
      <c r="G1" s="54"/>
      <c r="H1" s="54"/>
      <c r="I1" s="54"/>
      <c r="J1" s="54"/>
      <c r="K1" s="54"/>
      <c r="L1" s="54"/>
      <c r="M1" s="54"/>
      <c r="N1" s="54"/>
      <c r="O1" s="54"/>
      <c r="P1" s="54"/>
      <c r="Q1" s="54"/>
      <c r="R1" s="54"/>
      <c r="S1" s="55"/>
    </row>
    <row r="2" spans="1:19" x14ac:dyDescent="0.25">
      <c r="A2" s="56"/>
      <c r="B2" s="57"/>
      <c r="C2" s="57"/>
      <c r="D2" s="57"/>
      <c r="E2" s="57"/>
      <c r="F2" s="57"/>
      <c r="G2" s="57"/>
      <c r="H2" s="57"/>
      <c r="I2" s="57"/>
      <c r="J2" s="57"/>
      <c r="K2" s="57"/>
      <c r="L2" s="57"/>
      <c r="M2" s="57"/>
      <c r="N2" s="57"/>
      <c r="O2" s="57"/>
      <c r="P2" s="57"/>
      <c r="Q2" s="57"/>
      <c r="R2" s="57"/>
      <c r="S2" s="58"/>
    </row>
    <row r="3" spans="1:19" x14ac:dyDescent="0.25">
      <c r="A3" s="56"/>
      <c r="B3" s="57"/>
      <c r="C3" s="57"/>
      <c r="D3" s="57"/>
      <c r="E3" s="57"/>
      <c r="F3" s="57"/>
      <c r="G3" s="57"/>
      <c r="H3" s="57"/>
      <c r="I3" s="57"/>
      <c r="J3" s="57"/>
      <c r="K3" s="57"/>
      <c r="L3" s="57"/>
      <c r="M3" s="57"/>
      <c r="N3" s="57"/>
      <c r="O3" s="57"/>
      <c r="P3" s="57"/>
      <c r="Q3" s="57"/>
      <c r="R3" s="57"/>
      <c r="S3" s="58"/>
    </row>
    <row r="4" spans="1:19" x14ac:dyDescent="0.25">
      <c r="A4" s="86" t="s">
        <v>100</v>
      </c>
      <c r="B4" s="87"/>
      <c r="C4" s="87"/>
      <c r="D4" s="87"/>
      <c r="E4" s="87"/>
      <c r="F4" s="87"/>
      <c r="G4" s="87"/>
      <c r="H4" s="87"/>
      <c r="I4" s="87"/>
      <c r="J4" s="87"/>
      <c r="K4" s="87"/>
      <c r="L4" s="87"/>
      <c r="M4" s="87"/>
      <c r="N4" s="87"/>
      <c r="O4" s="87"/>
      <c r="P4" s="87"/>
      <c r="Q4" s="87"/>
      <c r="R4" s="87"/>
      <c r="S4" s="88"/>
    </row>
    <row r="5" spans="1:19" x14ac:dyDescent="0.25">
      <c r="A5" s="89"/>
      <c r="B5" s="87"/>
      <c r="C5" s="87"/>
      <c r="D5" s="87"/>
      <c r="E5" s="87"/>
      <c r="F5" s="87"/>
      <c r="G5" s="87"/>
      <c r="H5" s="87"/>
      <c r="I5" s="87"/>
      <c r="J5" s="87"/>
      <c r="K5" s="87"/>
      <c r="L5" s="87"/>
      <c r="M5" s="87"/>
      <c r="N5" s="87"/>
      <c r="O5" s="87"/>
      <c r="P5" s="87"/>
      <c r="Q5" s="87"/>
      <c r="R5" s="87"/>
      <c r="S5" s="88"/>
    </row>
    <row r="6" spans="1:19" x14ac:dyDescent="0.25">
      <c r="A6" s="89"/>
      <c r="B6" s="87"/>
      <c r="C6" s="87"/>
      <c r="D6" s="87"/>
      <c r="E6" s="87"/>
      <c r="F6" s="87"/>
      <c r="G6" s="87"/>
      <c r="H6" s="87"/>
      <c r="I6" s="87"/>
      <c r="J6" s="87"/>
      <c r="K6" s="87"/>
      <c r="L6" s="87"/>
      <c r="M6" s="87"/>
      <c r="N6" s="87"/>
      <c r="O6" s="87"/>
      <c r="P6" s="87"/>
      <c r="Q6" s="87"/>
      <c r="R6" s="87"/>
      <c r="S6" s="88"/>
    </row>
    <row r="7" spans="1:19" x14ac:dyDescent="0.25">
      <c r="A7" s="89"/>
      <c r="B7" s="87"/>
      <c r="C7" s="87"/>
      <c r="D7" s="87"/>
      <c r="E7" s="87"/>
      <c r="F7" s="87"/>
      <c r="G7" s="87"/>
      <c r="H7" s="87"/>
      <c r="I7" s="87"/>
      <c r="J7" s="87"/>
      <c r="K7" s="87"/>
      <c r="L7" s="87"/>
      <c r="M7" s="87"/>
      <c r="N7" s="87"/>
      <c r="O7" s="87"/>
      <c r="P7" s="87"/>
      <c r="Q7" s="87"/>
      <c r="R7" s="87"/>
      <c r="S7" s="88"/>
    </row>
    <row r="8" spans="1:19" x14ac:dyDescent="0.25">
      <c r="A8" s="89"/>
      <c r="B8" s="87"/>
      <c r="C8" s="87"/>
      <c r="D8" s="87"/>
      <c r="E8" s="87"/>
      <c r="F8" s="87"/>
      <c r="G8" s="87"/>
      <c r="H8" s="87"/>
      <c r="I8" s="87"/>
      <c r="J8" s="87"/>
      <c r="K8" s="87"/>
      <c r="L8" s="87"/>
      <c r="M8" s="87"/>
      <c r="N8" s="87"/>
      <c r="O8" s="87"/>
      <c r="P8" s="87"/>
      <c r="Q8" s="87"/>
      <c r="R8" s="87"/>
      <c r="S8" s="88"/>
    </row>
    <row r="9" spans="1:19" x14ac:dyDescent="0.25">
      <c r="A9" s="89"/>
      <c r="B9" s="87"/>
      <c r="C9" s="87"/>
      <c r="D9" s="87"/>
      <c r="E9" s="87"/>
      <c r="F9" s="87"/>
      <c r="G9" s="87"/>
      <c r="H9" s="87"/>
      <c r="I9" s="87"/>
      <c r="J9" s="87"/>
      <c r="K9" s="87"/>
      <c r="L9" s="87"/>
      <c r="M9" s="87"/>
      <c r="N9" s="87"/>
      <c r="O9" s="87"/>
      <c r="P9" s="87"/>
      <c r="Q9" s="87"/>
      <c r="R9" s="87"/>
      <c r="S9" s="88"/>
    </row>
    <row r="10" spans="1:19" x14ac:dyDescent="0.25">
      <c r="A10" s="89"/>
      <c r="B10" s="87"/>
      <c r="C10" s="87"/>
      <c r="D10" s="87"/>
      <c r="E10" s="87"/>
      <c r="F10" s="87"/>
      <c r="G10" s="87"/>
      <c r="H10" s="87"/>
      <c r="I10" s="87"/>
      <c r="J10" s="87"/>
      <c r="K10" s="87"/>
      <c r="L10" s="87"/>
      <c r="M10" s="87"/>
      <c r="N10" s="87"/>
      <c r="O10" s="87"/>
      <c r="P10" s="87"/>
      <c r="Q10" s="87"/>
      <c r="R10" s="87"/>
      <c r="S10" s="88"/>
    </row>
    <row r="11" spans="1:19" x14ac:dyDescent="0.25">
      <c r="A11" s="89"/>
      <c r="B11" s="87"/>
      <c r="C11" s="87"/>
      <c r="D11" s="87"/>
      <c r="E11" s="87"/>
      <c r="F11" s="87"/>
      <c r="G11" s="87"/>
      <c r="H11" s="87"/>
      <c r="I11" s="87"/>
      <c r="J11" s="87"/>
      <c r="K11" s="87"/>
      <c r="L11" s="87"/>
      <c r="M11" s="87"/>
      <c r="N11" s="87"/>
      <c r="O11" s="87"/>
      <c r="P11" s="87"/>
      <c r="Q11" s="87"/>
      <c r="R11" s="87"/>
      <c r="S11" s="88"/>
    </row>
    <row r="12" spans="1:19" x14ac:dyDescent="0.25">
      <c r="A12" s="89"/>
      <c r="B12" s="87"/>
      <c r="C12" s="87"/>
      <c r="D12" s="87"/>
      <c r="E12" s="87"/>
      <c r="F12" s="87"/>
      <c r="G12" s="87"/>
      <c r="H12" s="87"/>
      <c r="I12" s="87"/>
      <c r="J12" s="87"/>
      <c r="K12" s="87"/>
      <c r="L12" s="87"/>
      <c r="M12" s="87"/>
      <c r="N12" s="87"/>
      <c r="O12" s="87"/>
      <c r="P12" s="87"/>
      <c r="Q12" s="87"/>
      <c r="R12" s="87"/>
      <c r="S12" s="88"/>
    </row>
    <row r="13" spans="1:19" ht="15.75" thickBot="1" x14ac:dyDescent="0.3">
      <c r="A13" s="90"/>
      <c r="B13" s="91"/>
      <c r="C13" s="91"/>
      <c r="D13" s="91"/>
      <c r="E13" s="91"/>
      <c r="F13" s="91"/>
      <c r="G13" s="91"/>
      <c r="H13" s="91"/>
      <c r="I13" s="91"/>
      <c r="J13" s="91"/>
      <c r="K13" s="91"/>
      <c r="L13" s="91"/>
      <c r="M13" s="91"/>
      <c r="N13" s="91"/>
      <c r="O13" s="91"/>
      <c r="P13" s="91"/>
      <c r="Q13" s="91"/>
      <c r="R13" s="91"/>
      <c r="S13" s="92"/>
    </row>
    <row r="14" spans="1:19" ht="15.75" thickBot="1" x14ac:dyDescent="0.3">
      <c r="A14" s="73" t="s">
        <v>2</v>
      </c>
      <c r="B14" s="74"/>
      <c r="C14" s="4">
        <f>LEN(A4)</f>
        <v>9310</v>
      </c>
      <c r="E14" s="96" t="s">
        <v>3</v>
      </c>
      <c r="F14" s="97"/>
      <c r="G14" s="97"/>
      <c r="H14" s="14">
        <v>100</v>
      </c>
      <c r="I14" s="111" t="s">
        <v>91</v>
      </c>
      <c r="J14" s="112"/>
      <c r="K14" s="112"/>
      <c r="L14" s="112"/>
      <c r="M14" s="113"/>
    </row>
    <row r="15" spans="1:19" x14ac:dyDescent="0.25">
      <c r="A15" s="53" t="s">
        <v>5</v>
      </c>
      <c r="B15" s="54"/>
      <c r="C15" s="54"/>
      <c r="D15" s="54"/>
      <c r="E15" s="54"/>
      <c r="F15" s="54"/>
      <c r="G15" s="54"/>
      <c r="H15" s="54"/>
      <c r="I15" s="54"/>
      <c r="J15" s="54"/>
      <c r="K15" s="54"/>
      <c r="L15" s="54"/>
      <c r="M15" s="54"/>
      <c r="N15" s="54"/>
      <c r="O15" s="54"/>
      <c r="P15" s="54"/>
      <c r="Q15" s="54"/>
      <c r="R15" s="54"/>
      <c r="S15" s="55"/>
    </row>
    <row r="16" spans="1:19" ht="15.75" thickBot="1" x14ac:dyDescent="0.3">
      <c r="A16" s="93"/>
      <c r="B16" s="94"/>
      <c r="C16" s="94"/>
      <c r="D16" s="94"/>
      <c r="E16" s="94"/>
      <c r="F16" s="94"/>
      <c r="G16" s="94"/>
      <c r="H16" s="94"/>
      <c r="I16" s="94"/>
      <c r="J16" s="94"/>
      <c r="K16" s="94"/>
      <c r="L16" s="94"/>
      <c r="M16" s="94"/>
      <c r="N16" s="94"/>
      <c r="O16" s="94"/>
      <c r="P16" s="94"/>
      <c r="Q16" s="94"/>
      <c r="R16" s="94"/>
      <c r="S16" s="95"/>
    </row>
    <row r="17" spans="1:26" ht="15" customHeight="1" x14ac:dyDescent="0.25">
      <c r="A17" s="98">
        <v>100</v>
      </c>
      <c r="B17" s="98"/>
      <c r="C17" s="98"/>
      <c r="D17" s="98"/>
      <c r="E17" s="98"/>
      <c r="F17" s="98"/>
      <c r="G17" s="98"/>
      <c r="H17" s="98"/>
      <c r="I17" s="98"/>
      <c r="J17" s="98"/>
      <c r="K17" s="98"/>
      <c r="L17" s="98"/>
      <c r="M17" s="98"/>
      <c r="N17" s="98"/>
      <c r="O17" s="98"/>
      <c r="P17" s="98"/>
      <c r="Q17" s="98"/>
      <c r="R17" s="98"/>
      <c r="S17" s="98"/>
    </row>
    <row r="18" spans="1:26" ht="15.75" thickBot="1" x14ac:dyDescent="0.3">
      <c r="A18" s="2"/>
      <c r="B18" s="2"/>
      <c r="C18" s="2"/>
      <c r="D18" s="2"/>
      <c r="E18" s="2"/>
      <c r="F18" s="2"/>
      <c r="G18" s="2"/>
      <c r="H18" s="2"/>
      <c r="I18" s="2"/>
      <c r="J18" s="2"/>
      <c r="K18" s="2"/>
      <c r="L18" s="2"/>
      <c r="M18" s="2"/>
      <c r="N18" s="2"/>
      <c r="O18" s="2"/>
      <c r="P18" s="2"/>
      <c r="Q18" s="2"/>
      <c r="R18" s="2"/>
      <c r="S18" s="2"/>
    </row>
    <row r="19" spans="1:26" ht="15.75" thickBot="1" x14ac:dyDescent="0.3">
      <c r="A19" s="76" t="s">
        <v>7</v>
      </c>
      <c r="B19" s="77"/>
      <c r="C19" s="25" t="s">
        <v>9</v>
      </c>
      <c r="D19" s="99" t="s">
        <v>8</v>
      </c>
      <c r="E19" s="99"/>
      <c r="F19" s="99"/>
      <c r="G19" s="4" cm="1">
        <f t="array" ref="G19">_xlfn.SWITCH(C19,"Français",0.07405,"Allemand",0.07187,"Espagnol",0.07393,"Italien",0.07565,"Suédois",0.07063,"Norvégien",0.0735)</f>
        <v>7.4050000000000005E-2</v>
      </c>
      <c r="H19" s="2"/>
      <c r="I19" s="76" t="s">
        <v>42</v>
      </c>
      <c r="J19" s="77"/>
      <c r="K19" s="77"/>
      <c r="L19" s="14">
        <v>30</v>
      </c>
      <c r="M19" s="2"/>
      <c r="N19" s="2"/>
      <c r="O19" s="2"/>
      <c r="P19" s="2"/>
      <c r="Q19" s="2"/>
      <c r="R19" s="2"/>
      <c r="S19" s="2"/>
    </row>
    <row r="20" spans="1:26" ht="18" customHeight="1" thickBot="1" x14ac:dyDescent="0.3">
      <c r="A20" s="2"/>
      <c r="B20" s="2"/>
      <c r="C20" s="2"/>
      <c r="D20" s="2"/>
      <c r="E20" s="2"/>
      <c r="F20" s="2"/>
      <c r="G20" s="2"/>
      <c r="H20" s="2"/>
      <c r="I20" s="2"/>
      <c r="J20" s="2"/>
      <c r="K20" s="2"/>
      <c r="L20" s="2"/>
      <c r="M20" s="2"/>
      <c r="N20" s="2"/>
      <c r="O20" s="2"/>
      <c r="P20" s="2"/>
      <c r="Q20" s="2"/>
      <c r="R20" s="2"/>
      <c r="S20" s="2"/>
    </row>
    <row r="21" spans="1:26" ht="15" customHeight="1" x14ac:dyDescent="0.25">
      <c r="A21" s="105" t="s">
        <v>49</v>
      </c>
      <c r="B21" s="106"/>
      <c r="C21" s="12"/>
      <c r="D21" s="105" t="s">
        <v>40</v>
      </c>
      <c r="E21" s="102" t="s">
        <v>38</v>
      </c>
      <c r="F21" s="103"/>
      <c r="G21" s="11"/>
      <c r="H21" s="100" t="s">
        <v>39</v>
      </c>
      <c r="I21" s="100" t="s">
        <v>37</v>
      </c>
      <c r="J21" s="100"/>
      <c r="K21" s="101" t="s">
        <v>10</v>
      </c>
      <c r="L21" s="101"/>
      <c r="M21" s="101"/>
      <c r="N21" s="2"/>
      <c r="O21" s="2"/>
      <c r="P21" s="2"/>
      <c r="Q21" s="2"/>
      <c r="R21" s="2"/>
      <c r="S21" s="2"/>
      <c r="T21" s="2"/>
      <c r="U21" s="2"/>
      <c r="V21" s="2"/>
      <c r="W21" s="2"/>
      <c r="X21" s="2"/>
      <c r="Y21" s="2"/>
      <c r="Z21" s="2"/>
    </row>
    <row r="22" spans="1:26" x14ac:dyDescent="0.25">
      <c r="A22" s="107"/>
      <c r="B22" s="108"/>
      <c r="C22" s="12"/>
      <c r="D22" s="107"/>
      <c r="E22" s="100"/>
      <c r="F22" s="104"/>
      <c r="G22" s="11"/>
      <c r="H22" s="100"/>
      <c r="I22" s="100"/>
      <c r="J22" s="100"/>
      <c r="K22" s="101"/>
      <c r="L22" s="101"/>
      <c r="M22" s="101"/>
      <c r="N22" s="2"/>
      <c r="O22" s="2"/>
      <c r="P22" s="2"/>
      <c r="Q22" s="2"/>
      <c r="R22" s="2"/>
      <c r="S22" s="2"/>
      <c r="T22" s="2"/>
      <c r="U22" s="2"/>
      <c r="V22" s="2"/>
      <c r="W22" s="2"/>
      <c r="X22" s="2"/>
      <c r="Y22" s="2"/>
      <c r="Z22" s="2"/>
    </row>
    <row r="23" spans="1:26" x14ac:dyDescent="0.25">
      <c r="A23" s="84">
        <f>IF(SUM(D23:D1023)=0,"Test insuffisant",SUM(D23:D1023))</f>
        <v>21</v>
      </c>
      <c r="B23" s="85"/>
      <c r="D23" s="41" t="str">
        <f>IF(E23=MIN(E23:F224),H23,"")</f>
        <v/>
      </c>
      <c r="E23" s="78">
        <f>IF(H23="","",ABS(I23-$G$19))</f>
        <v>3.3771226245164876E-2</v>
      </c>
      <c r="F23" s="79"/>
      <c r="G23" s="2"/>
      <c r="H23" s="13">
        <v>1</v>
      </c>
      <c r="I23" s="75">
        <v>4.0278773754835129E-2</v>
      </c>
      <c r="J23" s="75"/>
      <c r="K23" s="2">
        <v>4.0278773754835129E-2</v>
      </c>
      <c r="L23" s="2"/>
      <c r="M23" s="2"/>
      <c r="N23" s="2"/>
      <c r="O23" s="2"/>
      <c r="P23" s="2"/>
      <c r="Q23" s="2"/>
      <c r="R23" s="2"/>
      <c r="S23" s="2"/>
      <c r="T23" s="2"/>
      <c r="U23" s="2"/>
      <c r="V23" s="2"/>
      <c r="W23" s="2"/>
      <c r="X23" s="2"/>
      <c r="Y23" s="2"/>
    </row>
    <row r="24" spans="1:26" x14ac:dyDescent="0.25">
      <c r="A24" s="84"/>
      <c r="B24" s="85"/>
      <c r="D24" s="41" t="str" cm="1">
        <f t="array" ref="D24">IF(H24="","",IF(AND(E24&lt;AVERAGE(E23,E25)*($L$19/100),$D$23:D23=""),H24,""))</f>
        <v/>
      </c>
      <c r="E24" s="78">
        <f>IF(H24="","",ABS(I24-$G$19))</f>
        <v>3.3763067859411244E-2</v>
      </c>
      <c r="F24" s="79"/>
      <c r="G24" s="2"/>
      <c r="H24" s="13">
        <v>2</v>
      </c>
      <c r="I24" s="75">
        <v>4.028693214058876E-2</v>
      </c>
      <c r="J24" s="75"/>
      <c r="K24" s="2">
        <v>4.0263067930936813E-2</v>
      </c>
      <c r="L24" s="2">
        <v>4.0310796350240707E-2</v>
      </c>
      <c r="M24" s="2"/>
      <c r="N24" s="2"/>
      <c r="O24" s="2"/>
      <c r="P24" s="2"/>
      <c r="Q24" s="2"/>
      <c r="R24" s="2"/>
      <c r="S24" s="2"/>
      <c r="T24" s="2"/>
      <c r="U24" s="2"/>
      <c r="V24" s="2"/>
      <c r="W24" s="2"/>
      <c r="X24" s="2"/>
      <c r="Y24" s="2"/>
    </row>
    <row r="25" spans="1:26" x14ac:dyDescent="0.25">
      <c r="A25" s="80" t="s">
        <v>41</v>
      </c>
      <c r="B25" s="81"/>
      <c r="D25" s="41" t="str" cm="1">
        <f t="array" ref="D25">IF(H25="","",IF(AND(E25&lt;AVERAGE(E24,E26)*($L$19/100),$D$23:D24=""),H25,""))</f>
        <v/>
      </c>
      <c r="E25" s="78">
        <f t="shared" ref="E25:E42" si="0">IF(H25="","",ABS(I25-$G$19))</f>
        <v>2.9504717079798383E-2</v>
      </c>
      <c r="F25" s="79"/>
      <c r="G25" s="2"/>
      <c r="H25" s="13">
        <v>3</v>
      </c>
      <c r="I25" s="75">
        <v>4.4545282920201622E-2</v>
      </c>
      <c r="J25" s="75"/>
      <c r="K25" s="2">
        <v>4.2761869728565216E-2</v>
      </c>
      <c r="L25" s="2">
        <v>4.8265308141708374E-2</v>
      </c>
      <c r="M25" s="2">
        <v>4.2608670890331268E-2</v>
      </c>
      <c r="N25" s="2"/>
      <c r="O25" s="2"/>
      <c r="P25" s="2"/>
      <c r="Q25" s="2"/>
      <c r="R25" s="2"/>
      <c r="S25" s="2"/>
      <c r="T25" s="2"/>
      <c r="U25" s="2"/>
      <c r="V25" s="2"/>
      <c r="W25" s="2"/>
      <c r="X25" s="2"/>
      <c r="Y25" s="2"/>
    </row>
    <row r="26" spans="1:26" ht="15.75" thickBot="1" x14ac:dyDescent="0.3">
      <c r="A26" s="82"/>
      <c r="B26" s="83"/>
      <c r="D26" s="41" t="str" cm="1">
        <f t="array" ref="D26">IF(H26="","",IF(AND(E26&lt;AVERAGE(E25,E27)*($L$19/100),$D$23:D25=""),H26,""))</f>
        <v/>
      </c>
      <c r="E26" s="78">
        <f t="shared" si="0"/>
        <v>3.3828069518506532E-2</v>
      </c>
      <c r="F26" s="79"/>
      <c r="G26" s="2"/>
      <c r="H26" s="13">
        <v>4</v>
      </c>
      <c r="I26" s="75">
        <v>4.0221930481493473E-2</v>
      </c>
      <c r="J26" s="75"/>
      <c r="K26" s="2">
        <v>4.0108498185873032E-2</v>
      </c>
      <c r="L26" s="2">
        <v>3.9992202073335648E-2</v>
      </c>
      <c r="M26" s="2">
        <v>4.0273789316415787E-2</v>
      </c>
      <c r="N26" s="2">
        <v>4.0513232350349426E-2</v>
      </c>
      <c r="O26" s="2"/>
      <c r="P26" s="2"/>
      <c r="Q26" s="2"/>
      <c r="R26" s="2"/>
      <c r="S26" s="2"/>
      <c r="T26" s="2"/>
      <c r="U26" s="2"/>
      <c r="V26" s="2"/>
      <c r="W26" s="2"/>
      <c r="X26" s="2"/>
      <c r="Y26" s="2"/>
    </row>
    <row r="27" spans="1:26" x14ac:dyDescent="0.25">
      <c r="D27" s="41" t="str" cm="1">
        <f t="array" ref="D27">IF(H27="","",IF(AND(E27&lt;AVERAGE(E26,E28)*($L$19/100),$D$23:D26=""),H27,""))</f>
        <v/>
      </c>
      <c r="E27" s="78">
        <f t="shared" si="0"/>
        <v>3.3712031382322316E-2</v>
      </c>
      <c r="F27" s="79"/>
      <c r="G27" s="2"/>
      <c r="H27" s="13">
        <v>5</v>
      </c>
      <c r="I27" s="75">
        <v>4.0337968617677689E-2</v>
      </c>
      <c r="J27" s="75"/>
      <c r="K27" s="2">
        <v>3.9995592087507248E-2</v>
      </c>
      <c r="L27" s="2">
        <v>4.0722247213125229E-2</v>
      </c>
      <c r="M27" s="2">
        <v>4.0510427206754684E-2</v>
      </c>
      <c r="N27" s="2">
        <v>3.9607733488082886E-2</v>
      </c>
      <c r="O27" s="2">
        <v>4.0853843092918396E-2</v>
      </c>
      <c r="P27" s="2"/>
      <c r="Q27" s="2"/>
      <c r="R27" s="2"/>
      <c r="S27" s="2"/>
      <c r="T27" s="2"/>
      <c r="U27" s="2"/>
      <c r="V27" s="2"/>
      <c r="W27" s="2"/>
      <c r="X27" s="2"/>
      <c r="Y27" s="2"/>
    </row>
    <row r="28" spans="1:26" x14ac:dyDescent="0.25">
      <c r="C28" s="2"/>
      <c r="D28" s="41" t="str" cm="1">
        <f t="array" ref="D28">IF(H28="","",IF(AND(E28&lt;AVERAGE(E27,E29)*($L$19/100),$D$23:D27=""),H28,""))</f>
        <v/>
      </c>
      <c r="E28" s="78">
        <f t="shared" si="0"/>
        <v>2.9508565925558415E-2</v>
      </c>
      <c r="F28" s="79"/>
      <c r="G28" s="2"/>
      <c r="H28" s="13">
        <v>6</v>
      </c>
      <c r="I28" s="75">
        <v>4.454143407444159E-2</v>
      </c>
      <c r="J28" s="75"/>
      <c r="K28" s="2">
        <v>4.2195923626422882E-2</v>
      </c>
      <c r="L28" s="2">
        <v>4.761311411857605E-2</v>
      </c>
      <c r="M28" s="2">
        <v>4.3133128434419632E-2</v>
      </c>
      <c r="N28" s="2">
        <v>4.339318722486496E-2</v>
      </c>
      <c r="O28" s="2">
        <v>4.8894990235567093E-2</v>
      </c>
      <c r="P28" s="2">
        <v>4.2018260806798935E-2</v>
      </c>
      <c r="Q28" s="2"/>
      <c r="R28" s="2"/>
      <c r="S28" s="2"/>
      <c r="T28" s="2"/>
      <c r="U28" s="2"/>
    </row>
    <row r="29" spans="1:26" x14ac:dyDescent="0.25">
      <c r="A29" s="2"/>
      <c r="B29" s="2"/>
      <c r="C29" s="2"/>
      <c r="D29" s="41" t="str" cm="1">
        <f t="array" ref="D29">IF(H29="","",IF(AND(E29&lt;AVERAGE(E28,E30)*($L$19/100),$D$23:D28=""),H29,""))</f>
        <v/>
      </c>
      <c r="E29" s="78">
        <f t="shared" si="0"/>
        <v>2.2646579687935972E-2</v>
      </c>
      <c r="F29" s="79"/>
      <c r="G29" s="2"/>
      <c r="H29" s="13">
        <v>7</v>
      </c>
      <c r="I29" s="75">
        <v>5.1403420312064033E-2</v>
      </c>
      <c r="J29" s="75"/>
      <c r="K29" s="2">
        <v>4.9757577478885651E-2</v>
      </c>
      <c r="L29" s="2">
        <v>6.0865480452775955E-2</v>
      </c>
      <c r="M29" s="2">
        <v>4.7772932797670364E-2</v>
      </c>
      <c r="N29" s="2">
        <v>5.0846077501773834E-2</v>
      </c>
      <c r="O29" s="2">
        <v>4.7082718461751938E-2</v>
      </c>
      <c r="P29" s="2">
        <v>5.3946379572153091E-2</v>
      </c>
      <c r="Q29" s="2">
        <v>4.9552775919437408E-2</v>
      </c>
      <c r="R29" s="2"/>
      <c r="S29" s="2"/>
    </row>
    <row r="30" spans="1:26" x14ac:dyDescent="0.25">
      <c r="A30" s="2"/>
      <c r="B30" s="2"/>
      <c r="C30" s="2"/>
      <c r="D30" s="41" t="str" cm="1">
        <f t="array" ref="D30">IF(H30="","",IF(AND(E30&lt;AVERAGE(E29,E31)*($L$19/100),$D$23:D29=""),H30,""))</f>
        <v/>
      </c>
      <c r="E30" s="78">
        <f t="shared" si="0"/>
        <v>3.3802959664911036E-2</v>
      </c>
      <c r="F30" s="79"/>
      <c r="G30" s="2"/>
      <c r="H30" s="1">
        <v>8</v>
      </c>
      <c r="I30" s="75">
        <v>4.0247040335088968E-2</v>
      </c>
      <c r="J30" s="75"/>
      <c r="K30">
        <v>3.9820291101932526E-2</v>
      </c>
      <c r="L30">
        <v>4.009951651096344E-2</v>
      </c>
      <c r="M30">
        <v>4.0643200278282166E-2</v>
      </c>
      <c r="N30" s="2">
        <v>4.0288623422384262E-2</v>
      </c>
      <c r="O30">
        <v>4.0375791490077972E-2</v>
      </c>
      <c r="P30">
        <v>4.007440060377121E-2</v>
      </c>
      <c r="Q30">
        <v>3.9851829409599304E-2</v>
      </c>
      <c r="R30">
        <v>4.0822669863700867E-2</v>
      </c>
    </row>
    <row r="31" spans="1:26" x14ac:dyDescent="0.25">
      <c r="A31" s="2"/>
      <c r="B31" s="2"/>
      <c r="C31" s="2"/>
      <c r="D31" s="41" t="str" cm="1">
        <f t="array" ref="D31">IF(H31="","",IF(AND(E31&lt;AVERAGE(E30,E32)*($L$19/100),$D$23:D30=""),H31,""))</f>
        <v/>
      </c>
      <c r="E31" s="78">
        <f t="shared" si="0"/>
        <v>2.9467383462190633E-2</v>
      </c>
      <c r="F31" s="79"/>
      <c r="H31" s="1">
        <v>9</v>
      </c>
      <c r="I31" s="75">
        <v>4.4582616537809372E-2</v>
      </c>
      <c r="J31" s="75"/>
      <c r="K31">
        <v>4.157579317688942E-2</v>
      </c>
      <c r="L31">
        <v>4.9243591725826263E-2</v>
      </c>
      <c r="M31">
        <v>4.306337982416153E-2</v>
      </c>
      <c r="N31" s="2">
        <v>4.4519197195768356E-2</v>
      </c>
      <c r="O31">
        <v>4.8052564263343811E-2</v>
      </c>
      <c r="P31">
        <v>4.2045757174491882E-2</v>
      </c>
      <c r="Q31">
        <v>4.306437075138092E-2</v>
      </c>
      <c r="R31">
        <v>4.7180004417896271E-2</v>
      </c>
      <c r="S31">
        <v>4.2498890310525894E-2</v>
      </c>
    </row>
    <row r="32" spans="1:26" x14ac:dyDescent="0.25">
      <c r="A32" s="2"/>
      <c r="B32" s="2"/>
      <c r="C32" s="2"/>
      <c r="D32" s="41" t="str" cm="1">
        <f t="array" ref="D32">IF(H32="","",IF(AND(E32&lt;AVERAGE(E31,E33)*($L$19/100),$D$23:D31=""),H32,""))</f>
        <v/>
      </c>
      <c r="E32" s="78">
        <f t="shared" si="0"/>
        <v>3.3752943637967117E-2</v>
      </c>
      <c r="F32" s="79"/>
      <c r="H32" s="1">
        <v>10</v>
      </c>
      <c r="I32" s="75">
        <v>4.0297056362032888E-2</v>
      </c>
      <c r="J32" s="75"/>
      <c r="K32">
        <v>3.945116326212883E-2</v>
      </c>
      <c r="L32">
        <v>4.0486007928848267E-2</v>
      </c>
      <c r="M32">
        <v>4.0945682674646378E-2</v>
      </c>
      <c r="N32" s="2">
        <v>3.9344906806945801E-2</v>
      </c>
      <c r="O32">
        <v>3.9977826178073883E-2</v>
      </c>
      <c r="P32">
        <v>3.9989374577999115E-2</v>
      </c>
      <c r="Q32">
        <v>4.0867146104574203E-2</v>
      </c>
      <c r="R32">
        <v>4.0451359003782272E-2</v>
      </c>
      <c r="S32">
        <v>3.9363384246826172E-2</v>
      </c>
      <c r="T32">
        <v>4.2093712836503983E-2</v>
      </c>
    </row>
    <row r="33" spans="2:36" x14ac:dyDescent="0.25">
      <c r="B33" s="2"/>
      <c r="C33" s="2"/>
      <c r="D33" s="41" t="str" cm="1">
        <f t="array" ref="D33">IF(H33="","",IF(AND(E33&lt;AVERAGE(E32,E34)*($L$19/100),$D$23:D32=""),H33,""))</f>
        <v/>
      </c>
      <c r="E33" s="78">
        <f t="shared" si="0"/>
        <v>3.3700417281822728E-2</v>
      </c>
      <c r="F33" s="79"/>
      <c r="H33" s="1">
        <v>11</v>
      </c>
      <c r="I33" s="75">
        <v>4.0349582718177276E-2</v>
      </c>
      <c r="J33" s="75"/>
      <c r="K33">
        <v>3.95360067486763E-2</v>
      </c>
      <c r="L33">
        <v>3.9357375353574753E-2</v>
      </c>
      <c r="M33">
        <v>4.0979009121656418E-2</v>
      </c>
      <c r="N33">
        <v>3.9840236306190491E-2</v>
      </c>
      <c r="O33">
        <v>4.1078798472881317E-2</v>
      </c>
      <c r="P33">
        <v>4.0894147008657455E-2</v>
      </c>
      <c r="Q33">
        <v>3.9819829165935516E-2</v>
      </c>
      <c r="R33">
        <v>3.9976499974727631E-2</v>
      </c>
      <c r="S33">
        <v>4.0541637688875198E-2</v>
      </c>
      <c r="T33">
        <v>4.191531240940094E-2</v>
      </c>
      <c r="U33">
        <v>3.9906557649374008E-2</v>
      </c>
    </row>
    <row r="34" spans="2:36" x14ac:dyDescent="0.25">
      <c r="B34" s="2"/>
      <c r="C34" s="2"/>
      <c r="D34" s="41" t="str" cm="1">
        <f t="array" ref="D34">IF(H34="","",IF(AND(E34&lt;AVERAGE(E33,E35)*($L$19/100),$D$23:D33=""),H34,""))</f>
        <v/>
      </c>
      <c r="E34" s="78">
        <f t="shared" si="0"/>
        <v>2.9535982199509946E-2</v>
      </c>
      <c r="F34" s="79"/>
      <c r="H34" s="1">
        <v>12</v>
      </c>
      <c r="I34" s="75">
        <v>4.4514017800490059E-2</v>
      </c>
      <c r="J34" s="75"/>
      <c r="K34">
        <v>4.1227135807275772E-2</v>
      </c>
      <c r="L34">
        <v>4.6005986630916595E-2</v>
      </c>
      <c r="M34">
        <v>4.2224809527397156E-2</v>
      </c>
      <c r="N34">
        <v>4.3202526867389679E-2</v>
      </c>
      <c r="O34">
        <v>4.9481209367513657E-2</v>
      </c>
      <c r="P34">
        <v>4.1526436805725098E-2</v>
      </c>
      <c r="Q34">
        <v>4.3239109218120575E-2</v>
      </c>
      <c r="R34">
        <v>4.9231793731451035E-2</v>
      </c>
      <c r="S34">
        <v>4.3897572904825211E-2</v>
      </c>
      <c r="T34">
        <v>4.3315596878528595E-2</v>
      </c>
      <c r="U34">
        <v>4.8218719661235809E-2</v>
      </c>
      <c r="V34">
        <v>4.2597316205501556E-2</v>
      </c>
    </row>
    <row r="35" spans="2:36" x14ac:dyDescent="0.25">
      <c r="B35" s="2"/>
      <c r="C35" s="2"/>
      <c r="D35" s="41" t="str" cm="1">
        <f t="array" ref="D35">IF(H35="","",IF(AND(E35&lt;AVERAGE(E34,E36)*($L$19/100),$D$23:D34=""),H35,""))</f>
        <v/>
      </c>
      <c r="E35" s="78">
        <f t="shared" si="0"/>
        <v>3.3989244274909687E-2</v>
      </c>
      <c r="F35" s="79"/>
      <c r="H35" s="1">
        <v>13</v>
      </c>
      <c r="I35" s="75">
        <v>4.0060755725090318E-2</v>
      </c>
      <c r="J35" s="75"/>
      <c r="K35">
        <v>4.0341116487979889E-2</v>
      </c>
      <c r="L35">
        <v>3.9865829050540924E-2</v>
      </c>
      <c r="M35">
        <v>3.96413654088974E-2</v>
      </c>
      <c r="N35">
        <v>4.0028128772974014E-2</v>
      </c>
      <c r="O35">
        <v>4.1075125336647034E-2</v>
      </c>
      <c r="P35">
        <v>3.9821073412895203E-2</v>
      </c>
      <c r="Q35">
        <v>3.9477281272411346E-2</v>
      </c>
      <c r="R35">
        <v>3.9617922157049179E-2</v>
      </c>
      <c r="S35">
        <v>3.9508536458015442E-2</v>
      </c>
      <c r="T35">
        <v>4.0032036602497101E-2</v>
      </c>
      <c r="U35">
        <v>4.0215648710727692E-2</v>
      </c>
      <c r="V35">
        <v>4.0832910686731339E-2</v>
      </c>
      <c r="W35">
        <v>4.0332850068807602E-2</v>
      </c>
    </row>
    <row r="36" spans="2:36" x14ac:dyDescent="0.25">
      <c r="B36" s="2"/>
      <c r="C36" s="2"/>
      <c r="D36" s="41" t="str" cm="1">
        <f t="array" ref="D36">IF(H36="","",IF(AND(E36&lt;AVERAGE(E35,E37)*($L$19/100),$D$23:D35=""),H36,""))</f>
        <v/>
      </c>
      <c r="E36" s="78">
        <f t="shared" si="0"/>
        <v>2.2631328615546231E-2</v>
      </c>
      <c r="F36" s="79"/>
      <c r="H36" s="1">
        <v>14</v>
      </c>
      <c r="I36" s="75">
        <v>5.1418671384453773E-2</v>
      </c>
      <c r="J36" s="75"/>
      <c r="K36">
        <v>4.892653226852417E-2</v>
      </c>
      <c r="L36">
        <v>6.0680314898490906E-2</v>
      </c>
      <c r="M36">
        <v>4.8745356500148773E-2</v>
      </c>
      <c r="N36">
        <v>4.9320589751005173E-2</v>
      </c>
      <c r="O36">
        <v>4.6661835163831711E-2</v>
      </c>
      <c r="P36">
        <v>5.3990397602319717E-2</v>
      </c>
      <c r="Q36">
        <v>5.1843464374542236E-2</v>
      </c>
      <c r="R36">
        <v>5.0226468592882156E-2</v>
      </c>
      <c r="S36">
        <v>6.1029080301523209E-2</v>
      </c>
      <c r="T36">
        <v>4.6761482954025269E-2</v>
      </c>
      <c r="U36">
        <v>5.2364345639944077E-2</v>
      </c>
      <c r="V36">
        <v>4.7382008284330368E-2</v>
      </c>
      <c r="W36">
        <v>5.3849987685680389E-2</v>
      </c>
      <c r="X36">
        <v>4.8079535365104675E-2</v>
      </c>
    </row>
    <row r="37" spans="2:36" x14ac:dyDescent="0.25">
      <c r="B37" s="2"/>
      <c r="C37" s="2"/>
      <c r="D37" s="41" t="str" cm="1">
        <f t="array" ref="D37">IF(H37="","",IF(AND(E37&lt;AVERAGE(E36,E38)*($L$19/100),$D$23:D36=""),H37,""))</f>
        <v/>
      </c>
      <c r="E37" s="78">
        <f t="shared" si="0"/>
        <v>2.9465996660788855E-2</v>
      </c>
      <c r="F37" s="79"/>
      <c r="H37" s="1">
        <v>15</v>
      </c>
      <c r="I37" s="75">
        <v>4.4584003339211149E-2</v>
      </c>
      <c r="J37" s="75"/>
      <c r="K37">
        <v>4.286530613899231E-2</v>
      </c>
      <c r="L37">
        <v>4.8657212406396866E-2</v>
      </c>
      <c r="M37">
        <v>4.3525010347366333E-2</v>
      </c>
      <c r="N37">
        <v>4.3067891150712967E-2</v>
      </c>
      <c r="O37">
        <v>4.8761103302240372E-2</v>
      </c>
      <c r="P37">
        <v>4.2896471917629242E-2</v>
      </c>
      <c r="Q37">
        <v>4.3047115206718445E-2</v>
      </c>
      <c r="R37">
        <v>4.8657212406396866E-2</v>
      </c>
      <c r="S37">
        <v>4.0979690849781036E-2</v>
      </c>
      <c r="T37">
        <v>4.2112097144126892E-2</v>
      </c>
      <c r="U37">
        <v>4.8663295805454254E-2</v>
      </c>
      <c r="V37">
        <v>4.3540570884943008E-2</v>
      </c>
      <c r="W37">
        <v>4.2592108249664307E-2</v>
      </c>
      <c r="X37">
        <v>4.6776797622442245E-2</v>
      </c>
      <c r="Y37">
        <v>4.2618166655302048E-2</v>
      </c>
    </row>
    <row r="38" spans="2:36" x14ac:dyDescent="0.25">
      <c r="B38" s="2"/>
      <c r="C38" s="2"/>
      <c r="D38" s="41" t="str" cm="1">
        <f t="array" ref="D38">IF(H38="","",IF(AND(E38&lt;AVERAGE(E37,E39)*($L$19/100),$D$23:D37=""),H38,""))</f>
        <v/>
      </c>
      <c r="E38" s="78">
        <f t="shared" si="0"/>
        <v>3.3816536485403781E-2</v>
      </c>
      <c r="F38" s="79"/>
      <c r="H38" s="1">
        <v>16</v>
      </c>
      <c r="I38" s="75">
        <v>4.0233463514596224E-2</v>
      </c>
      <c r="J38" s="75"/>
      <c r="K38">
        <v>4.0533266961574554E-2</v>
      </c>
      <c r="L38">
        <v>4.0071923285722733E-2</v>
      </c>
      <c r="M38">
        <v>4.0338084101676941E-2</v>
      </c>
      <c r="N38">
        <v>4.1254855692386627E-2</v>
      </c>
      <c r="O38">
        <v>4.0006861090660095E-2</v>
      </c>
      <c r="P38">
        <v>4.0651559829711914E-2</v>
      </c>
      <c r="Q38">
        <v>3.8859415799379349E-2</v>
      </c>
      <c r="R38">
        <v>4.1852239519357681E-2</v>
      </c>
      <c r="S38">
        <v>3.900136798620224E-2</v>
      </c>
      <c r="T38">
        <v>3.9870824664831161E-2</v>
      </c>
      <c r="U38">
        <v>4.0663391351699829E-2</v>
      </c>
      <c r="V38">
        <v>3.943905234336853E-2</v>
      </c>
      <c r="W38">
        <v>4.098278284072876E-2</v>
      </c>
      <c r="X38">
        <v>3.9332587271928787E-2</v>
      </c>
      <c r="Y38">
        <v>4.0263518691062927E-2</v>
      </c>
      <c r="Z38">
        <v>4.0613684803247452E-2</v>
      </c>
    </row>
    <row r="39" spans="2:36" x14ac:dyDescent="0.25">
      <c r="B39" s="2"/>
      <c r="C39" s="2"/>
      <c r="D39" s="41" t="str" cm="1">
        <f t="array" ref="D39">IF(H39="","",IF(AND(E39&lt;AVERAGE(E38,E40)*($L$19/100),$D$23:D38=""),H39,""))</f>
        <v/>
      </c>
      <c r="E39" s="78">
        <f t="shared" si="0"/>
        <v>3.3758449375980049E-2</v>
      </c>
      <c r="F39" s="79"/>
      <c r="H39" s="1">
        <v>17</v>
      </c>
      <c r="I39" s="75">
        <v>4.0291550624019956E-2</v>
      </c>
      <c r="J39" s="75"/>
      <c r="K39">
        <v>4.0806524455547333E-2</v>
      </c>
      <c r="L39">
        <v>4.1213519871234894E-2</v>
      </c>
      <c r="M39">
        <v>3.9979182183742523E-2</v>
      </c>
      <c r="N39">
        <v>3.9265267550945282E-2</v>
      </c>
      <c r="O39">
        <v>3.9718970656394958E-2</v>
      </c>
      <c r="P39">
        <v>4.0719784796237946E-2</v>
      </c>
      <c r="Q39">
        <v>4.0326133370399475E-2</v>
      </c>
      <c r="R39">
        <v>4.1006684303283691E-2</v>
      </c>
      <c r="S39">
        <v>3.8965024054050446E-2</v>
      </c>
      <c r="T39">
        <v>3.9038419723510742E-2</v>
      </c>
      <c r="U39">
        <v>4.0973324328660965E-2</v>
      </c>
      <c r="V39">
        <v>3.9911337196826935E-2</v>
      </c>
      <c r="W39">
        <v>4.0949299931526184E-2</v>
      </c>
      <c r="X39">
        <v>3.9522938430309296E-2</v>
      </c>
      <c r="Y39">
        <v>4.1371181607246399E-2</v>
      </c>
      <c r="Z39">
        <v>4.0185894817113876E-2</v>
      </c>
      <c r="AA39">
        <v>4.1002873331308365E-2</v>
      </c>
    </row>
    <row r="40" spans="2:36" x14ac:dyDescent="0.25">
      <c r="B40" s="2"/>
      <c r="C40" s="2"/>
      <c r="D40" s="41" t="str" cm="1">
        <f t="array" ref="D40">IF(H40="","",IF(AND(E40&lt;AVERAGE(E39,E41)*($L$19/100),$D$23:D39=""),H40,""))</f>
        <v/>
      </c>
      <c r="E40" s="78">
        <f t="shared" si="0"/>
        <v>2.9404227373997373E-2</v>
      </c>
      <c r="F40" s="79"/>
      <c r="H40" s="1">
        <v>18</v>
      </c>
      <c r="I40" s="75">
        <v>4.4645772626002632E-2</v>
      </c>
      <c r="J40" s="75"/>
      <c r="K40">
        <v>4.2493447661399841E-2</v>
      </c>
      <c r="L40">
        <v>4.7922749072313309E-2</v>
      </c>
      <c r="M40">
        <v>4.2448639869689941E-2</v>
      </c>
      <c r="N40">
        <v>4.4741343706846237E-2</v>
      </c>
      <c r="O40">
        <v>5.0252649933099747E-2</v>
      </c>
      <c r="P40">
        <v>4.1263699531555176E-2</v>
      </c>
      <c r="Q40">
        <v>4.1383653879165649E-2</v>
      </c>
      <c r="R40">
        <v>4.814598336815834E-2</v>
      </c>
      <c r="S40">
        <v>4.3175444006919861E-2</v>
      </c>
      <c r="T40">
        <v>4.1713524609804153E-2</v>
      </c>
      <c r="U40">
        <v>5.0155188888311386E-2</v>
      </c>
      <c r="V40">
        <v>4.3992623686790466E-2</v>
      </c>
      <c r="W40">
        <v>4.3797701597213745E-2</v>
      </c>
      <c r="X40">
        <v>4.6616587787866592E-2</v>
      </c>
      <c r="Y40">
        <v>4.2830582708120346E-2</v>
      </c>
      <c r="Z40">
        <v>4.4300001114606857E-2</v>
      </c>
      <c r="AA40">
        <v>4.6451650559902191E-2</v>
      </c>
      <c r="AB40">
        <v>4.1938435286283493E-2</v>
      </c>
    </row>
    <row r="41" spans="2:36" x14ac:dyDescent="0.25">
      <c r="B41" s="2"/>
      <c r="C41" s="2"/>
      <c r="D41" s="41" t="str" cm="1">
        <f t="array" ref="D41">IF(H41="","",IF(AND(E41&lt;AVERAGE(E40,E42)*($L$19/100),$D$23:D40=""),H41,""))</f>
        <v/>
      </c>
      <c r="E41" s="78">
        <f t="shared" si="0"/>
        <v>3.3897910819869294E-2</v>
      </c>
      <c r="F41" s="79"/>
      <c r="H41" s="1">
        <v>19</v>
      </c>
      <c r="I41" s="75">
        <v>4.0152089180130711E-2</v>
      </c>
      <c r="J41" s="75"/>
      <c r="K41">
        <v>4.0774591267108917E-2</v>
      </c>
      <c r="L41">
        <v>3.9247110486030579E-2</v>
      </c>
      <c r="M41">
        <v>3.9739575237035751E-2</v>
      </c>
      <c r="N41">
        <v>3.9906512945890427E-2</v>
      </c>
      <c r="O41">
        <v>4.0065106004476547E-2</v>
      </c>
      <c r="P41">
        <v>3.9555944502353668E-2</v>
      </c>
      <c r="Q41">
        <v>3.8554318249225616E-2</v>
      </c>
      <c r="R41">
        <v>4.0215350687503815E-2</v>
      </c>
      <c r="S41">
        <v>4.1367221623659134E-2</v>
      </c>
      <c r="T41">
        <v>3.9964944124221802E-2</v>
      </c>
      <c r="U41">
        <v>4.0474101901054382E-2</v>
      </c>
      <c r="V41">
        <v>3.9964944124221802E-2</v>
      </c>
      <c r="W41">
        <v>4.078293964266777E-2</v>
      </c>
      <c r="X41">
        <v>3.9806351065635681E-2</v>
      </c>
      <c r="Y41">
        <v>4.0031719952821732E-2</v>
      </c>
      <c r="Z41">
        <v>3.907182440161705E-2</v>
      </c>
      <c r="AA41">
        <v>4.2126789689064026E-2</v>
      </c>
      <c r="AB41">
        <v>3.9514210075139999E-2</v>
      </c>
      <c r="AC41">
        <v>4.1726138442754745E-2</v>
      </c>
    </row>
    <row r="42" spans="2:36" x14ac:dyDescent="0.25">
      <c r="B42" s="2"/>
      <c r="C42" s="2"/>
      <c r="D42" s="41" t="str" cm="1">
        <f t="array" ref="D42">IF(H42="","",IF(AND(E42&lt;AVERAGE(E41,E43)*($L$19/100),$D$23:D41=""),H42,""))</f>
        <v/>
      </c>
      <c r="E42" s="78">
        <f t="shared" si="0"/>
        <v>3.3659270468354228E-2</v>
      </c>
      <c r="F42" s="79"/>
      <c r="H42" s="1">
        <v>20</v>
      </c>
      <c r="I42" s="75">
        <v>4.0390729531645776E-2</v>
      </c>
      <c r="J42" s="75"/>
      <c r="K42">
        <v>3.8820434361696243E-2</v>
      </c>
      <c r="L42">
        <v>3.8801975548267365E-2</v>
      </c>
      <c r="M42">
        <v>4.1580136865377426E-2</v>
      </c>
      <c r="N42">
        <v>3.9235774427652359E-2</v>
      </c>
      <c r="O42">
        <v>4.0943283587694168E-2</v>
      </c>
      <c r="P42">
        <v>3.9180394262075424E-2</v>
      </c>
      <c r="Q42">
        <v>4.116479679942131E-2</v>
      </c>
      <c r="R42">
        <v>4.0352579206228256E-2</v>
      </c>
      <c r="S42">
        <v>3.8589689880609512E-2</v>
      </c>
      <c r="T42">
        <v>4.3398402631282806E-2</v>
      </c>
      <c r="U42">
        <v>4.1110493242740631E-2</v>
      </c>
      <c r="V42">
        <v>4.1981831192970276E-2</v>
      </c>
      <c r="W42">
        <v>4.0647014975547791E-2</v>
      </c>
      <c r="X42">
        <v>3.8783833384513855E-2</v>
      </c>
      <c r="Y42">
        <v>3.8616981357336044E-2</v>
      </c>
      <c r="Z42">
        <v>4.2009640485048294E-2</v>
      </c>
      <c r="AA42">
        <v>4.011864960193634E-2</v>
      </c>
      <c r="AB42">
        <v>4.1787169873714447E-2</v>
      </c>
      <c r="AC42">
        <v>3.9340008050203323E-2</v>
      </c>
      <c r="AD42">
        <v>4.1351500898599625E-2</v>
      </c>
    </row>
    <row r="43" spans="2:36" x14ac:dyDescent="0.25">
      <c r="B43" s="2"/>
      <c r="C43" s="2"/>
      <c r="D43" s="41" cm="1">
        <f t="array" ref="D43">IF(H43="","",IF(AND(E43&lt;AVERAGE(E42,E44)*($L$19/100),$D$23:D42=""),H43,""))</f>
        <v>21</v>
      </c>
      <c r="E43" s="78">
        <f t="shared" ref="E43:E106" si="1">IF(H43="","",ABS(I43-$G$19))</f>
        <v>2.7980545708111287E-3</v>
      </c>
      <c r="F43" s="79"/>
      <c r="H43" s="1">
        <v>21</v>
      </c>
      <c r="I43" s="75">
        <v>7.6848054570811133E-2</v>
      </c>
      <c r="J43" s="75"/>
      <c r="K43">
        <v>7.3637969791889191E-2</v>
      </c>
      <c r="L43">
        <v>7.5946152210235596E-2</v>
      </c>
      <c r="M43">
        <v>7.9962581396102905E-2</v>
      </c>
      <c r="N43">
        <v>7.4339576065540314E-2</v>
      </c>
      <c r="O43">
        <v>7.4919164180755615E-2</v>
      </c>
      <c r="P43">
        <v>8.2189410924911499E-2</v>
      </c>
      <c r="Q43">
        <v>7.0028267800807953E-2</v>
      </c>
      <c r="R43">
        <v>7.6116152107715607E-2</v>
      </c>
      <c r="S43">
        <v>7.9139553010463715E-2</v>
      </c>
      <c r="T43">
        <v>7.9711548984050751E-2</v>
      </c>
      <c r="U43">
        <v>7.6800510287284851E-2</v>
      </c>
      <c r="V43">
        <v>7.6177440583705902E-2</v>
      </c>
      <c r="W43">
        <v>8.3174161612987518E-2</v>
      </c>
      <c r="X43">
        <v>7.4175462126731873E-2</v>
      </c>
      <c r="Y43">
        <v>8.1090465188026428E-2</v>
      </c>
      <c r="Z43">
        <v>7.9078271985054016E-2</v>
      </c>
      <c r="AA43">
        <v>7.8434780240058899E-2</v>
      </c>
      <c r="AB43">
        <v>7.9384699463844299E-2</v>
      </c>
      <c r="AC43">
        <v>6.6412672400474548E-2</v>
      </c>
      <c r="AD43">
        <v>7.8720778226852417E-2</v>
      </c>
      <c r="AE43">
        <v>7.4369527399539948E-2</v>
      </c>
    </row>
    <row r="44" spans="2:36" x14ac:dyDescent="0.25">
      <c r="B44" s="2"/>
      <c r="C44" s="2"/>
      <c r="D44" s="41" t="str" cm="1">
        <f t="array" ref="D44">IF(H44="","",IF(AND(E44&lt;AVERAGE(E43,E45)*($L$19/100),$D$23:D43=""),H44,""))</f>
        <v/>
      </c>
      <c r="E44" s="78">
        <f t="shared" si="1"/>
        <v>3.3656594321402639E-2</v>
      </c>
      <c r="F44" s="79"/>
      <c r="H44" s="1">
        <v>22</v>
      </c>
      <c r="I44" s="75">
        <v>4.0393405678597366E-2</v>
      </c>
      <c r="J44" s="75"/>
      <c r="K44">
        <v>3.9631564170122147E-2</v>
      </c>
      <c r="L44">
        <v>3.8081537932157516E-2</v>
      </c>
      <c r="M44">
        <v>4.2218655347824097E-2</v>
      </c>
      <c r="N44">
        <v>4.0545966476202011E-2</v>
      </c>
      <c r="O44">
        <v>4.0749330073595047E-2</v>
      </c>
      <c r="P44">
        <v>4.1712883859872818E-2</v>
      </c>
      <c r="Q44">
        <v>4.0435615926980972E-2</v>
      </c>
      <c r="R44">
        <v>4.0189124643802643E-2</v>
      </c>
      <c r="S44">
        <v>4.1175086051225662E-2</v>
      </c>
      <c r="T44">
        <v>4.1936967521905899E-2</v>
      </c>
      <c r="U44">
        <v>4.0155511349439621E-2</v>
      </c>
      <c r="V44">
        <v>3.9147142320871353E-2</v>
      </c>
      <c r="W44">
        <v>4.0536452084779739E-2</v>
      </c>
      <c r="X44">
        <v>4.114147275686264E-2</v>
      </c>
      <c r="Y44">
        <v>3.8743793964385986E-2</v>
      </c>
      <c r="Z44">
        <v>4.1892148554325104E-2</v>
      </c>
      <c r="AA44">
        <v>3.9830595254898071E-2</v>
      </c>
      <c r="AB44">
        <v>3.9460860192775726E-2</v>
      </c>
      <c r="AC44">
        <v>3.8979083299636841E-2</v>
      </c>
      <c r="AD44">
        <v>4.0614880621433258E-2</v>
      </c>
      <c r="AE44">
        <v>4.1735291481018066E-2</v>
      </c>
      <c r="AF44">
        <v>3.9740961045026779E-2</v>
      </c>
    </row>
    <row r="45" spans="2:36" x14ac:dyDescent="0.25">
      <c r="B45" s="2"/>
      <c r="C45" s="2"/>
      <c r="D45" s="41" t="str" cm="1">
        <f t="array" ref="D45">IF(H45="","",IF(AND(E45&lt;AVERAGE(E44,E46)*($L$19/100),$D$23:D44=""),H45,""))</f>
        <v/>
      </c>
      <c r="E45" s="78">
        <f t="shared" si="1"/>
        <v>3.3846842835519628E-2</v>
      </c>
      <c r="F45" s="79"/>
      <c r="H45" s="1">
        <v>23</v>
      </c>
      <c r="I45" s="75">
        <v>4.0203157164480377E-2</v>
      </c>
      <c r="J45" s="75"/>
      <c r="K45">
        <v>4.0312919765710831E-2</v>
      </c>
      <c r="L45">
        <v>4.0105123072862625E-2</v>
      </c>
      <c r="M45">
        <v>4.1437476873397827E-2</v>
      </c>
      <c r="N45">
        <v>4.0361814200878143E-2</v>
      </c>
      <c r="O45">
        <v>4.1816402226686478E-2</v>
      </c>
      <c r="P45">
        <v>4.3955504894256592E-2</v>
      </c>
      <c r="Q45">
        <v>4.0777411311864853E-2</v>
      </c>
      <c r="R45">
        <v>3.9567291736602783E-2</v>
      </c>
      <c r="S45">
        <v>3.8931671530008316E-2</v>
      </c>
      <c r="T45">
        <v>3.9286151528358459E-2</v>
      </c>
      <c r="U45">
        <v>3.9897322654724121E-2</v>
      </c>
      <c r="V45">
        <v>3.9775088429450989E-2</v>
      </c>
      <c r="W45">
        <v>4.1156336665153503E-2</v>
      </c>
      <c r="X45">
        <v>4.080185666680336E-2</v>
      </c>
      <c r="Y45">
        <v>3.8320500403642654E-2</v>
      </c>
      <c r="Z45">
        <v>4.0325142443180084E-2</v>
      </c>
      <c r="AA45">
        <v>3.9457280188798904E-2</v>
      </c>
      <c r="AB45">
        <v>3.921281173825264E-2</v>
      </c>
      <c r="AC45">
        <v>3.9591677486896515E-2</v>
      </c>
      <c r="AD45">
        <v>3.9272289723157883E-2</v>
      </c>
      <c r="AE45">
        <v>4.0574405342340469E-2</v>
      </c>
      <c r="AF45">
        <v>3.989877924323082E-2</v>
      </c>
      <c r="AG45">
        <v>3.983735665678978E-2</v>
      </c>
    </row>
    <row r="46" spans="2:36" x14ac:dyDescent="0.25">
      <c r="B46" s="2"/>
      <c r="C46" s="2"/>
      <c r="D46" s="41" t="str" cm="1">
        <f t="array" ref="D46">IF(H46="","",IF(AND(E46&lt;AVERAGE(E45,E47)*($L$19/100),$D$23:D45=""),H46,""))</f>
        <v/>
      </c>
      <c r="E46" s="78">
        <f t="shared" si="1"/>
        <v>2.9526065787176294E-2</v>
      </c>
      <c r="F46" s="79"/>
      <c r="H46" s="1">
        <v>24</v>
      </c>
      <c r="I46" s="75">
        <v>4.4523934212823711E-2</v>
      </c>
      <c r="J46" s="75"/>
      <c r="K46">
        <v>4.0664374828338623E-2</v>
      </c>
      <c r="L46">
        <v>4.5339513570070267E-2</v>
      </c>
      <c r="M46">
        <v>4.40475232899189E-2</v>
      </c>
      <c r="N46">
        <v>4.2395908385515213E-2</v>
      </c>
      <c r="O46">
        <v>4.8616107553243637E-2</v>
      </c>
      <c r="P46">
        <v>3.9891846477985382E-2</v>
      </c>
      <c r="Q46">
        <v>4.3901011347770691E-2</v>
      </c>
      <c r="R46">
        <v>4.8696022480726242E-2</v>
      </c>
      <c r="S46">
        <v>4.4407151639461517E-2</v>
      </c>
      <c r="T46">
        <v>4.3474785983562469E-2</v>
      </c>
      <c r="U46">
        <v>4.7910172492265701E-2</v>
      </c>
      <c r="V46">
        <v>4.1716612875461578E-2</v>
      </c>
      <c r="W46">
        <v>4.2249392718076706E-2</v>
      </c>
      <c r="X46">
        <v>4.6604864299297333E-2</v>
      </c>
      <c r="Y46">
        <v>4.0158234536647797E-2</v>
      </c>
      <c r="Z46">
        <v>4.4633582234382629E-2</v>
      </c>
      <c r="AA46">
        <v>4.9881458282470703E-2</v>
      </c>
      <c r="AB46">
        <v>4.3568022549152374E-2</v>
      </c>
      <c r="AC46">
        <v>4.2648978531360626E-2</v>
      </c>
      <c r="AD46">
        <v>4.9375317990779877E-2</v>
      </c>
      <c r="AE46">
        <v>4.3781135231256485E-2</v>
      </c>
      <c r="AF46">
        <v>4.3061882257461548E-2</v>
      </c>
      <c r="AG46">
        <v>4.8747505992650986E-2</v>
      </c>
      <c r="AH46">
        <v>4.2803015559911728E-2</v>
      </c>
    </row>
    <row r="47" spans="2:36" x14ac:dyDescent="0.25">
      <c r="B47" s="2"/>
      <c r="C47" s="2"/>
      <c r="D47" s="41" t="str" cm="1">
        <f t="array" ref="D47">IF(H47="","",IF(AND(E47&lt;AVERAGE(E46,E48)*($L$19/100),$D$23:D46=""),H47,""))</f>
        <v/>
      </c>
      <c r="E47" s="78">
        <f t="shared" si="1"/>
        <v>3.3784814167022711E-2</v>
      </c>
      <c r="F47" s="79"/>
      <c r="H47" s="1">
        <v>25</v>
      </c>
      <c r="I47" s="75">
        <v>4.0265185832977293E-2</v>
      </c>
      <c r="J47" s="75"/>
      <c r="K47">
        <v>4.014240950345993E-2</v>
      </c>
      <c r="L47">
        <v>3.9277579635381699E-2</v>
      </c>
      <c r="M47">
        <v>4.0747787803411484E-2</v>
      </c>
      <c r="N47">
        <v>3.8974892348051071E-2</v>
      </c>
      <c r="O47">
        <v>4.0589235723018646E-2</v>
      </c>
      <c r="P47">
        <v>3.9998270571231842E-2</v>
      </c>
      <c r="Q47">
        <v>4.0113579481840134E-2</v>
      </c>
      <c r="R47">
        <v>3.8917236030101776E-2</v>
      </c>
      <c r="S47">
        <v>3.9277579635381699E-2</v>
      </c>
      <c r="T47">
        <v>4.11946140229702E-2</v>
      </c>
      <c r="U47">
        <v>3.9112541824579239E-2</v>
      </c>
      <c r="V47">
        <v>4.2170245200395584E-2</v>
      </c>
      <c r="W47">
        <v>3.988058865070343E-2</v>
      </c>
      <c r="X47">
        <v>4.0097963064908981E-2</v>
      </c>
      <c r="Y47">
        <v>4.2460076510906219E-2</v>
      </c>
      <c r="Z47">
        <v>4.0184911340475082E-2</v>
      </c>
      <c r="AA47">
        <v>3.9170507341623306E-2</v>
      </c>
      <c r="AB47">
        <v>4.0474742650985718E-2</v>
      </c>
      <c r="AC47">
        <v>3.775034099817276E-2</v>
      </c>
      <c r="AD47">
        <v>4.0880504995584488E-2</v>
      </c>
      <c r="AE47">
        <v>3.9083559066057205E-2</v>
      </c>
      <c r="AF47">
        <v>4.0271859616041183E-2</v>
      </c>
      <c r="AG47">
        <v>4.1634060442447662E-2</v>
      </c>
      <c r="AH47">
        <v>4.1576094925403595E-2</v>
      </c>
      <c r="AI47">
        <v>4.2648464441299438E-2</v>
      </c>
    </row>
    <row r="48" spans="2:36" x14ac:dyDescent="0.25">
      <c r="B48" s="2"/>
      <c r="C48" s="2"/>
      <c r="D48" s="41" t="str" cm="1">
        <f t="array" ref="D48">IF(H48="","",IF(AND(E48&lt;AVERAGE(E47,E49)*($L$19/100),$D$23:D47=""),H48,""))</f>
        <v/>
      </c>
      <c r="E48" s="78">
        <f t="shared" si="1"/>
        <v>3.3964865831916151E-2</v>
      </c>
      <c r="F48" s="79"/>
      <c r="H48" s="1">
        <v>26</v>
      </c>
      <c r="I48" s="75">
        <v>4.0085134168083854E-2</v>
      </c>
      <c r="J48" s="75"/>
      <c r="K48">
        <v>4.1611552238464355E-2</v>
      </c>
      <c r="L48">
        <v>4.060005396604538E-2</v>
      </c>
      <c r="M48">
        <v>3.8542792201042175E-2</v>
      </c>
      <c r="N48">
        <v>3.9982471615076065E-2</v>
      </c>
      <c r="O48">
        <v>3.9888579398393631E-2</v>
      </c>
      <c r="P48">
        <v>3.9340876042842865E-2</v>
      </c>
      <c r="Q48">
        <v>3.8840118795633316E-2</v>
      </c>
      <c r="R48">
        <v>3.9606902748346329E-2</v>
      </c>
      <c r="S48">
        <v>3.9450418204069138E-2</v>
      </c>
      <c r="T48">
        <v>3.9825987070798874E-2</v>
      </c>
      <c r="U48">
        <v>4.1688185185194016E-2</v>
      </c>
      <c r="V48">
        <v>4.2345430701971054E-2</v>
      </c>
      <c r="W48">
        <v>4.0154609829187393E-2</v>
      </c>
      <c r="X48">
        <v>3.9466064423322678E-2</v>
      </c>
      <c r="Y48">
        <v>3.9309579879045486E-2</v>
      </c>
      <c r="Z48">
        <v>4.053017869591713E-2</v>
      </c>
      <c r="AA48">
        <v>4.0404990315437317E-2</v>
      </c>
      <c r="AB48">
        <v>4.1891615837812424E-2</v>
      </c>
      <c r="AC48">
        <v>4.0733613073825836E-2</v>
      </c>
      <c r="AD48">
        <v>3.9559956640005112E-2</v>
      </c>
      <c r="AE48">
        <v>3.8417600095272064E-2</v>
      </c>
      <c r="AF48">
        <v>3.9246983826160431E-2</v>
      </c>
      <c r="AG48">
        <v>4.0780559182167053E-2</v>
      </c>
      <c r="AH48">
        <v>4.0451936423778534E-2</v>
      </c>
      <c r="AI48">
        <v>4.0092013776302338E-2</v>
      </c>
      <c r="AJ48">
        <v>3.9450418204069138E-2</v>
      </c>
    </row>
    <row r="49" spans="2:52" x14ac:dyDescent="0.25">
      <c r="B49" s="2"/>
      <c r="C49" s="2"/>
      <c r="D49" s="41" t="str" cm="1">
        <f t="array" ref="D49">IF(H49="","",IF(AND(E49&lt;AVERAGE(E48,E50)*($L$19/100),$D$23:D48=""),H49,""))</f>
        <v/>
      </c>
      <c r="E49" s="78">
        <f t="shared" si="1"/>
        <v>2.9329897760461882E-2</v>
      </c>
      <c r="F49" s="79"/>
      <c r="H49" s="1">
        <v>27</v>
      </c>
      <c r="I49" s="75">
        <v>4.4720102239538123E-2</v>
      </c>
      <c r="J49" s="75"/>
      <c r="K49">
        <v>4.1085273027420044E-2</v>
      </c>
      <c r="L49">
        <v>5.4651163518428802E-2</v>
      </c>
      <c r="M49">
        <v>4.4371418654918671E-2</v>
      </c>
      <c r="N49">
        <v>4.6124029904603958E-2</v>
      </c>
      <c r="O49">
        <v>4.9005728214979172E-2</v>
      </c>
      <c r="P49">
        <v>4.1321199387311935E-2</v>
      </c>
      <c r="Q49">
        <v>4.2298618704080582E-2</v>
      </c>
      <c r="R49">
        <v>4.6545330435037613E-2</v>
      </c>
      <c r="S49">
        <v>4.5129761099815369E-2</v>
      </c>
      <c r="T49">
        <v>4.2787328362464905E-2</v>
      </c>
      <c r="U49">
        <v>4.9966294318437576E-2</v>
      </c>
      <c r="V49">
        <v>4.2500842362642288E-2</v>
      </c>
      <c r="W49">
        <v>4.4539939612150192E-2</v>
      </c>
      <c r="X49">
        <v>4.7590158879756927E-2</v>
      </c>
      <c r="Y49">
        <v>4.2399730533361435E-2</v>
      </c>
      <c r="Z49">
        <v>4.2096395045518875E-2</v>
      </c>
      <c r="AA49">
        <v>4.838220402598381E-2</v>
      </c>
      <c r="AB49">
        <v>4.2028985917568207E-2</v>
      </c>
      <c r="AC49">
        <v>4.0495451539754868E-2</v>
      </c>
      <c r="AD49">
        <v>4.6309404075145721E-2</v>
      </c>
      <c r="AE49">
        <v>4.2096395045518875E-2</v>
      </c>
      <c r="AF49">
        <v>4.2888440191745758E-2</v>
      </c>
      <c r="AG49">
        <v>4.8003252595663071E-2</v>
      </c>
      <c r="AH49">
        <v>4.1765544563531876E-2</v>
      </c>
      <c r="AI49">
        <v>4.5359008014202118E-2</v>
      </c>
      <c r="AJ49">
        <v>4.7732051461935043E-2</v>
      </c>
      <c r="AK49">
        <v>3.9968810975551605E-2</v>
      </c>
    </row>
    <row r="50" spans="2:52" x14ac:dyDescent="0.25">
      <c r="B50" s="2"/>
      <c r="C50" s="2"/>
      <c r="D50" s="41" t="str" cm="1">
        <f t="array" ref="D50">IF(H50="","",IF(AND(E50&lt;AVERAGE(E49,E51)*($L$19/100),$D$23:D49=""),H50,""))</f>
        <v/>
      </c>
      <c r="E50" s="78">
        <f t="shared" si="1"/>
        <v>2.2734309476188257E-2</v>
      </c>
      <c r="F50" s="79"/>
      <c r="H50" s="1">
        <v>28</v>
      </c>
      <c r="I50" s="75">
        <v>5.1315690523811748E-2</v>
      </c>
      <c r="J50" s="75"/>
      <c r="K50">
        <v>4.7378703951835632E-2</v>
      </c>
      <c r="L50">
        <v>6.0060061514377594E-2</v>
      </c>
      <c r="M50">
        <v>4.774051159620285E-2</v>
      </c>
      <c r="N50">
        <v>4.7161620110273361E-2</v>
      </c>
      <c r="O50">
        <v>4.7414883971214294E-2</v>
      </c>
      <c r="P50">
        <v>5.2950542420148849E-2</v>
      </c>
      <c r="Q50">
        <v>4.8645030707120895E-2</v>
      </c>
      <c r="R50">
        <v>4.8048049211502075E-2</v>
      </c>
      <c r="S50">
        <v>6.27555251121521E-2</v>
      </c>
      <c r="T50">
        <v>4.915156215429306E-2</v>
      </c>
      <c r="U50">
        <v>5.3728427737951279E-2</v>
      </c>
      <c r="V50">
        <v>4.7161620110273361E-2</v>
      </c>
      <c r="W50">
        <v>5.495857447385788E-2</v>
      </c>
      <c r="X50">
        <v>4.4972684234380722E-2</v>
      </c>
      <c r="Y50">
        <v>5.1213920116424561E-2</v>
      </c>
      <c r="Z50">
        <v>6.0896150767803192E-2</v>
      </c>
      <c r="AA50">
        <v>4.8665963113307953E-2</v>
      </c>
      <c r="AB50">
        <v>5.1614310592412949E-2</v>
      </c>
      <c r="AC50">
        <v>4.5826811343431473E-2</v>
      </c>
      <c r="AD50">
        <v>5.427146703004837E-2</v>
      </c>
      <c r="AE50">
        <v>5.4417062550783157E-2</v>
      </c>
      <c r="AF50">
        <v>5.2542496472597122E-2</v>
      </c>
      <c r="AG50">
        <v>5.8966986835002899E-2</v>
      </c>
      <c r="AH50">
        <v>4.4079642742872238E-2</v>
      </c>
      <c r="AI50">
        <v>5.1505114883184433E-2</v>
      </c>
      <c r="AJ50">
        <v>4.9066357314586639E-2</v>
      </c>
      <c r="AK50">
        <v>5.1632512360811234E-2</v>
      </c>
      <c r="AL50">
        <v>5.0012741237878799E-2</v>
      </c>
    </row>
    <row r="51" spans="2:52" x14ac:dyDescent="0.25">
      <c r="B51" s="2"/>
      <c r="C51" s="2"/>
      <c r="D51" s="41" t="str" cm="1">
        <f t="array" ref="D51">IF(H51="","",IF(AND(E51&lt;AVERAGE(E50,E52)*($L$19/100),$D$23:D50=""),H51,""))</f>
        <v/>
      </c>
      <c r="E51" s="78">
        <f t="shared" si="1"/>
        <v>3.3929860667319137E-2</v>
      </c>
      <c r="F51" s="79"/>
      <c r="H51" s="1">
        <v>29</v>
      </c>
      <c r="I51" s="75">
        <v>4.0120139332680868E-2</v>
      </c>
      <c r="J51" s="75"/>
      <c r="K51">
        <v>4.1930302977561951E-2</v>
      </c>
      <c r="L51">
        <v>4.0381621569395065E-2</v>
      </c>
      <c r="M51">
        <v>3.99143286049366E-2</v>
      </c>
      <c r="N51">
        <v>3.99143286049366E-2</v>
      </c>
      <c r="O51">
        <v>4.1296727955341339E-2</v>
      </c>
      <c r="P51">
        <v>3.975856676697731E-2</v>
      </c>
      <c r="Q51">
        <v>4.063473641872406E-2</v>
      </c>
      <c r="R51">
        <v>3.8629282265901566E-2</v>
      </c>
      <c r="S51">
        <v>4.0070094168186188E-2</v>
      </c>
      <c r="T51">
        <v>4.0186915546655655E-2</v>
      </c>
      <c r="U51">
        <v>3.8259346038103104E-2</v>
      </c>
      <c r="V51">
        <v>3.99143286049366E-2</v>
      </c>
      <c r="W51">
        <v>4.3126948177814484E-2</v>
      </c>
      <c r="X51">
        <v>3.8726635277271271E-2</v>
      </c>
      <c r="Y51">
        <v>3.9135515689849854E-2</v>
      </c>
      <c r="Z51">
        <v>3.8940809667110443E-2</v>
      </c>
      <c r="AA51">
        <v>3.9077103137969971E-2</v>
      </c>
      <c r="AB51">
        <v>3.9485979825258255E-2</v>
      </c>
      <c r="AC51">
        <v>4.0654204785823822E-2</v>
      </c>
      <c r="AD51">
        <v>3.8707166910171509E-2</v>
      </c>
      <c r="AE51">
        <v>3.9174456149339676E-2</v>
      </c>
      <c r="AF51">
        <v>4.1958723217248917E-2</v>
      </c>
      <c r="AG51">
        <v>3.9485979825258255E-2</v>
      </c>
      <c r="AH51">
        <v>4.0342677384614944E-2</v>
      </c>
      <c r="AI51">
        <v>4.080997034907341E-2</v>
      </c>
      <c r="AJ51">
        <v>4.1861370205879211E-2</v>
      </c>
      <c r="AK51">
        <v>3.8765575736761093E-2</v>
      </c>
      <c r="AL51">
        <v>4.0381621569395065E-2</v>
      </c>
      <c r="AM51">
        <v>4.1958723217248917E-2</v>
      </c>
    </row>
    <row r="52" spans="2:52" x14ac:dyDescent="0.25">
      <c r="B52" s="2"/>
      <c r="C52" s="2"/>
      <c r="D52" s="41" t="str" cm="1">
        <f t="array" ref="D52">IF(H52="","",IF(AND(E52&lt;AVERAGE(E51,E53)*($L$19/100),$D$23:D51=""),H52,""))</f>
        <v/>
      </c>
      <c r="E52" s="78">
        <f t="shared" si="1"/>
        <v>2.9553293375174212E-2</v>
      </c>
      <c r="F52" s="79"/>
      <c r="H52" s="1">
        <v>30</v>
      </c>
      <c r="I52" s="75">
        <v>4.4496706624825792E-2</v>
      </c>
      <c r="J52" s="75"/>
      <c r="K52">
        <v>4.0763407945632935E-2</v>
      </c>
      <c r="L52">
        <v>4.4414479285478592E-2</v>
      </c>
      <c r="M52">
        <v>4.4372990727424622E-2</v>
      </c>
      <c r="N52">
        <v>4.3107561767101288E-2</v>
      </c>
      <c r="O52">
        <v>4.7049060463905334E-2</v>
      </c>
      <c r="P52">
        <v>4.2651176452636719E-2</v>
      </c>
      <c r="Q52">
        <v>4.3377242982387543E-2</v>
      </c>
      <c r="R52">
        <v>4.7588422894477844E-2</v>
      </c>
      <c r="S52">
        <v>4.3335754424333572E-2</v>
      </c>
      <c r="T52">
        <v>4.4974587857723236E-2</v>
      </c>
      <c r="U52">
        <v>5.0506316125392914E-2</v>
      </c>
      <c r="V52">
        <v>4.1799768805503845E-2</v>
      </c>
      <c r="W52">
        <v>4.3010752648115158E-2</v>
      </c>
      <c r="X52">
        <v>4.8146989196538925E-2</v>
      </c>
      <c r="Y52">
        <v>4.1423946619033813E-2</v>
      </c>
      <c r="Z52">
        <v>4.4994257390499115E-2</v>
      </c>
      <c r="AA52">
        <v>5.3053554147481918E-2</v>
      </c>
      <c r="AB52">
        <v>4.248877614736557E-2</v>
      </c>
      <c r="AC52">
        <v>4.2760204523801804E-2</v>
      </c>
      <c r="AD52">
        <v>4.9859065562486649E-2</v>
      </c>
      <c r="AE52">
        <v>4.2092077434062958E-2</v>
      </c>
      <c r="AF52">
        <v>4.2781084775924683E-2</v>
      </c>
      <c r="AG52">
        <v>4.935796931385994E-2</v>
      </c>
      <c r="AH52">
        <v>3.9732750505208969E-2</v>
      </c>
      <c r="AI52">
        <v>4.0734939277172089E-2</v>
      </c>
      <c r="AJ52">
        <v>4.658106341958046E-2</v>
      </c>
      <c r="AK52">
        <v>4.3637122958898544E-2</v>
      </c>
      <c r="AL52">
        <v>4.3428331613540649E-2</v>
      </c>
      <c r="AM52">
        <v>4.4200856238603592E-2</v>
      </c>
      <c r="AN52">
        <v>4.2676687240600586E-2</v>
      </c>
    </row>
    <row r="53" spans="2:52" x14ac:dyDescent="0.25">
      <c r="B53" s="2"/>
      <c r="C53" s="2"/>
      <c r="D53" s="41" t="str" cm="1">
        <f t="array" ref="D53">IF(H53="","",IF(AND(E53&lt;AVERAGE(E52,E54)*($L$19/100),$D$23:D52=""),H53,""))</f>
        <v/>
      </c>
      <c r="E53" s="78">
        <f t="shared" si="1"/>
        <v>3.3714110574991477E-2</v>
      </c>
      <c r="F53" s="79"/>
      <c r="H53" s="1">
        <v>31</v>
      </c>
      <c r="I53" s="75">
        <v>4.0335889425008528E-2</v>
      </c>
      <c r="J53" s="75"/>
      <c r="K53">
        <v>3.9025470614433289E-2</v>
      </c>
      <c r="L53">
        <v>4.1506089270114899E-2</v>
      </c>
      <c r="M53">
        <v>4.1483942419290543E-2</v>
      </c>
      <c r="N53">
        <v>3.8914728909730911E-2</v>
      </c>
      <c r="O53">
        <v>3.9667773991823196E-2</v>
      </c>
      <c r="P53">
        <v>3.8737542927265167E-2</v>
      </c>
      <c r="Q53">
        <v>4.1218161582946777E-2</v>
      </c>
      <c r="R53">
        <v>4.1417498141527176E-2</v>
      </c>
      <c r="S53">
        <v>4.1550386697053909E-2</v>
      </c>
      <c r="T53">
        <v>3.9800666272640228E-2</v>
      </c>
      <c r="U53">
        <v>3.8461539894342422E-2</v>
      </c>
      <c r="V53">
        <v>4.0557414293289185E-2</v>
      </c>
      <c r="W53">
        <v>3.9308808743953705E-2</v>
      </c>
      <c r="X53">
        <v>4.0178373456001282E-2</v>
      </c>
      <c r="Y53">
        <v>3.8885172456502914E-2</v>
      </c>
      <c r="Z53">
        <v>4.1850611567497253E-2</v>
      </c>
      <c r="AA53">
        <v>4.0646601468324661E-2</v>
      </c>
      <c r="AB53">
        <v>4.2363435029983521E-2</v>
      </c>
      <c r="AC53">
        <v>3.9509475231170654E-2</v>
      </c>
      <c r="AD53">
        <v>4.2720180004835129E-2</v>
      </c>
      <c r="AE53">
        <v>3.9531771093606949E-2</v>
      </c>
      <c r="AF53">
        <v>3.9063546806573868E-2</v>
      </c>
      <c r="AG53">
        <v>4.0847267955541611E-2</v>
      </c>
      <c r="AH53">
        <v>3.9620958268642426E-2</v>
      </c>
      <c r="AI53">
        <v>4.053511843085289E-2</v>
      </c>
      <c r="AJ53">
        <v>4.0133778005838394E-2</v>
      </c>
      <c r="AK53">
        <v>4.0401339530944824E-2</v>
      </c>
      <c r="AL53">
        <v>3.9821628481149673E-2</v>
      </c>
      <c r="AM53">
        <v>4.4303234666585922E-2</v>
      </c>
      <c r="AN53">
        <v>3.9821628481149673E-2</v>
      </c>
      <c r="AO53">
        <v>3.8528427481651306E-2</v>
      </c>
    </row>
    <row r="54" spans="2:52" x14ac:dyDescent="0.25">
      <c r="B54" s="2"/>
      <c r="C54" s="2"/>
      <c r="D54" s="41" t="str" cm="1">
        <f t="array" ref="D54">IF(H54="","",IF(AND(E54&lt;AVERAGE(E53,E55)*($L$19/100),$D$23:D53=""),H54,""))</f>
        <v/>
      </c>
      <c r="E54" s="78">
        <f t="shared" si="1"/>
        <v>3.398886340875179E-2</v>
      </c>
      <c r="F54" s="79"/>
      <c r="H54" s="1">
        <v>32</v>
      </c>
      <c r="I54" s="75">
        <v>4.0061136591248214E-2</v>
      </c>
      <c r="J54" s="75"/>
      <c r="K54">
        <v>4.2019195854663849E-2</v>
      </c>
      <c r="L54">
        <v>3.9080459624528885E-2</v>
      </c>
      <c r="M54">
        <v>3.9625547826290131E-2</v>
      </c>
      <c r="N54">
        <v>3.9554450660943985E-2</v>
      </c>
      <c r="O54">
        <v>4.291977733373642E-2</v>
      </c>
      <c r="P54">
        <v>3.9246357977390289E-2</v>
      </c>
      <c r="Q54">
        <v>3.8796067237854004E-2</v>
      </c>
      <c r="R54">
        <v>4.1237112134695053E-2</v>
      </c>
      <c r="S54">
        <v>3.8511671125888824E-2</v>
      </c>
      <c r="T54">
        <v>3.8582772016525269E-2</v>
      </c>
      <c r="U54">
        <v>3.9909940212965012E-2</v>
      </c>
      <c r="V54">
        <v>3.8653869181871414E-2</v>
      </c>
      <c r="W54">
        <v>4.0834221988916397E-2</v>
      </c>
      <c r="X54">
        <v>3.8582772016525269E-2</v>
      </c>
      <c r="Y54">
        <v>3.9649248123168945E-2</v>
      </c>
      <c r="Z54">
        <v>4.1331909596920013E-2</v>
      </c>
      <c r="AA54">
        <v>4.000474140048027E-2</v>
      </c>
      <c r="AB54">
        <v>4.0715724229812622E-2</v>
      </c>
      <c r="AC54">
        <v>4.0668327361345291E-2</v>
      </c>
      <c r="AD54">
        <v>4.287237673997879E-2</v>
      </c>
      <c r="AE54">
        <v>3.8037683814764023E-2</v>
      </c>
      <c r="AF54">
        <v>4.0786821395158768E-2</v>
      </c>
      <c r="AG54">
        <v>3.886716440320015E-2</v>
      </c>
      <c r="AH54">
        <v>4.1758503764867783E-2</v>
      </c>
      <c r="AI54">
        <v>3.8582772016525269E-2</v>
      </c>
      <c r="AJ54">
        <v>4.0644627064466476E-2</v>
      </c>
      <c r="AK54">
        <v>4.0123239159584045E-2</v>
      </c>
      <c r="AL54">
        <v>4.0028437972068787E-2</v>
      </c>
      <c r="AM54">
        <v>4.0786821395158768E-2</v>
      </c>
      <c r="AN54">
        <v>3.9720345288515091E-2</v>
      </c>
      <c r="AO54">
        <v>4.0305454283952713E-2</v>
      </c>
      <c r="AP54">
        <v>3.9517957717180252E-2</v>
      </c>
    </row>
    <row r="55" spans="2:52" x14ac:dyDescent="0.25">
      <c r="B55" s="2"/>
      <c r="C55" s="2"/>
      <c r="D55" s="41" t="str" cm="1">
        <f t="array" ref="D55">IF(H55="","",IF(AND(E55&lt;AVERAGE(E54,E56)*($L$19/100),$D$23:D54=""),H55,""))</f>
        <v/>
      </c>
      <c r="E55" s="78">
        <f t="shared" si="1"/>
        <v>2.952212355516174E-2</v>
      </c>
      <c r="F55" s="79"/>
      <c r="H55" s="1">
        <v>33</v>
      </c>
      <c r="I55" s="75">
        <v>4.4527876444838264E-2</v>
      </c>
      <c r="J55" s="75"/>
      <c r="K55">
        <v>4.1976794600486755E-2</v>
      </c>
      <c r="L55">
        <v>4.7565344721078873E-2</v>
      </c>
      <c r="M55">
        <v>4.5234695076942444E-2</v>
      </c>
      <c r="N55">
        <v>4.292910173535347E-2</v>
      </c>
      <c r="O55">
        <v>5.1765479147434235E-2</v>
      </c>
      <c r="P55">
        <v>4.2527951300144196E-2</v>
      </c>
      <c r="Q55">
        <v>4.1796017438173294E-2</v>
      </c>
      <c r="R55">
        <v>4.9973499029874802E-2</v>
      </c>
      <c r="S55">
        <v>4.2578428983688354E-2</v>
      </c>
      <c r="T55">
        <v>4.4168494641780853E-2</v>
      </c>
      <c r="U55">
        <v>4.6616692095994949E-2</v>
      </c>
      <c r="V55">
        <v>4.0534060448408127E-2</v>
      </c>
      <c r="W55">
        <v>4.1922211647033691E-2</v>
      </c>
      <c r="X55">
        <v>4.6212866902351379E-2</v>
      </c>
      <c r="Y55">
        <v>4.1695062071084976E-2</v>
      </c>
      <c r="Z55">
        <v>4.2679388076066971E-2</v>
      </c>
      <c r="AA55">
        <v>4.6692412346601486E-2</v>
      </c>
      <c r="AB55">
        <v>4.1796017438173294E-2</v>
      </c>
      <c r="AC55">
        <v>4.1089322417974472E-2</v>
      </c>
      <c r="AD55">
        <v>4.6717651188373566E-2</v>
      </c>
      <c r="AE55">
        <v>4.2578428983688354E-2</v>
      </c>
      <c r="AF55">
        <v>4.2098887264728546E-2</v>
      </c>
      <c r="AG55">
        <v>4.853486642241478E-2</v>
      </c>
      <c r="AH55">
        <v>3.9776887744665146E-2</v>
      </c>
      <c r="AI55">
        <v>4.3436560779809952E-2</v>
      </c>
      <c r="AJ55">
        <v>4.9822062253952026E-2</v>
      </c>
      <c r="AK55">
        <v>4.5733321458101273E-2</v>
      </c>
      <c r="AL55">
        <v>4.1291233152151108E-2</v>
      </c>
      <c r="AM55">
        <v>5.007445439696312E-2</v>
      </c>
      <c r="AN55">
        <v>4.1997931897640228E-2</v>
      </c>
      <c r="AO55">
        <v>4.3461799621582031E-2</v>
      </c>
      <c r="AP55">
        <v>4.8963934183120728E-2</v>
      </c>
      <c r="AQ55">
        <v>4.5178063213825226E-2</v>
      </c>
    </row>
    <row r="56" spans="2:52" x14ac:dyDescent="0.25">
      <c r="B56" s="2"/>
      <c r="C56" s="2"/>
      <c r="D56" s="41" t="str" cm="1">
        <f t="array" ref="D56">IF(H56="","",IF(AND(E56&lt;AVERAGE(E55,E57)*($L$19/100),$D$23:D55=""),H56,""))</f>
        <v/>
      </c>
      <c r="E56" s="78">
        <f t="shared" si="1"/>
        <v>3.3738196177868288E-2</v>
      </c>
      <c r="F56" s="79"/>
      <c r="H56" s="1">
        <v>34</v>
      </c>
      <c r="I56" s="75">
        <v>4.0311803822131717E-2</v>
      </c>
      <c r="J56" s="75"/>
      <c r="K56">
        <v>3.8474906235933304E-2</v>
      </c>
      <c r="L56">
        <v>4.200422391295433E-2</v>
      </c>
      <c r="M56">
        <v>3.8474906235933304E-2</v>
      </c>
      <c r="N56">
        <v>4.0025666356086731E-2</v>
      </c>
      <c r="O56">
        <v>4.0079142898321152E-2</v>
      </c>
      <c r="P56">
        <v>3.9678081870079041E-2</v>
      </c>
      <c r="Q56">
        <v>3.9758294820785522E-2</v>
      </c>
      <c r="R56">
        <v>4.1095156222581863E-2</v>
      </c>
      <c r="S56">
        <v>3.9223551750183105E-2</v>
      </c>
      <c r="T56">
        <v>4.0266301482915878E-2</v>
      </c>
      <c r="U56">
        <v>4.0533676743507385E-2</v>
      </c>
      <c r="V56">
        <v>3.9464186877012253E-2</v>
      </c>
      <c r="W56">
        <v>4.0506936609745026E-2</v>
      </c>
      <c r="X56">
        <v>3.9678081870079041E-2</v>
      </c>
      <c r="Y56">
        <v>3.9116602391004562E-2</v>
      </c>
      <c r="Z56">
        <v>4.0266301482915878E-2</v>
      </c>
      <c r="AA56">
        <v>4.1121896356344223E-2</v>
      </c>
      <c r="AB56">
        <v>4.3661933392286301E-2</v>
      </c>
      <c r="AC56">
        <v>4.0988210588693619E-2</v>
      </c>
      <c r="AD56">
        <v>3.9517659693956375E-2</v>
      </c>
      <c r="AE56">
        <v>4.034651443362236E-2</v>
      </c>
      <c r="AF56">
        <v>4.0774311870336533E-2</v>
      </c>
      <c r="AG56">
        <v>4.2779605835676193E-2</v>
      </c>
      <c r="AH56">
        <v>3.9143338799476624E-2</v>
      </c>
      <c r="AI56">
        <v>4.1068419814109802E-2</v>
      </c>
      <c r="AJ56">
        <v>3.8581855595111847E-2</v>
      </c>
      <c r="AK56">
        <v>3.7993635982275009E-2</v>
      </c>
      <c r="AL56">
        <v>4.1068419814109802E-2</v>
      </c>
      <c r="AM56">
        <v>3.9215687662363052E-2</v>
      </c>
      <c r="AN56">
        <v>4.0535446256399155E-2</v>
      </c>
      <c r="AO56">
        <v>4.1316527873277664E-2</v>
      </c>
      <c r="AP56">
        <v>4.314802959561348E-2</v>
      </c>
      <c r="AQ56">
        <v>4.0050636976957321E-2</v>
      </c>
      <c r="AR56">
        <v>4.0643181651830673E-2</v>
      </c>
    </row>
    <row r="57" spans="2:52" x14ac:dyDescent="0.25">
      <c r="B57" s="2"/>
      <c r="C57" s="2"/>
      <c r="D57" s="41" t="str" cm="1">
        <f t="array" ref="D57">IF(H57="","",IF(AND(E57&lt;AVERAGE(E56,E58)*($L$19/100),$D$23:D56=""),H57,""))</f>
        <v/>
      </c>
      <c r="E57" s="78">
        <f t="shared" si="1"/>
        <v>2.231743411166328E-2</v>
      </c>
      <c r="F57" s="79"/>
      <c r="H57" s="1">
        <v>35</v>
      </c>
      <c r="I57" s="75">
        <v>5.1732565888336725E-2</v>
      </c>
      <c r="J57" s="75"/>
      <c r="K57">
        <v>4.8318911343812943E-2</v>
      </c>
      <c r="L57">
        <v>6.5995179116725922E-2</v>
      </c>
      <c r="M57">
        <v>4.3552275747060776E-2</v>
      </c>
      <c r="N57">
        <v>4.7666337341070175E-2</v>
      </c>
      <c r="O57">
        <v>4.6049084514379501E-2</v>
      </c>
      <c r="P57">
        <v>5.5866081267595291E-2</v>
      </c>
      <c r="Q57">
        <v>4.8063553869724274E-2</v>
      </c>
      <c r="R57">
        <v>5.0673853605985641E-2</v>
      </c>
      <c r="S57">
        <v>6.1540644615888596E-2</v>
      </c>
      <c r="T57">
        <v>4.8347283154726028E-2</v>
      </c>
      <c r="U57">
        <v>5.0531990826129913E-2</v>
      </c>
      <c r="V57">
        <v>4.460207000374794E-2</v>
      </c>
      <c r="W57">
        <v>5.7313095778226852E-2</v>
      </c>
      <c r="X57">
        <v>4.8772875219583511E-2</v>
      </c>
      <c r="Y57">
        <v>5.1298055797815323E-2</v>
      </c>
      <c r="Z57">
        <v>5.9781529009342194E-2</v>
      </c>
      <c r="AA57">
        <v>5.1723647862672806E-2</v>
      </c>
      <c r="AB57">
        <v>5.2319478243589401E-2</v>
      </c>
      <c r="AC57">
        <v>4.9907788634300232E-2</v>
      </c>
      <c r="AD57">
        <v>4.9397077411413193E-2</v>
      </c>
      <c r="AE57">
        <v>5.2347850054502487E-2</v>
      </c>
      <c r="AF57">
        <v>4.8716131597757339E-2</v>
      </c>
      <c r="AG57">
        <v>5.277344211935997E-2</v>
      </c>
      <c r="AH57">
        <v>4.6162575483322144E-2</v>
      </c>
      <c r="AI57">
        <v>4.9283586442470551E-2</v>
      </c>
      <c r="AJ57">
        <v>4.4829051941633224E-2</v>
      </c>
      <c r="AK57">
        <v>5.7625196874141693E-2</v>
      </c>
      <c r="AL57">
        <v>4.9113348126411438E-2</v>
      </c>
      <c r="AM57">
        <v>5.0305008888244629E-2</v>
      </c>
      <c r="AN57">
        <v>6.1483897268772125E-2</v>
      </c>
      <c r="AO57">
        <v>5.2064120769500732E-2</v>
      </c>
      <c r="AP57">
        <v>5.708611011505127E-2</v>
      </c>
      <c r="AQ57">
        <v>5.1127821207046509E-2</v>
      </c>
      <c r="AR57">
        <v>5.6547027081251144E-2</v>
      </c>
      <c r="AS57">
        <v>4.9453824758529663E-2</v>
      </c>
    </row>
    <row r="58" spans="2:52" x14ac:dyDescent="0.25">
      <c r="B58" s="2"/>
      <c r="C58" s="2"/>
      <c r="D58" s="41" t="str" cm="1">
        <f t="array" ref="D58">IF(H58="","",IF(AND(E58&lt;AVERAGE(E57,E59)*($L$19/100),$D$23:D57=""),H58,""))</f>
        <v/>
      </c>
      <c r="E58" s="78">
        <f t="shared" si="1"/>
        <v>2.9555830960141291E-2</v>
      </c>
      <c r="F58" s="79"/>
      <c r="H58" s="1">
        <v>36</v>
      </c>
      <c r="I58" s="75">
        <v>4.4494169039858714E-2</v>
      </c>
      <c r="J58" s="75"/>
      <c r="K58">
        <v>3.9657596498727798E-2</v>
      </c>
      <c r="L58">
        <v>4.5434139668941498E-2</v>
      </c>
      <c r="M58">
        <v>3.9956901222467422E-2</v>
      </c>
      <c r="N58">
        <v>4.7140162438154221E-2</v>
      </c>
      <c r="O58">
        <v>4.9564514309167862E-2</v>
      </c>
      <c r="P58">
        <v>3.9717458188533783E-2</v>
      </c>
      <c r="Q58">
        <v>4.2291462421417236E-2</v>
      </c>
      <c r="R58">
        <v>4.773876816034317E-2</v>
      </c>
      <c r="S58">
        <v>4.2949926108121872E-2</v>
      </c>
      <c r="T58">
        <v>4.2560834437608719E-2</v>
      </c>
      <c r="U58">
        <v>4.6272184699773788E-2</v>
      </c>
      <c r="V58">
        <v>4.3787974864244461E-2</v>
      </c>
      <c r="W58">
        <v>4.4326718896627426E-2</v>
      </c>
      <c r="X58">
        <v>4.4506300240755081E-2</v>
      </c>
      <c r="Y58">
        <v>4.1632995009422302E-2</v>
      </c>
      <c r="Z58">
        <v>4.2261529713869095E-2</v>
      </c>
      <c r="AA58">
        <v>4.5134834945201874E-2</v>
      </c>
      <c r="AB58">
        <v>4.2710483074188232E-2</v>
      </c>
      <c r="AC58">
        <v>4.3608393520116806E-2</v>
      </c>
      <c r="AD58">
        <v>5.1270540803670883E-2</v>
      </c>
      <c r="AE58">
        <v>4.3877765536308289E-2</v>
      </c>
      <c r="AF58">
        <v>4.2022086679935455E-2</v>
      </c>
      <c r="AG58">
        <v>5.0161372870206833E-2</v>
      </c>
      <c r="AH58">
        <v>4.3525472283363342E-2</v>
      </c>
      <c r="AI58">
        <v>4.0690135210752487E-2</v>
      </c>
      <c r="AJ58">
        <v>4.7205381095409393E-2</v>
      </c>
      <c r="AK58">
        <v>4.3706450611352921E-2</v>
      </c>
      <c r="AL58">
        <v>4.0780622512102127E-2</v>
      </c>
      <c r="AM58">
        <v>5.3599976003170013E-2</v>
      </c>
      <c r="AN58">
        <v>4.4400203973054886E-2</v>
      </c>
      <c r="AO58">
        <v>4.4309716671705246E-2</v>
      </c>
      <c r="AP58">
        <v>4.8442073166370392E-2</v>
      </c>
      <c r="AQ58">
        <v>4.346514493227005E-2</v>
      </c>
      <c r="AR58">
        <v>4.6059180051088333E-2</v>
      </c>
      <c r="AS58">
        <v>4.6602118760347366E-2</v>
      </c>
      <c r="AT58">
        <v>4.0418665856122971E-2</v>
      </c>
    </row>
    <row r="59" spans="2:52" x14ac:dyDescent="0.25">
      <c r="B59" s="2"/>
      <c r="C59" s="2"/>
      <c r="D59" s="41" t="str" cm="1">
        <f t="array" ref="D59">IF(H59="","",IF(AND(E59&lt;AVERAGE(E58,E60)*($L$19/100),$D$23:D58=""),H59,""))</f>
        <v/>
      </c>
      <c r="E59" s="78">
        <f t="shared" si="1"/>
        <v>3.3997077607786336E-2</v>
      </c>
      <c r="F59" s="79"/>
      <c r="H59" s="1">
        <v>37</v>
      </c>
      <c r="I59" s="75">
        <v>4.0052922392213669E-2</v>
      </c>
      <c r="J59" s="75"/>
      <c r="K59">
        <v>3.974577784538269E-2</v>
      </c>
      <c r="L59">
        <v>4.050464928150177E-2</v>
      </c>
      <c r="M59">
        <v>4.0093593299388885E-2</v>
      </c>
      <c r="N59">
        <v>3.9682541042566299E-2</v>
      </c>
      <c r="O59">
        <v>3.873395174741745E-2</v>
      </c>
      <c r="P59">
        <v>3.8639094680547714E-2</v>
      </c>
      <c r="Q59">
        <v>3.84177565574646E-2</v>
      </c>
      <c r="R59">
        <v>3.9714157581329346E-2</v>
      </c>
      <c r="S59">
        <v>4.0314931422472E-2</v>
      </c>
      <c r="T59">
        <v>4.0061973035335541E-2</v>
      </c>
      <c r="U59">
        <v>4.0473029017448425E-2</v>
      </c>
      <c r="V59">
        <v>4.1326757520437241E-2</v>
      </c>
      <c r="W59">
        <v>3.9587680250406265E-2</v>
      </c>
      <c r="X59">
        <v>4.0567886084318161E-2</v>
      </c>
      <c r="Y59">
        <v>3.84177565574646E-2</v>
      </c>
      <c r="Z59">
        <v>4.1832670569419861E-2</v>
      </c>
      <c r="AA59">
        <v>4.0599506348371506E-2</v>
      </c>
      <c r="AB59">
        <v>4.2275343090295792E-2</v>
      </c>
      <c r="AC59">
        <v>3.8354519754648209E-2</v>
      </c>
      <c r="AD59">
        <v>4.0599506348371506E-2</v>
      </c>
      <c r="AE59">
        <v>3.923986479640007E-2</v>
      </c>
      <c r="AF59">
        <v>3.999873623251915E-2</v>
      </c>
      <c r="AG59">
        <v>3.9397962391376495E-2</v>
      </c>
      <c r="AH59">
        <v>4.1019920259714127E-2</v>
      </c>
      <c r="AI59">
        <v>3.9999999105930328E-2</v>
      </c>
      <c r="AJ59">
        <v>3.8406375795602798E-2</v>
      </c>
      <c r="AK59">
        <v>3.955378383398056E-2</v>
      </c>
      <c r="AL59">
        <v>4.0988046675920486E-2</v>
      </c>
      <c r="AM59">
        <v>4.0286853909492493E-2</v>
      </c>
      <c r="AN59">
        <v>3.9107568562030792E-2</v>
      </c>
      <c r="AO59">
        <v>4.0988046675920486E-2</v>
      </c>
      <c r="AP59">
        <v>3.9298806339502335E-2</v>
      </c>
      <c r="AQ59">
        <v>4.0796812623739243E-2</v>
      </c>
      <c r="AR59">
        <v>3.9458166807889938E-2</v>
      </c>
      <c r="AS59">
        <v>4.1243027895689011E-2</v>
      </c>
      <c r="AT59">
        <v>4.0446214377880096E-2</v>
      </c>
      <c r="AU59">
        <v>4.1784860193729401E-2</v>
      </c>
    </row>
    <row r="60" spans="2:52" x14ac:dyDescent="0.25">
      <c r="B60" s="2"/>
      <c r="C60" s="2"/>
      <c r="D60" s="41" t="str" cm="1">
        <f t="array" ref="D60">IF(H60="","",IF(AND(E60&lt;AVERAGE(E59,E61)*($L$19/100),$D$23:D59=""),H60,""))</f>
        <v/>
      </c>
      <c r="E60" s="78">
        <f t="shared" si="1"/>
        <v>3.4056867388361382E-2</v>
      </c>
      <c r="F60" s="79"/>
      <c r="H60" s="1">
        <v>38</v>
      </c>
      <c r="I60" s="75">
        <v>3.9993132611638622E-2</v>
      </c>
      <c r="J60" s="75"/>
      <c r="K60">
        <v>4.0481764823198318E-2</v>
      </c>
      <c r="L60">
        <v>3.9076615124940872E-2</v>
      </c>
      <c r="M60">
        <v>3.9812646806240082E-2</v>
      </c>
      <c r="N60">
        <v>4.0749415755271912E-2</v>
      </c>
      <c r="O60">
        <v>3.9043158292770386E-2</v>
      </c>
      <c r="P60">
        <v>3.7504181265830994E-2</v>
      </c>
      <c r="Q60">
        <v>3.9043158292770386E-2</v>
      </c>
      <c r="R60">
        <v>3.8976244628429413E-2</v>
      </c>
      <c r="S60">
        <v>4.118434339761734E-2</v>
      </c>
      <c r="T60">
        <v>3.8842421025037766E-2</v>
      </c>
      <c r="U60">
        <v>4.295751079916954E-2</v>
      </c>
      <c r="V60">
        <v>3.921043872833252E-2</v>
      </c>
      <c r="W60">
        <v>4.0414854884147644E-2</v>
      </c>
      <c r="X60">
        <v>3.8139846175909042E-2</v>
      </c>
      <c r="Y60">
        <v>4.1451990604400635E-2</v>
      </c>
      <c r="Z60">
        <v>3.9611909538507462E-2</v>
      </c>
      <c r="AA60">
        <v>4.1017062962055206E-2</v>
      </c>
      <c r="AB60">
        <v>4.0682502090930939E-2</v>
      </c>
      <c r="AC60">
        <v>4.1050519794225693E-2</v>
      </c>
      <c r="AD60">
        <v>4.1251253336668015E-2</v>
      </c>
      <c r="AE60">
        <v>4.0916696190834045E-2</v>
      </c>
      <c r="AF60">
        <v>3.8440950214862823E-2</v>
      </c>
      <c r="AG60">
        <v>4.0013384073972702E-2</v>
      </c>
      <c r="AH60">
        <v>3.9143525063991547E-2</v>
      </c>
      <c r="AI60">
        <v>4.0615592151880264E-2</v>
      </c>
      <c r="AJ60">
        <v>3.7638004869222641E-2</v>
      </c>
      <c r="AK60">
        <v>4.0950149297714233E-2</v>
      </c>
      <c r="AL60">
        <v>4.1050519794225693E-2</v>
      </c>
      <c r="AM60">
        <v>3.9478085935115814E-2</v>
      </c>
      <c r="AN60">
        <v>3.9043158292770386E-2</v>
      </c>
      <c r="AO60">
        <v>3.8675140589475632E-2</v>
      </c>
      <c r="AP60">
        <v>4.0582135319709778E-2</v>
      </c>
      <c r="AQ60">
        <v>4.1418533772230148E-2</v>
      </c>
      <c r="AR60">
        <v>3.9578452706336975E-2</v>
      </c>
      <c r="AS60">
        <v>3.9143525063991547E-2</v>
      </c>
      <c r="AT60">
        <v>4.2321845889091492E-2</v>
      </c>
      <c r="AU60">
        <v>3.8440950214862823E-2</v>
      </c>
      <c r="AV60">
        <v>4.1786551475524902E-2</v>
      </c>
    </row>
    <row r="61" spans="2:52" x14ac:dyDescent="0.25">
      <c r="B61" s="2"/>
      <c r="C61" s="2"/>
      <c r="D61" s="41" t="str" cm="1">
        <f t="array" ref="D61">IF(H61="","",IF(AND(E61&lt;AVERAGE(E60,E62)*($L$19/100),$D$23:D60=""),H61,""))</f>
        <v/>
      </c>
      <c r="E61" s="78">
        <f t="shared" si="1"/>
        <v>2.9842221598900286E-2</v>
      </c>
      <c r="F61" s="79"/>
      <c r="H61" s="1">
        <v>39</v>
      </c>
      <c r="I61" s="75">
        <v>4.4207778401099719E-2</v>
      </c>
      <c r="J61" s="75"/>
      <c r="K61">
        <v>4.4970288872718811E-2</v>
      </c>
      <c r="L61">
        <v>5.0103724002838135E-2</v>
      </c>
      <c r="M61">
        <v>4.2333252727985382E-2</v>
      </c>
      <c r="N61">
        <v>3.9625890552997589E-2</v>
      </c>
      <c r="O61">
        <v>4.9400512129068375E-2</v>
      </c>
      <c r="P61">
        <v>4.1172955185174942E-2</v>
      </c>
      <c r="Q61">
        <v>3.9625890552997589E-2</v>
      </c>
      <c r="R61">
        <v>4.7466684132814407E-2</v>
      </c>
      <c r="S61">
        <v>3.9590731263160706E-2</v>
      </c>
      <c r="T61">
        <v>4.300130158662796E-2</v>
      </c>
      <c r="U61">
        <v>4.7572165727615356E-2</v>
      </c>
      <c r="V61">
        <v>4.3423227965831757E-2</v>
      </c>
      <c r="W61">
        <v>3.9028163999319077E-2</v>
      </c>
      <c r="X61">
        <v>4.9752119928598404E-2</v>
      </c>
      <c r="Y61">
        <v>3.9239127188920975E-2</v>
      </c>
      <c r="Z61">
        <v>4.4020954519510269E-2</v>
      </c>
      <c r="AA61">
        <v>4.8873104155063629E-2</v>
      </c>
      <c r="AB61">
        <v>4.300130158662796E-2</v>
      </c>
      <c r="AC61">
        <v>4.345838725566864E-2</v>
      </c>
      <c r="AD61">
        <v>5.01740463078022E-2</v>
      </c>
      <c r="AE61">
        <v>4.6271227300167084E-2</v>
      </c>
      <c r="AF61">
        <v>4.2720016092061996E-2</v>
      </c>
      <c r="AG61">
        <v>4.3634191155433655E-2</v>
      </c>
      <c r="AH61">
        <v>4.2860660701990128E-2</v>
      </c>
      <c r="AI61">
        <v>4.3212264776229858E-2</v>
      </c>
      <c r="AJ61">
        <v>4.9611475318670273E-2</v>
      </c>
      <c r="AK61">
        <v>3.9485249668359756E-2</v>
      </c>
      <c r="AL61">
        <v>4.6341549605131149E-2</v>
      </c>
      <c r="AM61">
        <v>4.6271674335002899E-2</v>
      </c>
      <c r="AN61">
        <v>4.1768606752157211E-2</v>
      </c>
      <c r="AO61">
        <v>4.4179696589708328E-2</v>
      </c>
      <c r="AP61">
        <v>4.7512676566839218E-2</v>
      </c>
      <c r="AQ61">
        <v>4.0279403328895569E-2</v>
      </c>
      <c r="AR61">
        <v>4.3789666146039963E-2</v>
      </c>
      <c r="AS61">
        <v>4.5917101204395294E-2</v>
      </c>
      <c r="AT61">
        <v>4.1555862873792648E-2</v>
      </c>
      <c r="AU61">
        <v>4.1378576308488846E-2</v>
      </c>
      <c r="AV61">
        <v>4.8611849546432495E-2</v>
      </c>
      <c r="AW61">
        <v>4.2867779731750488E-2</v>
      </c>
    </row>
    <row r="62" spans="2:52" x14ac:dyDescent="0.25">
      <c r="B62" s="2"/>
      <c r="C62" s="2"/>
      <c r="D62" s="41" t="str" cm="1">
        <f t="array" ref="D62">IF(H62="","",IF(AND(E62&lt;AVERAGE(E61,E63)*($L$19/100),$D$23:D61=""),H62,""))</f>
        <v/>
      </c>
      <c r="E62" s="78">
        <f t="shared" si="1"/>
        <v>3.3528826168924573E-2</v>
      </c>
      <c r="F62" s="79"/>
      <c r="H62" s="1">
        <v>40</v>
      </c>
      <c r="I62" s="75">
        <v>4.0521173831075431E-2</v>
      </c>
      <c r="J62" s="75"/>
      <c r="K62">
        <v>3.8885600864887238E-2</v>
      </c>
      <c r="L62">
        <v>3.8108628243207932E-2</v>
      </c>
      <c r="M62">
        <v>4.3510433286428452E-2</v>
      </c>
      <c r="N62">
        <v>3.962557390332222E-2</v>
      </c>
      <c r="O62">
        <v>4.1290514171123505E-2</v>
      </c>
      <c r="P62">
        <v>3.899659588932991E-2</v>
      </c>
      <c r="Q62">
        <v>4.0735535323619843E-2</v>
      </c>
      <c r="R62">
        <v>4.1179519146680832E-2</v>
      </c>
      <c r="S62">
        <v>3.8922600448131561E-2</v>
      </c>
      <c r="T62">
        <v>4.1808493435382843E-2</v>
      </c>
      <c r="U62">
        <v>4.0032558143138885E-2</v>
      </c>
      <c r="V62">
        <v>4.0587536990642548E-2</v>
      </c>
      <c r="W62">
        <v>4.2252477258443832E-2</v>
      </c>
      <c r="X62">
        <v>3.981056809425354E-2</v>
      </c>
      <c r="Y62">
        <v>3.8330618292093277E-2</v>
      </c>
      <c r="Z62">
        <v>4.1771497577428818E-2</v>
      </c>
      <c r="AA62">
        <v>4.0217552334070206E-2</v>
      </c>
      <c r="AB62">
        <v>4.1438508778810501E-2</v>
      </c>
      <c r="AC62">
        <v>3.94405797123909E-2</v>
      </c>
      <c r="AD62">
        <v>4.25114706158638E-2</v>
      </c>
      <c r="AE62">
        <v>3.8663607090711594E-2</v>
      </c>
      <c r="AF62">
        <v>3.8700606673955917E-2</v>
      </c>
      <c r="AG62">
        <v>3.9070595055818558E-2</v>
      </c>
      <c r="AH62">
        <v>3.8367617875337601E-2</v>
      </c>
      <c r="AI62">
        <v>4.1327513754367828E-2</v>
      </c>
      <c r="AJ62">
        <v>4.0735535323619843E-2</v>
      </c>
      <c r="AK62">
        <v>4.3288443237543106E-2</v>
      </c>
      <c r="AL62">
        <v>4.1549503803253174E-2</v>
      </c>
      <c r="AM62">
        <v>3.7553649395704269E-2</v>
      </c>
      <c r="AN62">
        <v>4.5878347009420395E-2</v>
      </c>
      <c r="AO62">
        <v>4.037916287779808E-2</v>
      </c>
      <c r="AP62">
        <v>4.3103449046611786E-2</v>
      </c>
      <c r="AQ62">
        <v>3.9446186274290085E-2</v>
      </c>
      <c r="AR62">
        <v>3.8923721760511398E-2</v>
      </c>
      <c r="AS62">
        <v>3.8214657455682755E-2</v>
      </c>
      <c r="AT62">
        <v>4.1200179606676102E-2</v>
      </c>
      <c r="AU62">
        <v>4.138677567243576E-2</v>
      </c>
      <c r="AV62">
        <v>4.2357068508863449E-2</v>
      </c>
      <c r="AW62">
        <v>3.9296910166740417E-2</v>
      </c>
      <c r="AX62">
        <v>4.1946560144424438E-2</v>
      </c>
    </row>
    <row r="63" spans="2:52" x14ac:dyDescent="0.25">
      <c r="B63" s="2"/>
      <c r="C63" s="2"/>
      <c r="D63" s="41" t="str" cm="1">
        <f t="array" ref="D63">IF(H63="","",IF(AND(E63&lt;AVERAGE(E62,E64)*($L$19/100),$D$23:D62=""),H63,""))</f>
        <v/>
      </c>
      <c r="E63" s="78">
        <f t="shared" si="1"/>
        <v>3.3939959725664888E-2</v>
      </c>
      <c r="F63" s="79"/>
      <c r="H63" s="1">
        <v>41</v>
      </c>
      <c r="I63" s="75">
        <v>4.0110040274335117E-2</v>
      </c>
      <c r="J63" s="75"/>
      <c r="K63">
        <v>3.9067935198545456E-2</v>
      </c>
      <c r="L63">
        <v>4.4130150228738785E-2</v>
      </c>
      <c r="M63">
        <v>3.8526933640241623E-2</v>
      </c>
      <c r="N63">
        <v>4.0661182254552841E-2</v>
      </c>
      <c r="O63">
        <v>3.8594987243413925E-2</v>
      </c>
      <c r="P63">
        <v>3.7815291434526443E-2</v>
      </c>
      <c r="Q63">
        <v>4.1830729693174362E-2</v>
      </c>
      <c r="R63">
        <v>4.1440878063440323E-2</v>
      </c>
      <c r="S63">
        <v>3.8283109664916992E-2</v>
      </c>
      <c r="T63">
        <v>4.0193364024162292E-2</v>
      </c>
      <c r="U63">
        <v>4.2298544198274612E-2</v>
      </c>
      <c r="V63">
        <v>4.0973059833049774E-2</v>
      </c>
      <c r="W63">
        <v>4.0622197091579437E-2</v>
      </c>
      <c r="X63">
        <v>3.8594987243413925E-2</v>
      </c>
      <c r="Y63">
        <v>4.0583211928606033E-2</v>
      </c>
      <c r="Z63">
        <v>3.7347473204135895E-2</v>
      </c>
      <c r="AA63">
        <v>3.816615417599678E-2</v>
      </c>
      <c r="AB63">
        <v>4.0193364024162292E-2</v>
      </c>
      <c r="AC63">
        <v>4.1051030158996582E-2</v>
      </c>
      <c r="AD63">
        <v>3.9803516119718552E-2</v>
      </c>
      <c r="AE63">
        <v>3.7893258035182953E-2</v>
      </c>
      <c r="AF63">
        <v>4.2961288243532181E-2</v>
      </c>
      <c r="AG63">
        <v>3.9374683052301407E-2</v>
      </c>
      <c r="AH63">
        <v>4.171377420425415E-2</v>
      </c>
      <c r="AI63">
        <v>4.0076408535242081E-2</v>
      </c>
      <c r="AJ63">
        <v>3.8049198687076569E-2</v>
      </c>
      <c r="AK63">
        <v>3.9998441934585571E-2</v>
      </c>
      <c r="AL63">
        <v>4.1440878063440323E-2</v>
      </c>
      <c r="AM63">
        <v>3.960859403014183E-2</v>
      </c>
      <c r="AN63">
        <v>4.257144033908844E-2</v>
      </c>
      <c r="AO63">
        <v>4.4091846793889999E-2</v>
      </c>
      <c r="AP63">
        <v>4.02713343501091E-2</v>
      </c>
      <c r="AQ63">
        <v>3.9959456771612167E-2</v>
      </c>
      <c r="AR63">
        <v>3.9569608867168427E-2</v>
      </c>
      <c r="AS63">
        <v>4.02713343501091E-2</v>
      </c>
      <c r="AT63">
        <v>4.0154378861188889E-2</v>
      </c>
      <c r="AU63">
        <v>4.1090015321969986E-2</v>
      </c>
      <c r="AV63">
        <v>3.8205139338970184E-2</v>
      </c>
      <c r="AW63">
        <v>3.9257727563381195E-2</v>
      </c>
      <c r="AX63">
        <v>3.8906864821910858E-2</v>
      </c>
      <c r="AY63">
        <v>3.8867879658937454E-2</v>
      </c>
    </row>
    <row r="64" spans="2:52" x14ac:dyDescent="0.25">
      <c r="B64" s="2"/>
      <c r="C64" s="2"/>
      <c r="D64" s="41" t="str" cm="1">
        <f t="array" ref="D64">IF(H64="","",IF(AND(E64&lt;AVERAGE(E63,E65)*($L$19/100),$D$23:D63=""),H64,""))</f>
        <v/>
      </c>
      <c r="E64" s="78">
        <f t="shared" si="1"/>
        <v>2.6946825546877717E-3</v>
      </c>
      <c r="F64" s="79"/>
      <c r="H64" s="1">
        <v>42</v>
      </c>
      <c r="I64" s="75">
        <v>7.6744682554687776E-2</v>
      </c>
      <c r="J64" s="75"/>
      <c r="K64">
        <v>7.4844077229499817E-2</v>
      </c>
      <c r="L64">
        <v>7.9817377030849457E-2</v>
      </c>
      <c r="M64">
        <v>8.3975374698638916E-2</v>
      </c>
      <c r="N64">
        <v>7.0033833384513855E-2</v>
      </c>
      <c r="O64">
        <v>7.9205900430679321E-2</v>
      </c>
      <c r="P64">
        <v>8.2752436399459839E-2</v>
      </c>
      <c r="Q64">
        <v>6.7914068698883057E-2</v>
      </c>
      <c r="R64">
        <v>7.1827486157417297E-2</v>
      </c>
      <c r="S64">
        <v>8.026578277349472E-2</v>
      </c>
      <c r="T64">
        <v>7.4558719992637634E-2</v>
      </c>
      <c r="U64">
        <v>7.9083606600761414E-2</v>
      </c>
      <c r="V64">
        <v>7.4517957866191864E-2</v>
      </c>
      <c r="W64">
        <v>8.0428846180438995E-2</v>
      </c>
      <c r="X64">
        <v>7.370266318321228E-2</v>
      </c>
      <c r="Y64">
        <v>7.6311603188514709E-2</v>
      </c>
      <c r="Z64">
        <v>7.4273370206356049E-2</v>
      </c>
      <c r="AA64">
        <v>7.5659371912479401E-2</v>
      </c>
      <c r="AB64">
        <v>7.826831191778183E-2</v>
      </c>
      <c r="AC64">
        <v>6.3103824853897095E-2</v>
      </c>
      <c r="AD64">
        <v>7.7656842768192291E-2</v>
      </c>
      <c r="AE64">
        <v>8.1570260226726532E-2</v>
      </c>
      <c r="AF64">
        <v>7.1949779987335205E-2</v>
      </c>
      <c r="AG64">
        <v>7.3784194886684418E-2</v>
      </c>
      <c r="AH64">
        <v>7.5781665742397308E-2</v>
      </c>
      <c r="AI64">
        <v>8.1611022353172302E-2</v>
      </c>
      <c r="AJ64">
        <v>6.9463126361370087E-2</v>
      </c>
      <c r="AK64">
        <v>8.1040315330028534E-2</v>
      </c>
      <c r="AL64">
        <v>7.3947250843048096E-2</v>
      </c>
      <c r="AM64">
        <v>7.869189977645874E-2</v>
      </c>
      <c r="AN64">
        <v>7.7005349099636078E-2</v>
      </c>
      <c r="AO64">
        <v>8.4204033017158508E-2</v>
      </c>
      <c r="AP64">
        <v>7.2521597146987915E-2</v>
      </c>
      <c r="AQ64">
        <v>7.6223775744438171E-2</v>
      </c>
      <c r="AR64">
        <v>8.4368571639060974E-2</v>
      </c>
      <c r="AS64">
        <v>7.5894691050052643E-2</v>
      </c>
      <c r="AT64">
        <v>8.4779925644397736E-2</v>
      </c>
      <c r="AU64">
        <v>8.2476347684860229E-2</v>
      </c>
      <c r="AV64">
        <v>8.0830931663513184E-2</v>
      </c>
      <c r="AW64">
        <v>7.9555734992027283E-2</v>
      </c>
      <c r="AX64">
        <v>7.0505961775779724E-2</v>
      </c>
      <c r="AY64">
        <v>8.0378443002700806E-2</v>
      </c>
      <c r="AZ64">
        <v>6.849033385515213E-2</v>
      </c>
    </row>
    <row r="65" spans="2:68" x14ac:dyDescent="0.25">
      <c r="B65" s="2"/>
      <c r="C65" s="2"/>
      <c r="D65" s="41" t="str" cm="1">
        <f t="array" ref="D65">IF(H65="","",IF(AND(E65&lt;AVERAGE(E64,E66)*($L$19/100),$D$23:D64=""),H65,""))</f>
        <v/>
      </c>
      <c r="E65" s="78">
        <f t="shared" si="1"/>
        <v>3.3958438889786259E-2</v>
      </c>
      <c r="F65" s="79"/>
      <c r="H65" s="1">
        <v>43</v>
      </c>
      <c r="I65" s="75">
        <v>4.0091561110213746E-2</v>
      </c>
      <c r="J65" s="75"/>
      <c r="K65">
        <v>3.9170507341623306E-2</v>
      </c>
      <c r="L65">
        <v>3.998122364282608E-2</v>
      </c>
      <c r="M65">
        <v>3.9767879992723465E-2</v>
      </c>
      <c r="N65">
        <v>4.258405789732933E-2</v>
      </c>
      <c r="O65">
        <v>3.7634409964084625E-2</v>
      </c>
      <c r="P65">
        <v>3.8189109414815903E-2</v>
      </c>
      <c r="Q65">
        <v>3.8103770464658737E-2</v>
      </c>
      <c r="R65">
        <v>4.0706604719161987E-2</v>
      </c>
      <c r="S65">
        <v>4.121863842010498E-2</v>
      </c>
      <c r="T65">
        <v>3.9767879992723465E-2</v>
      </c>
      <c r="U65">
        <v>3.8658473640680313E-2</v>
      </c>
      <c r="V65">
        <v>3.8829151540994644E-2</v>
      </c>
      <c r="W65">
        <v>4.2328041046857834E-2</v>
      </c>
      <c r="X65">
        <v>4.4888205826282501E-2</v>
      </c>
      <c r="Y65">
        <v>4.0493257343769073E-2</v>
      </c>
      <c r="Z65">
        <v>3.8103770464658737E-2</v>
      </c>
      <c r="AA65">
        <v>3.6653012037277222E-2</v>
      </c>
      <c r="AB65">
        <v>3.9639871567487717E-2</v>
      </c>
      <c r="AC65">
        <v>3.7677079439163208E-2</v>
      </c>
      <c r="AD65">
        <v>4.1389316320419312E-2</v>
      </c>
      <c r="AE65">
        <v>3.8658473640680313E-2</v>
      </c>
      <c r="AF65">
        <v>4.1389316320419312E-2</v>
      </c>
      <c r="AG65">
        <v>3.9061155170202255E-2</v>
      </c>
      <c r="AH65">
        <v>4.6597760170698166E-2</v>
      </c>
      <c r="AI65">
        <v>4.0740739554166794E-2</v>
      </c>
      <c r="AJ65">
        <v>4.1731264442205429E-2</v>
      </c>
      <c r="AK65">
        <v>3.8285959511995316E-2</v>
      </c>
      <c r="AL65">
        <v>3.8242895156145096E-2</v>
      </c>
      <c r="AM65">
        <v>4.0525410324335098E-2</v>
      </c>
      <c r="AN65">
        <v>4.1688200086355209E-2</v>
      </c>
      <c r="AO65">
        <v>3.8931954652070999E-2</v>
      </c>
      <c r="AP65">
        <v>3.9061155170202255E-2</v>
      </c>
      <c r="AQ65">
        <v>3.9448749274015427E-2</v>
      </c>
      <c r="AR65">
        <v>3.9061155170202255E-2</v>
      </c>
      <c r="AS65">
        <v>4.2118862271308899E-2</v>
      </c>
      <c r="AT65">
        <v>3.8716625422239304E-2</v>
      </c>
      <c r="AU65">
        <v>3.9018087089061737E-2</v>
      </c>
      <c r="AV65">
        <v>3.8931954652070999E-2</v>
      </c>
      <c r="AW65">
        <v>4.1343670338392258E-2</v>
      </c>
      <c r="AX65">
        <v>4.2549524456262589E-2</v>
      </c>
      <c r="AY65">
        <v>4.2291127145290375E-2</v>
      </c>
      <c r="AZ65">
        <v>4.0310077369213104E-2</v>
      </c>
      <c r="BA65">
        <v>3.9448749274015427E-2</v>
      </c>
    </row>
    <row r="66" spans="2:68" x14ac:dyDescent="0.25">
      <c r="B66" s="2"/>
      <c r="C66" s="2"/>
      <c r="D66" s="41" t="str" cm="1">
        <f t="array" ref="D66">IF(H66="","",IF(AND(E66&lt;AVERAGE(E65,E67)*($L$19/100),$D$23:D65=""),H66,""))</f>
        <v/>
      </c>
      <c r="E66" s="78">
        <f t="shared" si="1"/>
        <v>3.3719777192175393E-2</v>
      </c>
      <c r="F66" s="79"/>
      <c r="H66" s="1">
        <v>44</v>
      </c>
      <c r="I66" s="75">
        <v>4.0330222807824612E-2</v>
      </c>
      <c r="J66" s="75"/>
      <c r="K66">
        <v>3.9524279534816742E-2</v>
      </c>
      <c r="L66">
        <v>3.6305107176303864E-2</v>
      </c>
      <c r="M66">
        <v>4.399535059928894E-2</v>
      </c>
      <c r="N66">
        <v>4.1849236935377121E-2</v>
      </c>
      <c r="O66">
        <v>3.8138244301080704E-2</v>
      </c>
      <c r="P66">
        <v>4.1133865714073181E-2</v>
      </c>
      <c r="Q66">
        <v>4.2251631617546082E-2</v>
      </c>
      <c r="R66">
        <v>3.9479568600654602E-2</v>
      </c>
      <c r="S66">
        <v>4.3592952191829681E-2</v>
      </c>
      <c r="T66">
        <v>4.1178572922945023E-2</v>
      </c>
      <c r="U66">
        <v>4.0686756372451782E-2</v>
      </c>
      <c r="V66">
        <v>4.0865600109100342E-2</v>
      </c>
      <c r="W66">
        <v>4.2475186288356781E-2</v>
      </c>
      <c r="X66">
        <v>4.3771795928478241E-2</v>
      </c>
      <c r="Y66">
        <v>3.7109900265932083E-2</v>
      </c>
      <c r="Z66">
        <v>4.41741943359375E-2</v>
      </c>
      <c r="AA66">
        <v>3.7109900265932083E-2</v>
      </c>
      <c r="AB66">
        <v>3.8272377103567123E-2</v>
      </c>
      <c r="AC66">
        <v>3.7646427750587463E-2</v>
      </c>
      <c r="AD66">
        <v>4.0194939821958542E-2</v>
      </c>
      <c r="AE66">
        <v>4.1044443845748901E-2</v>
      </c>
      <c r="AF66">
        <v>4.2117498815059662E-2</v>
      </c>
      <c r="AG66">
        <v>3.7557005882263184E-2</v>
      </c>
      <c r="AH66">
        <v>3.7780560553073883E-2</v>
      </c>
      <c r="AI66">
        <v>4.0820889174938202E-2</v>
      </c>
      <c r="AJ66">
        <v>3.9703119546175003E-2</v>
      </c>
      <c r="AK66">
        <v>4.2157527059316635E-2</v>
      </c>
      <c r="AL66">
        <v>4.1029114276170731E-2</v>
      </c>
      <c r="AM66">
        <v>3.8230646401643753E-2</v>
      </c>
      <c r="AN66">
        <v>3.949446976184845E-2</v>
      </c>
      <c r="AO66">
        <v>4.0352065116167068E-2</v>
      </c>
      <c r="AP66">
        <v>4.436921700835228E-2</v>
      </c>
      <c r="AQ66">
        <v>3.949446976184845E-2</v>
      </c>
      <c r="AR66">
        <v>3.6831416189670563E-2</v>
      </c>
      <c r="AS66">
        <v>4.1074249893426895E-2</v>
      </c>
      <c r="AT66">
        <v>3.9539609104394913E-2</v>
      </c>
      <c r="AU66">
        <v>3.9765290915966034E-2</v>
      </c>
      <c r="AV66">
        <v>4.0216654539108276E-2</v>
      </c>
      <c r="AW66">
        <v>4.2428344488143921E-2</v>
      </c>
      <c r="AX66">
        <v>3.9178516715764999E-2</v>
      </c>
      <c r="AY66">
        <v>3.9359062910079956E-2</v>
      </c>
      <c r="AZ66">
        <v>4.1615888476371765E-2</v>
      </c>
      <c r="BA66">
        <v>4.2969983071088791E-2</v>
      </c>
      <c r="BB66">
        <v>3.7643872201442719E-2</v>
      </c>
    </row>
    <row r="67" spans="2:68" x14ac:dyDescent="0.25">
      <c r="B67" s="2"/>
      <c r="C67" s="2"/>
      <c r="D67" s="41" t="str" cm="1">
        <f t="array" ref="D67">IF(H67="","",IF(AND(E67&lt;AVERAGE(E66,E68)*($L$19/100),$D$23:D66=""),H67,""))</f>
        <v/>
      </c>
      <c r="E67" s="78">
        <f t="shared" si="1"/>
        <v>2.9661858516931539E-2</v>
      </c>
      <c r="F67" s="79"/>
      <c r="H67" s="1">
        <v>45</v>
      </c>
      <c r="I67" s="75">
        <v>4.4388141483068466E-2</v>
      </c>
      <c r="J67" s="75"/>
      <c r="K67">
        <v>3.8834951817989349E-2</v>
      </c>
      <c r="L67">
        <v>5.1826838403940201E-2</v>
      </c>
      <c r="M67">
        <v>4.4791519641876221E-2</v>
      </c>
      <c r="N67">
        <v>4.5354343950748444E-2</v>
      </c>
      <c r="O67">
        <v>5.1920641213655472E-2</v>
      </c>
      <c r="P67">
        <v>4.0101308375597E-2</v>
      </c>
      <c r="Q67">
        <v>4.3196849524974823E-2</v>
      </c>
      <c r="R67">
        <v>4.5166738331317902E-2</v>
      </c>
      <c r="S67">
        <v>4.1133154183626175E-2</v>
      </c>
      <c r="T67">
        <v>4.0007505565881729E-2</v>
      </c>
      <c r="U67">
        <v>5.1779936999082565E-2</v>
      </c>
      <c r="V67">
        <v>4.118005558848381E-2</v>
      </c>
      <c r="W67">
        <v>4.3009240180253983E-2</v>
      </c>
      <c r="X67">
        <v>4.3384455144405365E-2</v>
      </c>
      <c r="Y67">
        <v>4.3196849524974823E-2</v>
      </c>
      <c r="Z67">
        <v>4.1226960718631744E-2</v>
      </c>
      <c r="AA67">
        <v>4.9294121563434601E-2</v>
      </c>
      <c r="AB67">
        <v>4.2962338775396347E-2</v>
      </c>
      <c r="AC67">
        <v>4.2258806526660919E-2</v>
      </c>
      <c r="AD67">
        <v>4.6714507043361664E-2</v>
      </c>
      <c r="AE67">
        <v>4.5119833201169968E-2</v>
      </c>
      <c r="AF67">
        <v>4.3853476643562317E-2</v>
      </c>
      <c r="AG67">
        <v>4.8731297254562378E-2</v>
      </c>
      <c r="AH67">
        <v>3.9116363972425461E-2</v>
      </c>
      <c r="AI67">
        <v>4.2118098586797714E-2</v>
      </c>
      <c r="AJ67">
        <v>4.6573799103498459E-2</v>
      </c>
      <c r="AK67">
        <v>4.2024295777082443E-2</v>
      </c>
      <c r="AL67">
        <v>4.2587120085954666E-2</v>
      </c>
      <c r="AM67">
        <v>4.8402983695268631E-2</v>
      </c>
      <c r="AN67">
        <v>4.0898643434047699E-2</v>
      </c>
      <c r="AO67">
        <v>4.7652550041675568E-2</v>
      </c>
      <c r="AP67">
        <v>4.5682661235332489E-2</v>
      </c>
      <c r="AQ67">
        <v>4.4791519641876221E-2</v>
      </c>
      <c r="AR67">
        <v>4.235260933637619E-2</v>
      </c>
      <c r="AS67">
        <v>4.6573799103498459E-2</v>
      </c>
      <c r="AT67">
        <v>4.2258806526660919E-2</v>
      </c>
      <c r="AU67">
        <v>3.8975656032562256E-2</v>
      </c>
      <c r="AV67">
        <v>4.920031875371933E-2</v>
      </c>
      <c r="AW67">
        <v>4.3431360274553299E-2</v>
      </c>
      <c r="AX67">
        <v>4.6573799103498459E-2</v>
      </c>
      <c r="AY67">
        <v>4.7549135982990265E-2</v>
      </c>
      <c r="AZ67">
        <v>4.480227455496788E-2</v>
      </c>
      <c r="BA67">
        <v>4.1534453630447388E-2</v>
      </c>
      <c r="BB67">
        <v>4.4944353401660919E-2</v>
      </c>
      <c r="BC67">
        <v>4.4376034289598465E-2</v>
      </c>
    </row>
    <row r="68" spans="2:68" x14ac:dyDescent="0.25">
      <c r="B68" s="2"/>
      <c r="C68" s="2"/>
      <c r="D68" s="41" t="str" cm="1">
        <f t="array" ref="D68">IF(H68="","",IF(AND(E68&lt;AVERAGE(E67,E69)*($L$19/100),$D$23:D67=""),H68,""))</f>
        <v/>
      </c>
      <c r="E68" s="78">
        <f t="shared" si="1"/>
        <v>3.3963011397356579E-2</v>
      </c>
      <c r="F68" s="79"/>
      <c r="H68" s="1">
        <v>46</v>
      </c>
      <c r="I68" s="75">
        <v>4.0086988602643425E-2</v>
      </c>
      <c r="J68" s="75"/>
      <c r="K68">
        <v>3.916500136256218E-2</v>
      </c>
      <c r="L68">
        <v>4.0238015353679657E-2</v>
      </c>
      <c r="M68">
        <v>3.7994440644979477E-2</v>
      </c>
      <c r="N68">
        <v>3.9506413042545319E-2</v>
      </c>
      <c r="O68">
        <v>4.1457347571849823E-2</v>
      </c>
      <c r="P68">
        <v>4.3310735374689102E-2</v>
      </c>
      <c r="Q68">
        <v>4.1896309703588486E-2</v>
      </c>
      <c r="R68">
        <v>3.9116226136684418E-2</v>
      </c>
      <c r="S68">
        <v>3.8969907909631729E-2</v>
      </c>
      <c r="T68">
        <v>3.9213772863149643E-2</v>
      </c>
      <c r="U68">
        <v>3.8140758872032166E-2</v>
      </c>
      <c r="V68">
        <v>3.6287371069192886E-2</v>
      </c>
      <c r="W68">
        <v>4.009169340133667E-2</v>
      </c>
      <c r="X68">
        <v>4.3896015733480453E-2</v>
      </c>
      <c r="Y68">
        <v>3.7799347192049026E-2</v>
      </c>
      <c r="Z68">
        <v>4.0823295712471008E-2</v>
      </c>
      <c r="AA68">
        <v>4.0335562080144882E-2</v>
      </c>
      <c r="AB68">
        <v>3.9213772863149643E-2</v>
      </c>
      <c r="AC68">
        <v>3.9702478796243668E-2</v>
      </c>
      <c r="AD68">
        <v>3.9111372083425522E-2</v>
      </c>
      <c r="AE68">
        <v>4.2460963129997253E-2</v>
      </c>
      <c r="AF68">
        <v>3.9406925439834595E-2</v>
      </c>
      <c r="AG68">
        <v>3.8323234766721725E-2</v>
      </c>
      <c r="AH68">
        <v>3.9357665926218033E-2</v>
      </c>
      <c r="AI68">
        <v>3.9653219282627106E-2</v>
      </c>
      <c r="AJ68">
        <v>4.502241313457489E-2</v>
      </c>
      <c r="AK68">
        <v>4.191911593079567E-2</v>
      </c>
      <c r="AL68">
        <v>4.1032463312149048E-2</v>
      </c>
      <c r="AM68">
        <v>4.5761290937662125E-2</v>
      </c>
      <c r="AN68">
        <v>4.2116150259971619E-2</v>
      </c>
      <c r="AO68">
        <v>3.9456184953451157E-2</v>
      </c>
      <c r="AP68">
        <v>3.9948772639036179E-2</v>
      </c>
      <c r="AQ68">
        <v>3.9505444467067719E-2</v>
      </c>
      <c r="AR68">
        <v>3.9357665926218033E-2</v>
      </c>
      <c r="AS68">
        <v>4.2313188314437866E-2</v>
      </c>
      <c r="AT68">
        <v>4.0441356599330902E-2</v>
      </c>
      <c r="AU68">
        <v>3.9259150624275208E-2</v>
      </c>
      <c r="AV68">
        <v>3.9357665926218033E-2</v>
      </c>
      <c r="AW68">
        <v>3.9111372083425522E-2</v>
      </c>
      <c r="AX68">
        <v>3.9406925439834595E-2</v>
      </c>
      <c r="AY68">
        <v>3.9505444467067719E-2</v>
      </c>
      <c r="AZ68">
        <v>3.9308410137891769E-2</v>
      </c>
      <c r="BA68">
        <v>3.8766562938690186E-2</v>
      </c>
      <c r="BB68">
        <v>3.8421753793954849E-2</v>
      </c>
      <c r="BC68">
        <v>3.9111372083425522E-2</v>
      </c>
      <c r="BD68">
        <v>3.9406925439834595E-2</v>
      </c>
    </row>
    <row r="69" spans="2:68" x14ac:dyDescent="0.25">
      <c r="B69" s="2"/>
      <c r="C69" s="2"/>
      <c r="D69" s="41" t="str" cm="1">
        <f t="array" ref="D69">IF(H69="","",IF(AND(E69&lt;AVERAGE(E68,E70)*($L$19/100),$D$23:D68=""),H69,""))</f>
        <v/>
      </c>
      <c r="E69" s="78">
        <f t="shared" si="1"/>
        <v>3.4175377679124798E-2</v>
      </c>
      <c r="F69" s="79"/>
      <c r="H69" s="1">
        <v>47</v>
      </c>
      <c r="I69" s="75">
        <v>3.9874622320875207E-2</v>
      </c>
      <c r="J69" s="75"/>
      <c r="K69">
        <v>3.9135068655014038E-2</v>
      </c>
      <c r="L69">
        <v>4.0302522480487823E-2</v>
      </c>
      <c r="M69">
        <v>3.8779757916927338E-2</v>
      </c>
      <c r="N69">
        <v>3.9794933050870895E-2</v>
      </c>
      <c r="O69">
        <v>4.1685894131660461E-2</v>
      </c>
      <c r="P69">
        <v>3.7789057940244675E-2</v>
      </c>
      <c r="Q69">
        <v>4.030149057507515E-2</v>
      </c>
      <c r="R69">
        <v>3.9737477898597717E-2</v>
      </c>
      <c r="S69">
        <v>3.9891298860311508E-2</v>
      </c>
      <c r="T69">
        <v>4.3583039194345474E-2</v>
      </c>
      <c r="U69">
        <v>4.1378248482942581E-2</v>
      </c>
      <c r="V69">
        <v>3.7173766642808914E-2</v>
      </c>
      <c r="W69">
        <v>4.086550697684288E-2</v>
      </c>
      <c r="X69">
        <v>3.8147978484630585E-2</v>
      </c>
      <c r="Y69">
        <v>3.8814540952444077E-2</v>
      </c>
      <c r="Z69">
        <v>3.7583962082862854E-2</v>
      </c>
      <c r="AA69">
        <v>4.101933166384697E-2</v>
      </c>
      <c r="AB69">
        <v>3.9327282458543777E-2</v>
      </c>
      <c r="AC69">
        <v>4.0762960910797119E-2</v>
      </c>
      <c r="AD69">
        <v>4.081423208117485E-2</v>
      </c>
      <c r="AE69">
        <v>3.9686203002929688E-2</v>
      </c>
      <c r="AF69">
        <v>3.9840023964643478E-2</v>
      </c>
      <c r="AG69">
        <v>3.7430137395858765E-2</v>
      </c>
      <c r="AH69">
        <v>4.3019022792577744E-2</v>
      </c>
      <c r="AI69">
        <v>4.0711686015129089E-2</v>
      </c>
      <c r="AJ69">
        <v>4.127570241689682E-2</v>
      </c>
      <c r="AK69">
        <v>3.8865815848112106E-2</v>
      </c>
      <c r="AL69">
        <v>4.3583039194345474E-2</v>
      </c>
      <c r="AM69">
        <v>3.8968365639448166E-2</v>
      </c>
      <c r="AN69">
        <v>3.9224736392498016E-2</v>
      </c>
      <c r="AO69">
        <v>3.8609445095062256E-2</v>
      </c>
      <c r="AP69">
        <v>3.7481412291526794E-2</v>
      </c>
      <c r="AQ69">
        <v>4.0250219404697418E-2</v>
      </c>
      <c r="AR69">
        <v>3.8558170199394226E-2</v>
      </c>
      <c r="AS69">
        <v>3.9276007562875748E-2</v>
      </c>
      <c r="AT69">
        <v>4.0557861328125E-2</v>
      </c>
      <c r="AU69">
        <v>3.8865815848112106E-2</v>
      </c>
      <c r="AV69">
        <v>3.9788749068975449E-2</v>
      </c>
      <c r="AW69">
        <v>4.3634314090013504E-2</v>
      </c>
      <c r="AX69">
        <v>3.8558170199394226E-2</v>
      </c>
      <c r="AY69">
        <v>3.8711994886398315E-2</v>
      </c>
      <c r="AZ69">
        <v>4.0250219404697418E-2</v>
      </c>
      <c r="BA69">
        <v>3.9993848651647568E-2</v>
      </c>
      <c r="BB69">
        <v>4.0404040366411209E-2</v>
      </c>
      <c r="BC69">
        <v>4.1993539780378342E-2</v>
      </c>
      <c r="BD69">
        <v>3.9993848651647568E-2</v>
      </c>
      <c r="BE69">
        <v>3.7686508148908615E-2</v>
      </c>
    </row>
    <row r="70" spans="2:68" x14ac:dyDescent="0.25">
      <c r="B70" s="2"/>
      <c r="C70" s="2"/>
      <c r="D70" s="41" t="str" cm="1">
        <f t="array" ref="D70">IF(H70="","",IF(AND(E70&lt;AVERAGE(E69,E71)*($L$19/100),$D$23:D69=""),H70,""))</f>
        <v/>
      </c>
      <c r="E70" s="78">
        <f t="shared" si="1"/>
        <v>2.9686279967923966E-2</v>
      </c>
      <c r="F70" s="79"/>
      <c r="H70" s="1">
        <v>48</v>
      </c>
      <c r="I70" s="75">
        <v>4.4363720032076039E-2</v>
      </c>
      <c r="J70" s="75"/>
      <c r="K70">
        <v>3.8619730621576309E-2</v>
      </c>
      <c r="L70">
        <v>4.380108043551445E-2</v>
      </c>
      <c r="M70">
        <v>4.2252015322446823E-2</v>
      </c>
      <c r="N70">
        <v>4.481598362326622E-2</v>
      </c>
      <c r="O70">
        <v>5.1012232899665833E-2</v>
      </c>
      <c r="P70">
        <v>3.9153892546892166E-2</v>
      </c>
      <c r="Q70">
        <v>4.2465679347515106E-2</v>
      </c>
      <c r="R70">
        <v>4.9356337636709213E-2</v>
      </c>
      <c r="S70">
        <v>4.3907910585403442E-2</v>
      </c>
      <c r="T70">
        <v>4.1824687272310257E-2</v>
      </c>
      <c r="U70">
        <v>4.7433365136384964E-2</v>
      </c>
      <c r="V70">
        <v>4.2893007397651672E-2</v>
      </c>
      <c r="W70">
        <v>4.278617724776268E-2</v>
      </c>
      <c r="X70">
        <v>4.5991133898496628E-2</v>
      </c>
      <c r="Y70">
        <v>3.8779981434345245E-2</v>
      </c>
      <c r="Z70">
        <v>4.5510388910770416E-2</v>
      </c>
      <c r="AA70">
        <v>4.7326531261205673E-2</v>
      </c>
      <c r="AB70">
        <v>4.3427165597677231E-2</v>
      </c>
      <c r="AC70">
        <v>4.3961327522993088E-2</v>
      </c>
      <c r="AD70">
        <v>5.0638321787118912E-2</v>
      </c>
      <c r="AE70">
        <v>4.0863201022148132E-2</v>
      </c>
      <c r="AF70">
        <v>4.3266918510198593E-2</v>
      </c>
      <c r="AG70">
        <v>4.5884300023317337E-2</v>
      </c>
      <c r="AH70">
        <v>4.4014744460582733E-2</v>
      </c>
      <c r="AI70">
        <v>4.3373752385377884E-2</v>
      </c>
      <c r="AJ70">
        <v>4.5029647648334503E-2</v>
      </c>
      <c r="AK70">
        <v>4.3427165597677231E-2</v>
      </c>
      <c r="AL70">
        <v>4.0382459759712219E-2</v>
      </c>
      <c r="AM70">
        <v>4.8074353486299515E-2</v>
      </c>
      <c r="AN70">
        <v>4.0863201022148132E-2</v>
      </c>
      <c r="AO70">
        <v>4.5937716960906982E-2</v>
      </c>
      <c r="AP70">
        <v>4.7967523336410522E-2</v>
      </c>
      <c r="AQ70">
        <v>4.3907910585403442E-2</v>
      </c>
      <c r="AR70">
        <v>4.406815767288208E-2</v>
      </c>
      <c r="AS70">
        <v>4.6525292098522186E-2</v>
      </c>
      <c r="AT70">
        <v>4.0115378797054291E-2</v>
      </c>
      <c r="AU70">
        <v>4.2358849197626114E-2</v>
      </c>
      <c r="AV70">
        <v>4.6311628073453903E-2</v>
      </c>
      <c r="AW70">
        <v>3.9688050746917725E-2</v>
      </c>
      <c r="AX70">
        <v>4.5777469873428345E-2</v>
      </c>
      <c r="AY70">
        <v>5.1546391099691391E-2</v>
      </c>
      <c r="AZ70">
        <v>4.4174991548061371E-2</v>
      </c>
      <c r="BA70">
        <v>3.9634633809328079E-2</v>
      </c>
      <c r="BB70">
        <v>5.2240800112485886E-2</v>
      </c>
      <c r="BC70">
        <v>4.5884300023317337E-2</v>
      </c>
      <c r="BD70">
        <v>4.102344810962677E-2</v>
      </c>
      <c r="BE70">
        <v>5.1057856529951096E-2</v>
      </c>
      <c r="BF70">
        <v>4.0101468563079834E-2</v>
      </c>
    </row>
    <row r="71" spans="2:68" x14ac:dyDescent="0.25">
      <c r="B71" s="2"/>
      <c r="C71" s="2"/>
      <c r="D71" s="41" t="str" cm="1">
        <f t="array" ref="D71">IF(H71="","",IF(AND(E71&lt;AVERAGE(E70,E72)*($L$19/100),$D$23:D70=""),H71,""))</f>
        <v/>
      </c>
      <c r="E71" s="78">
        <f t="shared" si="1"/>
        <v>2.287103184960327E-2</v>
      </c>
      <c r="F71" s="79"/>
      <c r="H71" s="1">
        <v>49</v>
      </c>
      <c r="I71" s="75">
        <v>5.1178968150396735E-2</v>
      </c>
      <c r="J71" s="75"/>
      <c r="K71">
        <v>4.9456976354122162E-2</v>
      </c>
      <c r="L71">
        <v>5.8256752789020538E-2</v>
      </c>
      <c r="M71">
        <v>5.2798662334680557E-2</v>
      </c>
      <c r="N71">
        <v>5.4970759898424149E-2</v>
      </c>
      <c r="O71">
        <v>4.5224171131849289E-2</v>
      </c>
      <c r="P71">
        <v>5.8925092220306396E-2</v>
      </c>
      <c r="Q71">
        <v>4.6672236174345016E-2</v>
      </c>
      <c r="R71">
        <v>5.0069618970155716E-2</v>
      </c>
      <c r="S71">
        <v>6.1876915395259857E-2</v>
      </c>
      <c r="T71">
        <v>5.4413814097642899E-2</v>
      </c>
      <c r="U71">
        <v>5.3299915045499802E-2</v>
      </c>
      <c r="V71">
        <v>4.7006405889987946E-2</v>
      </c>
      <c r="W71">
        <v>5.3355611860752106E-2</v>
      </c>
      <c r="X71">
        <v>4.9902535974979401E-2</v>
      </c>
      <c r="Y71">
        <v>5.1294904202222824E-2</v>
      </c>
      <c r="Z71">
        <v>5.9426344931125641E-2</v>
      </c>
      <c r="AA71">
        <v>5.057087168097496E-2</v>
      </c>
      <c r="AB71">
        <v>4.9958229064941406E-2</v>
      </c>
      <c r="AC71">
        <v>5.0459481775760651E-2</v>
      </c>
      <c r="AD71">
        <v>5.4915066808462143E-2</v>
      </c>
      <c r="AE71">
        <v>4.9067113548517227E-2</v>
      </c>
      <c r="AF71">
        <v>5.0626564770936966E-2</v>
      </c>
      <c r="AG71">
        <v>5.5249232798814774E-2</v>
      </c>
      <c r="AH71">
        <v>4.171539843082428E-2</v>
      </c>
      <c r="AI71">
        <v>5.6474518030881882E-2</v>
      </c>
      <c r="AJ71">
        <v>4.4388748705387115E-2</v>
      </c>
      <c r="AK71">
        <v>4.5614033937454224E-2</v>
      </c>
      <c r="AL71">
        <v>5.1629073917865753E-2</v>
      </c>
      <c r="AM71">
        <v>4.8287384212017059E-2</v>
      </c>
      <c r="AN71">
        <v>6.0540240257978439E-2</v>
      </c>
      <c r="AO71">
        <v>4.3776106089353561E-2</v>
      </c>
      <c r="AP71">
        <v>4.7117795795202255E-2</v>
      </c>
      <c r="AQ71">
        <v>4.4667225331068039E-2</v>
      </c>
      <c r="AR71">
        <v>5.1629073917865753E-2</v>
      </c>
      <c r="AS71">
        <v>4.7451961785554886E-2</v>
      </c>
      <c r="AT71">
        <v>4.4667225331068039E-2</v>
      </c>
      <c r="AU71">
        <v>6.1264272779226303E-2</v>
      </c>
      <c r="AV71">
        <v>4.8454470932483673E-2</v>
      </c>
      <c r="AW71">
        <v>5.396825447678566E-2</v>
      </c>
      <c r="AX71">
        <v>4.4277358800172806E-2</v>
      </c>
      <c r="AY71">
        <v>6.0373153537511826E-2</v>
      </c>
      <c r="AZ71">
        <v>4.76190485060215E-2</v>
      </c>
      <c r="BA71">
        <v>5.1016431301832199E-2</v>
      </c>
      <c r="BB71">
        <v>6.3492067158222198E-2</v>
      </c>
      <c r="BC71">
        <v>4.3497633188962936E-2</v>
      </c>
      <c r="BD71">
        <v>4.7786131501197815E-2</v>
      </c>
      <c r="BE71">
        <v>4.750765860080719E-2</v>
      </c>
      <c r="BF71">
        <v>5.3077138960361481E-2</v>
      </c>
      <c r="BG71">
        <v>4.9679756164550781E-2</v>
      </c>
    </row>
    <row r="72" spans="2:68" x14ac:dyDescent="0.25">
      <c r="B72" s="2"/>
      <c r="C72" s="2"/>
      <c r="D72" s="41" t="str" cm="1">
        <f t="array" ref="D72">IF(H72="","",IF(AND(E72&lt;AVERAGE(E71,E73)*($L$19/100),$D$23:D71=""),H72,""))</f>
        <v/>
      </c>
      <c r="E72" s="78">
        <f t="shared" si="1"/>
        <v>3.3760282012820247E-2</v>
      </c>
      <c r="F72" s="79"/>
      <c r="H72" s="1">
        <v>50</v>
      </c>
      <c r="I72" s="75">
        <v>4.0289717987179757E-2</v>
      </c>
      <c r="J72" s="75"/>
      <c r="K72">
        <v>4.0998216718435287E-2</v>
      </c>
      <c r="L72">
        <v>3.9100684225559235E-2</v>
      </c>
      <c r="M72">
        <v>4.2723245918750763E-2</v>
      </c>
      <c r="N72">
        <v>3.7318151444196701E-2</v>
      </c>
      <c r="O72">
        <v>4.0595710277557373E-2</v>
      </c>
      <c r="P72">
        <v>3.9675693958997726E-2</v>
      </c>
      <c r="Q72">
        <v>4.0883217006921768E-2</v>
      </c>
      <c r="R72">
        <v>4.1400723159313202E-2</v>
      </c>
      <c r="S72">
        <v>3.7950664758682251E-2</v>
      </c>
      <c r="T72">
        <v>4.1343223303556442E-2</v>
      </c>
      <c r="U72">
        <v>3.7663470953702927E-2</v>
      </c>
      <c r="V72">
        <v>4.0104620158672333E-2</v>
      </c>
      <c r="W72">
        <v>4.1441440582275391E-2</v>
      </c>
      <c r="X72">
        <v>3.8767799735069275E-2</v>
      </c>
      <c r="Y72">
        <v>4.1383318603038788E-2</v>
      </c>
      <c r="Z72">
        <v>4.2197037488222122E-2</v>
      </c>
      <c r="AA72">
        <v>4.0860213339328766E-2</v>
      </c>
      <c r="AB72">
        <v>3.9872128516435623E-2</v>
      </c>
      <c r="AC72">
        <v>3.981400653719902E-2</v>
      </c>
      <c r="AD72">
        <v>3.981400653719902E-2</v>
      </c>
      <c r="AE72">
        <v>3.8825921714305878E-2</v>
      </c>
      <c r="AF72">
        <v>3.9290904998779297E-2</v>
      </c>
      <c r="AG72">
        <v>4.1615810245275497E-2</v>
      </c>
      <c r="AH72">
        <v>3.9407148957252502E-2</v>
      </c>
      <c r="AI72">
        <v>3.9930254220962524E-2</v>
      </c>
      <c r="AJ72">
        <v>3.8709677755832672E-2</v>
      </c>
      <c r="AK72">
        <v>4.0511477738618851E-2</v>
      </c>
      <c r="AL72">
        <v>3.9058413356542587E-2</v>
      </c>
      <c r="AM72">
        <v>3.7605348974466324E-2</v>
      </c>
      <c r="AN72">
        <v>4.074396938085556E-2</v>
      </c>
      <c r="AO72">
        <v>3.981400653719902E-2</v>
      </c>
      <c r="AP72">
        <v>3.981400653719902E-2</v>
      </c>
      <c r="AQ72">
        <v>3.7779714912176132E-2</v>
      </c>
      <c r="AR72">
        <v>4.1441440582275391E-2</v>
      </c>
      <c r="AS72">
        <v>4.1557688266038895E-2</v>
      </c>
      <c r="AT72">
        <v>3.888404369354248E-2</v>
      </c>
      <c r="AU72">
        <v>4.3185122311115265E-2</v>
      </c>
      <c r="AV72">
        <v>4.097646102309227E-2</v>
      </c>
      <c r="AW72">
        <v>4.0104620158672333E-2</v>
      </c>
      <c r="AX72">
        <v>4.423132911324501E-2</v>
      </c>
      <c r="AY72">
        <v>3.8070328533649445E-2</v>
      </c>
      <c r="AZ72">
        <v>3.9755884557962418E-2</v>
      </c>
      <c r="BA72">
        <v>4.1615810245275497E-2</v>
      </c>
      <c r="BB72">
        <v>3.7895958870649338E-2</v>
      </c>
      <c r="BC72">
        <v>4.1092704981565475E-2</v>
      </c>
      <c r="BD72">
        <v>3.8593433797359467E-2</v>
      </c>
      <c r="BE72">
        <v>3.9930254220962524E-2</v>
      </c>
      <c r="BF72">
        <v>4.1557688266038895E-2</v>
      </c>
      <c r="BG72">
        <v>4.3417610228061676E-2</v>
      </c>
      <c r="BH72">
        <v>4.516129195690155E-2</v>
      </c>
    </row>
    <row r="73" spans="2:68" x14ac:dyDescent="0.25">
      <c r="B73" s="2"/>
      <c r="C73" s="2"/>
      <c r="D73" s="41" t="str" cm="1">
        <f t="array" ref="D73">IF(H73="","",IF(AND(E73&lt;AVERAGE(E72,E74)*($L$19/100),$D$23:D72=""),H73,""))</f>
        <v/>
      </c>
      <c r="E73" s="78">
        <f t="shared" si="1"/>
        <v>2.9911980278117992E-2</v>
      </c>
      <c r="F73" s="79"/>
      <c r="H73" s="1">
        <v>51</v>
      </c>
      <c r="I73" s="75">
        <v>4.4138019721882013E-2</v>
      </c>
      <c r="J73" s="75"/>
      <c r="K73">
        <v>4.4616587460041046E-2</v>
      </c>
      <c r="L73">
        <v>4.7679096460342407E-2</v>
      </c>
      <c r="M73">
        <v>3.9932746440172195E-2</v>
      </c>
      <c r="N73">
        <v>3.8371466100215912E-2</v>
      </c>
      <c r="O73">
        <v>4.5337177813053131E-2</v>
      </c>
      <c r="P73">
        <v>4.0893532335758209E-2</v>
      </c>
      <c r="Q73">
        <v>4.0353089570999146E-2</v>
      </c>
      <c r="R73">
        <v>5.4885007441043854E-2</v>
      </c>
      <c r="S73">
        <v>4.16741743683815E-2</v>
      </c>
      <c r="T73">
        <v>4.4496487826108932E-2</v>
      </c>
      <c r="U73">
        <v>4.6297963708639145E-2</v>
      </c>
      <c r="V73">
        <v>4.0353089570999146E-2</v>
      </c>
      <c r="W73">
        <v>4.5457273721694946E-2</v>
      </c>
      <c r="X73">
        <v>5.3864169865846634E-2</v>
      </c>
      <c r="Y73">
        <v>4.5337177813053131E-2</v>
      </c>
      <c r="Z73">
        <v>4.3235454708337784E-2</v>
      </c>
      <c r="AA73">
        <v>4.7258753329515457E-2</v>
      </c>
      <c r="AB73">
        <v>4.1013631969690323E-2</v>
      </c>
      <c r="AC73">
        <v>4.3175403028726578E-2</v>
      </c>
      <c r="AD73">
        <v>4.7558996826410294E-2</v>
      </c>
      <c r="AE73">
        <v>4.1914369910955429E-2</v>
      </c>
      <c r="AF73">
        <v>4.1914369910955429E-2</v>
      </c>
      <c r="AG73">
        <v>5.0321262329816818E-2</v>
      </c>
      <c r="AH73">
        <v>3.9692547172307968E-2</v>
      </c>
      <c r="AI73">
        <v>4.413619264960289E-2</v>
      </c>
      <c r="AJ73">
        <v>4.2634960263967514E-2</v>
      </c>
      <c r="AK73">
        <v>4.0232989937067032E-2</v>
      </c>
      <c r="AL73">
        <v>4.4376388192176819E-2</v>
      </c>
      <c r="AM73">
        <v>5.1848702132701874E-2</v>
      </c>
      <c r="AN73">
        <v>4.1466820985078812E-2</v>
      </c>
      <c r="AO73">
        <v>3.9706151932477951E-2</v>
      </c>
      <c r="AP73">
        <v>5.1545139402151108E-2</v>
      </c>
      <c r="AQ73">
        <v>4.0131140500307083E-2</v>
      </c>
      <c r="AR73">
        <v>4.1102543473243713E-2</v>
      </c>
      <c r="AS73">
        <v>5.6523587554693222E-2</v>
      </c>
      <c r="AT73">
        <v>4.3166778981685638E-2</v>
      </c>
      <c r="AU73">
        <v>3.9402585476636887E-2</v>
      </c>
      <c r="AV73">
        <v>4.6930968761444092E-2</v>
      </c>
      <c r="AW73">
        <v>4.0434703230857849E-2</v>
      </c>
      <c r="AX73">
        <v>4.4441744685173035E-2</v>
      </c>
      <c r="AY73">
        <v>4.7538097947835922E-2</v>
      </c>
      <c r="AZ73">
        <v>4.3591767549514771E-2</v>
      </c>
      <c r="BA73">
        <v>3.9948999881744385E-2</v>
      </c>
      <c r="BB73">
        <v>3.9099022746086121E-2</v>
      </c>
      <c r="BC73">
        <v>4.3713193386793137E-2</v>
      </c>
      <c r="BD73">
        <v>4.3227490037679672E-2</v>
      </c>
      <c r="BE73">
        <v>4.5109584927558899E-2</v>
      </c>
      <c r="BF73">
        <v>3.9948999881744385E-2</v>
      </c>
      <c r="BG73">
        <v>4.3713193386793137E-2</v>
      </c>
      <c r="BH73">
        <v>4.5170299708843231E-2</v>
      </c>
      <c r="BI73">
        <v>4.6263128519058228E-2</v>
      </c>
    </row>
    <row r="74" spans="2:68" x14ac:dyDescent="0.25">
      <c r="B74" s="2"/>
      <c r="C74" s="2"/>
      <c r="D74" s="41" t="str" cm="1">
        <f t="array" ref="D74">IF(H74="","",IF(AND(E74&lt;AVERAGE(E73,E75)*($L$19/100),$D$23:D73=""),H74,""))</f>
        <v/>
      </c>
      <c r="E74" s="78">
        <f t="shared" si="1"/>
        <v>3.3750621306323093E-2</v>
      </c>
      <c r="F74" s="79"/>
      <c r="H74" s="1">
        <v>52</v>
      </c>
      <c r="I74" s="75">
        <v>4.0299378693676911E-2</v>
      </c>
      <c r="J74" s="75"/>
      <c r="K74">
        <v>3.997517004609108E-2</v>
      </c>
      <c r="L74">
        <v>4.1092488914728165E-2</v>
      </c>
      <c r="M74">
        <v>3.8666751235723495E-2</v>
      </c>
      <c r="N74">
        <v>4.0298789739608765E-2</v>
      </c>
      <c r="O74">
        <v>3.9545539766550064E-2</v>
      </c>
      <c r="P74">
        <v>3.7474106997251511E-2</v>
      </c>
      <c r="Q74">
        <v>3.9545539766550064E-2</v>
      </c>
      <c r="R74">
        <v>4.0738184005022049E-2</v>
      </c>
      <c r="S74">
        <v>3.9231687784194946E-2</v>
      </c>
      <c r="T74">
        <v>3.8352895528078079E-2</v>
      </c>
      <c r="U74">
        <v>3.9419997483491898E-2</v>
      </c>
      <c r="V74">
        <v>4.5885380357503891E-2</v>
      </c>
      <c r="W74">
        <v>4.0549870580434799E-2</v>
      </c>
      <c r="X74">
        <v>3.8729522377252579E-2</v>
      </c>
      <c r="Y74">
        <v>3.910614550113678E-2</v>
      </c>
      <c r="Z74">
        <v>4.2746845632791519E-2</v>
      </c>
      <c r="AA74">
        <v>4.1365891695022583E-2</v>
      </c>
      <c r="AB74">
        <v>3.9545539766550064E-2</v>
      </c>
      <c r="AC74">
        <v>4.0361560881137848E-2</v>
      </c>
      <c r="AD74">
        <v>3.7787958979606628E-2</v>
      </c>
      <c r="AE74">
        <v>4.0863726288080215E-2</v>
      </c>
      <c r="AF74">
        <v>3.9671082049608231E-2</v>
      </c>
      <c r="AG74">
        <v>4.2495764791965485E-2</v>
      </c>
      <c r="AH74">
        <v>4.1930828243494034E-2</v>
      </c>
      <c r="AI74">
        <v>4.2307451367378235E-2</v>
      </c>
      <c r="AJ74">
        <v>3.8478437811136246E-2</v>
      </c>
      <c r="AK74">
        <v>4.1993595659732819E-2</v>
      </c>
      <c r="AL74">
        <v>3.9984934031963348E-2</v>
      </c>
      <c r="AM74">
        <v>3.8164585828781128E-2</v>
      </c>
      <c r="AN74">
        <v>3.9043374359607697E-2</v>
      </c>
      <c r="AO74">
        <v>4.0110476315021515E-2</v>
      </c>
      <c r="AP74">
        <v>4.2495764791965485E-2</v>
      </c>
      <c r="AQ74">
        <v>4.1616972535848618E-2</v>
      </c>
      <c r="AR74">
        <v>3.9733853191137314E-2</v>
      </c>
      <c r="AS74">
        <v>4.1993595659732819E-2</v>
      </c>
      <c r="AT74">
        <v>3.9984934031963348E-2</v>
      </c>
      <c r="AU74">
        <v>4.2809616774320602E-2</v>
      </c>
      <c r="AV74">
        <v>3.9796624332666397E-2</v>
      </c>
      <c r="AW74">
        <v>3.7976272404193878E-2</v>
      </c>
      <c r="AX74">
        <v>4.1240349411964417E-2</v>
      </c>
      <c r="AY74">
        <v>3.8603980094194412E-2</v>
      </c>
      <c r="AZ74">
        <v>3.8101814687252045E-2</v>
      </c>
      <c r="BA74">
        <v>4.1491430252790451E-2</v>
      </c>
      <c r="BB74">
        <v>4.5194901525974274E-2</v>
      </c>
      <c r="BC74">
        <v>4.2621303349733353E-2</v>
      </c>
      <c r="BD74">
        <v>4.0549870580434799E-2</v>
      </c>
      <c r="BE74">
        <v>3.9482768625020981E-2</v>
      </c>
      <c r="BF74">
        <v>3.7599649280309677E-2</v>
      </c>
      <c r="BG74">
        <v>3.9733853191137314E-2</v>
      </c>
      <c r="BH74">
        <v>3.891783207654953E-2</v>
      </c>
      <c r="BI74">
        <v>3.910614550113678E-2</v>
      </c>
      <c r="BJ74">
        <v>4.1052035987377167E-2</v>
      </c>
    </row>
    <row r="75" spans="2:68" x14ac:dyDescent="0.25">
      <c r="B75" s="2"/>
      <c r="C75" s="2"/>
      <c r="D75" s="41" t="str" cm="1">
        <f t="array" ref="D75">IF(H75="","",IF(AND(E75&lt;AVERAGE(E74,E76)*($L$19/100),$D$23:D74=""),H75,""))</f>
        <v/>
      </c>
      <c r="E75" s="78">
        <f t="shared" si="1"/>
        <v>3.4007202861331548E-2</v>
      </c>
      <c r="F75" s="79"/>
      <c r="H75" s="1">
        <v>53</v>
      </c>
      <c r="I75" s="75">
        <v>4.0042797138668457E-2</v>
      </c>
      <c r="J75" s="75"/>
      <c r="K75">
        <v>3.7792209535837173E-2</v>
      </c>
      <c r="L75">
        <v>3.9090909063816071E-2</v>
      </c>
      <c r="M75">
        <v>3.8701299577951431E-2</v>
      </c>
      <c r="N75">
        <v>4.3831169605255127E-2</v>
      </c>
      <c r="O75">
        <v>3.941558301448822E-2</v>
      </c>
      <c r="P75">
        <v>4.5714285224676132E-2</v>
      </c>
      <c r="Q75">
        <v>4.2207792401313782E-2</v>
      </c>
      <c r="R75">
        <v>4.0974024683237076E-2</v>
      </c>
      <c r="S75">
        <v>3.9610389620065689E-2</v>
      </c>
      <c r="T75">
        <v>3.6558441817760468E-2</v>
      </c>
      <c r="U75">
        <v>4.3571427464485168E-2</v>
      </c>
      <c r="V75">
        <v>4.2402599006891251E-2</v>
      </c>
      <c r="W75">
        <v>3.9740260690450668E-2</v>
      </c>
      <c r="X75">
        <v>4.0974024683237076E-2</v>
      </c>
      <c r="Y75">
        <v>4.2207792401313782E-2</v>
      </c>
      <c r="Z75">
        <v>4.0064934641122818E-2</v>
      </c>
      <c r="AA75">
        <v>3.5389609634876251E-2</v>
      </c>
      <c r="AB75">
        <v>4.3181817978620529E-2</v>
      </c>
      <c r="AC75">
        <v>3.8831170648336411E-2</v>
      </c>
      <c r="AD75">
        <v>3.9545454084873199E-2</v>
      </c>
      <c r="AE75">
        <v>4.0324676781892776E-2</v>
      </c>
      <c r="AF75">
        <v>3.564935177564621E-2</v>
      </c>
      <c r="AG75">
        <v>3.8506492972373962E-2</v>
      </c>
      <c r="AH75">
        <v>4.0519479662179947E-2</v>
      </c>
      <c r="AI75">
        <v>4.1038960218429565E-2</v>
      </c>
      <c r="AJ75">
        <v>4.0259741246700287E-2</v>
      </c>
      <c r="AK75">
        <v>3.8181819021701813E-2</v>
      </c>
      <c r="AL75">
        <v>4.3441560119390488E-2</v>
      </c>
      <c r="AM75">
        <v>3.8116883486509323E-2</v>
      </c>
      <c r="AN75">
        <v>4.1948050260543823E-2</v>
      </c>
      <c r="AO75">
        <v>4.1753247380256653E-2</v>
      </c>
      <c r="AP75">
        <v>3.9610389620065689E-2</v>
      </c>
      <c r="AQ75">
        <v>4.0194805711507797E-2</v>
      </c>
      <c r="AR75">
        <v>3.941558301448822E-2</v>
      </c>
      <c r="AS75">
        <v>3.9610389620065689E-2</v>
      </c>
      <c r="AT75">
        <v>3.967159241437912E-2</v>
      </c>
      <c r="AU75">
        <v>3.9999999105930328E-2</v>
      </c>
      <c r="AV75">
        <v>4.1116584092378616E-2</v>
      </c>
      <c r="AW75">
        <v>3.7963874638080597E-2</v>
      </c>
      <c r="AX75">
        <v>3.9474546909332275E-2</v>
      </c>
      <c r="AY75">
        <v>4.1182264685630798E-2</v>
      </c>
      <c r="AZ75">
        <v>3.8620688021183014E-2</v>
      </c>
      <c r="BA75">
        <v>3.8555007427930832E-2</v>
      </c>
      <c r="BB75">
        <v>3.9277505129575729E-2</v>
      </c>
      <c r="BC75">
        <v>4.0131364017724991E-2</v>
      </c>
      <c r="BD75">
        <v>3.9540231227874756E-2</v>
      </c>
      <c r="BE75">
        <v>4.0788177400827408E-2</v>
      </c>
      <c r="BF75">
        <v>4.1050903499126434E-2</v>
      </c>
      <c r="BG75">
        <v>3.9277505129575729E-2</v>
      </c>
      <c r="BH75">
        <v>3.848932683467865E-2</v>
      </c>
      <c r="BI75">
        <v>3.888341411948204E-2</v>
      </c>
      <c r="BJ75">
        <v>3.8555007427930832E-2</v>
      </c>
      <c r="BK75">
        <v>4.1313629597425461E-2</v>
      </c>
    </row>
    <row r="76" spans="2:68" x14ac:dyDescent="0.25">
      <c r="B76" s="2"/>
      <c r="C76" s="2"/>
      <c r="D76" s="41" t="str" cm="1">
        <f t="array" ref="D76">IF(H76="","",IF(AND(E76&lt;AVERAGE(E75,E77)*($L$19/100),$D$23:D75=""),H76,""))</f>
        <v/>
      </c>
      <c r="E76" s="78">
        <f t="shared" si="1"/>
        <v>2.9310106603856446E-2</v>
      </c>
      <c r="F76" s="79"/>
      <c r="H76" s="1">
        <v>54</v>
      </c>
      <c r="I76" s="75">
        <v>4.4739893396143558E-2</v>
      </c>
      <c r="J76" s="75"/>
      <c r="K76">
        <v>4.1134562343358994E-2</v>
      </c>
      <c r="L76">
        <v>4.9334589391946793E-2</v>
      </c>
      <c r="M76">
        <v>4.1605055332183838E-2</v>
      </c>
      <c r="N76">
        <v>4.9401801079511642E-2</v>
      </c>
      <c r="O76">
        <v>5.0275575369596481E-2</v>
      </c>
      <c r="P76">
        <v>4.1336201131343842E-2</v>
      </c>
      <c r="Q76">
        <v>4.4428013265132904E-2</v>
      </c>
      <c r="R76">
        <v>4.5301787555217743E-2</v>
      </c>
      <c r="S76">
        <v>4.4226374477148056E-2</v>
      </c>
      <c r="T76">
        <v>4.2747680097818375E-2</v>
      </c>
      <c r="U76">
        <v>4.9132946878671646E-2</v>
      </c>
      <c r="V76">
        <v>4.1201774030923843E-2</v>
      </c>
      <c r="W76">
        <v>4.4629655778408051E-2</v>
      </c>
      <c r="X76">
        <v>4.2949322611093521E-2</v>
      </c>
      <c r="Y76">
        <v>4.3621454387903214E-2</v>
      </c>
      <c r="Z76">
        <v>4.4091947376728058E-2</v>
      </c>
      <c r="AA76">
        <v>4.5570641756057739E-2</v>
      </c>
      <c r="AB76">
        <v>4.1336201131343842E-2</v>
      </c>
      <c r="AC76">
        <v>4.2747680097818375E-2</v>
      </c>
      <c r="AD76">
        <v>4.8931308090686798E-2</v>
      </c>
      <c r="AE76">
        <v>4.227718710899353E-2</v>
      </c>
      <c r="AF76">
        <v>4.0327999740839005E-2</v>
      </c>
      <c r="AG76">
        <v>5.1815584301948547E-2</v>
      </c>
      <c r="AH76">
        <v>4.0731675922870636E-2</v>
      </c>
      <c r="AI76">
        <v>3.9847679436206818E-2</v>
      </c>
      <c r="AJ76">
        <v>5.0047598779201508E-2</v>
      </c>
      <c r="AK76">
        <v>4.2159661650657654E-2</v>
      </c>
      <c r="AL76">
        <v>4.0459677577018738E-2</v>
      </c>
      <c r="AM76">
        <v>5.8139536529779434E-2</v>
      </c>
      <c r="AN76">
        <v>4.8075616359710693E-2</v>
      </c>
      <c r="AO76">
        <v>4.2159661650657654E-2</v>
      </c>
      <c r="AP76">
        <v>4.6307630836963654E-2</v>
      </c>
      <c r="AQ76">
        <v>4.0051680058240891E-2</v>
      </c>
      <c r="AR76">
        <v>3.9235685020685196E-2</v>
      </c>
      <c r="AS76">
        <v>4.7735616564750671E-2</v>
      </c>
      <c r="AT76">
        <v>4.4811639934778214E-2</v>
      </c>
      <c r="AU76">
        <v>4.2363662272691727E-2</v>
      </c>
      <c r="AV76">
        <v>4.9435604363679886E-2</v>
      </c>
      <c r="AW76">
        <v>4.4675640761852264E-2</v>
      </c>
      <c r="AX76">
        <v>4.3723650276660919E-2</v>
      </c>
      <c r="AY76">
        <v>5.4331567138433456E-2</v>
      </c>
      <c r="AZ76">
        <v>4.1615668684244156E-2</v>
      </c>
      <c r="BA76">
        <v>3.84196937084198E-2</v>
      </c>
      <c r="BB76">
        <v>5.0999592989683151E-2</v>
      </c>
      <c r="BC76">
        <v>4.2295660823583603E-2</v>
      </c>
      <c r="BD76">
        <v>4.2227663099765778E-2</v>
      </c>
      <c r="BE76">
        <v>4.5831631869077682E-2</v>
      </c>
      <c r="BF76">
        <v>4.3315652757883072E-2</v>
      </c>
      <c r="BG76">
        <v>4.3247655034065247E-2</v>
      </c>
      <c r="BH76">
        <v>4.7259621322154999E-2</v>
      </c>
      <c r="BI76">
        <v>4.2091663926839828E-2</v>
      </c>
      <c r="BJ76">
        <v>4.9775600433349609E-2</v>
      </c>
      <c r="BK76">
        <v>4.6851623803377151E-2</v>
      </c>
      <c r="BL76">
        <v>3.930368646979332E-2</v>
      </c>
    </row>
    <row r="77" spans="2:68" x14ac:dyDescent="0.25">
      <c r="B77" s="2"/>
      <c r="C77" s="2"/>
      <c r="D77" s="41" t="str" cm="1">
        <f t="array" ref="D77">IF(H77="","",IF(AND(E77&lt;AVERAGE(E76,E78)*($L$19/100),$D$23:D76=""),H77,""))</f>
        <v/>
      </c>
      <c r="E77" s="78">
        <f t="shared" si="1"/>
        <v>3.3902982786568732E-2</v>
      </c>
      <c r="F77" s="79"/>
      <c r="H77" s="1">
        <v>55</v>
      </c>
      <c r="I77" s="75">
        <v>4.0147017213431273E-2</v>
      </c>
      <c r="J77" s="75"/>
      <c r="K77">
        <v>3.7104073911905289E-2</v>
      </c>
      <c r="L77">
        <v>4.232509434223175E-2</v>
      </c>
      <c r="M77">
        <v>3.9401322603225708E-2</v>
      </c>
      <c r="N77">
        <v>3.7800207734107971E-2</v>
      </c>
      <c r="O77">
        <v>4.2046640068292618E-2</v>
      </c>
      <c r="P77">
        <v>3.8078662008047104E-2</v>
      </c>
      <c r="Q77">
        <v>4.0584754198789597E-2</v>
      </c>
      <c r="R77">
        <v>3.9888616651296616E-2</v>
      </c>
      <c r="S77">
        <v>4.1698571294546127E-2</v>
      </c>
      <c r="T77">
        <v>4.7337278723716736E-2</v>
      </c>
      <c r="U77">
        <v>3.8287505507469177E-2</v>
      </c>
      <c r="V77">
        <v>4.0097460150718689E-2</v>
      </c>
      <c r="W77">
        <v>3.898363932967186E-2</v>
      </c>
      <c r="X77">
        <v>4.0723983198404312E-2</v>
      </c>
      <c r="Y77">
        <v>3.9262093603610992E-2</v>
      </c>
      <c r="Z77">
        <v>4.3815158307552338E-2</v>
      </c>
      <c r="AA77">
        <v>4.4871795922517776E-2</v>
      </c>
      <c r="AB77">
        <v>3.9518173784017563E-2</v>
      </c>
      <c r="AC77">
        <v>3.972950205206871E-2</v>
      </c>
      <c r="AD77">
        <v>3.8602422922849655E-2</v>
      </c>
      <c r="AE77">
        <v>3.9659060537815094E-2</v>
      </c>
      <c r="AF77">
        <v>4.1772332042455673E-2</v>
      </c>
      <c r="AG77">
        <v>4.2054098099470139E-2</v>
      </c>
      <c r="AH77">
        <v>3.7757113575935364E-2</v>
      </c>
      <c r="AI77">
        <v>4.0011271834373474E-2</v>
      </c>
      <c r="AJ77">
        <v>3.9940826594829559E-2</v>
      </c>
      <c r="AK77">
        <v>4.1067905724048615E-2</v>
      </c>
      <c r="AL77">
        <v>3.9659060537815094E-2</v>
      </c>
      <c r="AM77">
        <v>3.6207381635904312E-2</v>
      </c>
      <c r="AN77">
        <v>4.325161874294281E-2</v>
      </c>
      <c r="AO77">
        <v>3.7898000329732895E-2</v>
      </c>
      <c r="AP77">
        <v>3.8179770112037659E-2</v>
      </c>
      <c r="AQ77">
        <v>3.9870385080575943E-2</v>
      </c>
      <c r="AR77">
        <v>4.1349675506353378E-2</v>
      </c>
      <c r="AS77">
        <v>4.289940744638443E-2</v>
      </c>
      <c r="AT77">
        <v>4.219498485326767E-2</v>
      </c>
      <c r="AU77">
        <v>4.1279233992099762E-2</v>
      </c>
      <c r="AV77">
        <v>4.1279233992099762E-2</v>
      </c>
      <c r="AW77">
        <v>3.9025075733661652E-2</v>
      </c>
      <c r="AX77">
        <v>3.9870385080575943E-2</v>
      </c>
      <c r="AY77">
        <v>3.8602422922849655E-2</v>
      </c>
      <c r="AZ77">
        <v>3.937729075551033E-2</v>
      </c>
      <c r="BA77">
        <v>4.1913215070962906E-2</v>
      </c>
      <c r="BB77">
        <v>3.6559592932462692E-2</v>
      </c>
      <c r="BC77">
        <v>3.9940826594829559E-2</v>
      </c>
      <c r="BD77">
        <v>4.0363483130931854E-2</v>
      </c>
      <c r="BE77">
        <v>3.9799943566322327E-2</v>
      </c>
      <c r="BF77">
        <v>3.8250211626291275E-2</v>
      </c>
      <c r="BG77">
        <v>3.8884192705154419E-2</v>
      </c>
      <c r="BH77">
        <v>4.2406313121318817E-2</v>
      </c>
      <c r="BI77">
        <v>3.9518173784017563E-2</v>
      </c>
      <c r="BJ77">
        <v>3.9940826594829559E-2</v>
      </c>
      <c r="BK77">
        <v>3.9095520973205566E-2</v>
      </c>
      <c r="BL77">
        <v>3.8531981408596039E-2</v>
      </c>
      <c r="BM77">
        <v>3.9518173784017563E-2</v>
      </c>
    </row>
    <row r="78" spans="2:68" x14ac:dyDescent="0.25">
      <c r="B78" s="2"/>
      <c r="C78" s="2"/>
      <c r="D78" s="41" t="str" cm="1">
        <f t="array" ref="D78">IF(H78="","",IF(AND(E78&lt;AVERAGE(E77,E79)*($L$19/100),$D$23:D77=""),H78,""))</f>
        <v/>
      </c>
      <c r="E78" s="78">
        <f t="shared" si="1"/>
        <v>2.2840308553725486E-2</v>
      </c>
      <c r="F78" s="79"/>
      <c r="H78" s="1">
        <v>56</v>
      </c>
      <c r="I78" s="75">
        <v>5.1209691446274519E-2</v>
      </c>
      <c r="J78" s="75"/>
      <c r="K78">
        <v>4.6461295336484909E-2</v>
      </c>
      <c r="L78">
        <v>5.5984415113925934E-2</v>
      </c>
      <c r="M78">
        <v>4.8192769289016724E-2</v>
      </c>
      <c r="N78">
        <v>4.7327034175395966E-2</v>
      </c>
      <c r="O78">
        <v>4.7038454562425613E-2</v>
      </c>
      <c r="P78">
        <v>5.4757952690124512E-2</v>
      </c>
      <c r="Q78">
        <v>4.5162685215473175E-2</v>
      </c>
      <c r="R78">
        <v>4.3575499206781387E-2</v>
      </c>
      <c r="S78">
        <v>6.2549598515033722E-2</v>
      </c>
      <c r="T78">
        <v>4.5739844441413879E-2</v>
      </c>
      <c r="U78">
        <v>5.5118680000305176E-2</v>
      </c>
      <c r="V78">
        <v>4.5162685215473175E-2</v>
      </c>
      <c r="W78">
        <v>5.7932328432798386E-2</v>
      </c>
      <c r="X78">
        <v>4.5379120856523514E-2</v>
      </c>
      <c r="Y78">
        <v>5.6297920644283295E-2</v>
      </c>
      <c r="Z78">
        <v>6.7834973335266113E-2</v>
      </c>
      <c r="AA78">
        <v>4.738955944776535E-2</v>
      </c>
      <c r="AB78">
        <v>5.4107338190078735E-2</v>
      </c>
      <c r="AC78">
        <v>4.3081417679786682E-2</v>
      </c>
      <c r="AD78">
        <v>5.4472435265779495E-2</v>
      </c>
      <c r="AE78">
        <v>5.6589994579553604E-2</v>
      </c>
      <c r="AF78">
        <v>5.1259584724903107E-2</v>
      </c>
      <c r="AG78">
        <v>5.9948887676000595E-2</v>
      </c>
      <c r="AH78">
        <v>4.264330118894577E-2</v>
      </c>
      <c r="AI78">
        <v>4.9799196422100067E-2</v>
      </c>
      <c r="AJ78">
        <v>4.7462578862905502E-2</v>
      </c>
      <c r="AK78">
        <v>5.0091274082660675E-2</v>
      </c>
      <c r="AL78">
        <v>4.7535598278045654E-2</v>
      </c>
      <c r="AM78">
        <v>4.7900695353746414E-2</v>
      </c>
      <c r="AN78">
        <v>6.2942676246166229E-2</v>
      </c>
      <c r="AO78">
        <v>4.5564074069261551E-2</v>
      </c>
      <c r="AP78">
        <v>4.4760860502719879E-2</v>
      </c>
      <c r="AQ78">
        <v>4.7681637108325958E-2</v>
      </c>
      <c r="AR78">
        <v>5.2646949887275696E-2</v>
      </c>
      <c r="AS78">
        <v>5.3450163453817368E-2</v>
      </c>
      <c r="AT78">
        <v>5.0164293497800827E-2</v>
      </c>
      <c r="AU78">
        <v>6.4330048859119415E-2</v>
      </c>
      <c r="AV78">
        <v>5.1770720630884171E-2</v>
      </c>
      <c r="AW78">
        <v>5.2281856536865234E-2</v>
      </c>
      <c r="AX78">
        <v>5.1478642970323563E-2</v>
      </c>
      <c r="AY78">
        <v>5.1113545894622803E-2</v>
      </c>
      <c r="AZ78">
        <v>4.4468782842159271E-2</v>
      </c>
      <c r="BA78">
        <v>4.6951442956924438E-2</v>
      </c>
      <c r="BB78">
        <v>5.4983571171760559E-2</v>
      </c>
      <c r="BC78">
        <v>5.0237312912940979E-2</v>
      </c>
      <c r="BD78">
        <v>4.9288060516119003E-2</v>
      </c>
      <c r="BE78">
        <v>4.7243520617485046E-2</v>
      </c>
      <c r="BF78">
        <v>5.3304124623537064E-2</v>
      </c>
      <c r="BG78">
        <v>5.3377144038677216E-2</v>
      </c>
      <c r="BH78">
        <v>5.5786784738302231E-2</v>
      </c>
      <c r="BI78">
        <v>5.5713765323162079E-2</v>
      </c>
      <c r="BJ78">
        <v>4.4906899333000183E-2</v>
      </c>
      <c r="BK78">
        <v>5.3596202284097672E-2</v>
      </c>
      <c r="BL78">
        <v>5.0529390573501587E-2</v>
      </c>
      <c r="BM78">
        <v>5.1040526479482651E-2</v>
      </c>
      <c r="BN78">
        <v>5.1332604140043259E-2</v>
      </c>
    </row>
    <row r="79" spans="2:68" x14ac:dyDescent="0.25">
      <c r="B79" s="2"/>
      <c r="C79" s="2"/>
      <c r="D79" s="41" t="str" cm="1">
        <f t="array" ref="D79">IF(H79="","",IF(AND(E79&lt;AVERAGE(E78,E80)*($L$19/100),$D$23:D78=""),H79,""))</f>
        <v/>
      </c>
      <c r="E79" s="78">
        <f t="shared" si="1"/>
        <v>2.9873680157201335E-2</v>
      </c>
      <c r="F79" s="79"/>
      <c r="H79" s="1">
        <v>57</v>
      </c>
      <c r="I79" s="75">
        <v>4.417631984279867E-2</v>
      </c>
      <c r="J79" s="75"/>
      <c r="K79">
        <v>4.5039653778076172E-2</v>
      </c>
      <c r="L79">
        <v>4.9154572188854218E-2</v>
      </c>
      <c r="M79">
        <v>4.7508604824542999E-2</v>
      </c>
      <c r="N79">
        <v>4.2346250265836716E-2</v>
      </c>
      <c r="O79">
        <v>4.6760436147451401E-2</v>
      </c>
      <c r="P79">
        <v>4.5638184994459152E-2</v>
      </c>
      <c r="Q79">
        <v>3.6510549485683441E-2</v>
      </c>
      <c r="R79">
        <v>4.5862637460231781E-2</v>
      </c>
      <c r="S79">
        <v>4.4515937566757202E-2</v>
      </c>
      <c r="T79">
        <v>3.9952117949724197E-2</v>
      </c>
      <c r="U79">
        <v>4.9528654664754868E-2</v>
      </c>
      <c r="V79">
        <v>4.2795151472091675E-2</v>
      </c>
      <c r="W79">
        <v>4.6236719936132431E-2</v>
      </c>
      <c r="X79">
        <v>4.743378609418869E-2</v>
      </c>
      <c r="Y79">
        <v>4.1074369102716446E-2</v>
      </c>
      <c r="Z79">
        <v>4.5189287513494492E-2</v>
      </c>
      <c r="AA79">
        <v>4.705970361828804E-2</v>
      </c>
      <c r="AB79">
        <v>4.3094418942928314E-2</v>
      </c>
      <c r="AC79">
        <v>4.2046986520290375E-2</v>
      </c>
      <c r="AD79">
        <v>5.4457321763038635E-2</v>
      </c>
      <c r="AE79">
        <v>3.946072980761528E-2</v>
      </c>
      <c r="AF79">
        <v>4.7489207237958908E-2</v>
      </c>
      <c r="AG79">
        <v>4.7564946115016937E-2</v>
      </c>
      <c r="AH79">
        <v>4.317200556397438E-2</v>
      </c>
      <c r="AI79">
        <v>4.1429977864027023E-2</v>
      </c>
      <c r="AJ79">
        <v>4.4005151838064194E-2</v>
      </c>
      <c r="AK79">
        <v>4.2263120412826538E-2</v>
      </c>
      <c r="AL79">
        <v>4.4005151838064194E-2</v>
      </c>
      <c r="AM79">
        <v>4.4080890715122223E-2</v>
      </c>
      <c r="AN79">
        <v>3.946072980761528E-2</v>
      </c>
      <c r="AO79">
        <v>3.8930546492338181E-2</v>
      </c>
      <c r="AP79">
        <v>4.6201620250940323E-2</v>
      </c>
      <c r="AQ79">
        <v>3.9157766848802567E-2</v>
      </c>
      <c r="AR79">
        <v>4.158145934343338E-2</v>
      </c>
      <c r="AS79">
        <v>4.4383853673934937E-2</v>
      </c>
      <c r="AT79">
        <v>4.4611074030399323E-2</v>
      </c>
      <c r="AU79">
        <v>4.1051276028156281E-2</v>
      </c>
      <c r="AV79">
        <v>4.839809238910675E-2</v>
      </c>
      <c r="AW79">
        <v>4.4156629592180252E-2</v>
      </c>
      <c r="AX79">
        <v>4.2035900056362152E-2</v>
      </c>
      <c r="AY79">
        <v>4.0975537151098251E-2</v>
      </c>
      <c r="AZ79">
        <v>4.2717564851045609E-2</v>
      </c>
      <c r="BA79">
        <v>4.4611074030399323E-2</v>
      </c>
      <c r="BB79">
        <v>4.5368477702140808E-2</v>
      </c>
      <c r="BC79">
        <v>4.112701490521431E-2</v>
      </c>
      <c r="BD79">
        <v>4.2414601892232895E-2</v>
      </c>
      <c r="BE79">
        <v>4.9155496060848236E-2</v>
      </c>
      <c r="BF79">
        <v>3.8627583533525467E-2</v>
      </c>
      <c r="BG79">
        <v>3.9309248328208923E-2</v>
      </c>
      <c r="BH79">
        <v>5.786563828587532E-2</v>
      </c>
      <c r="BI79">
        <v>4.3323487043380737E-2</v>
      </c>
      <c r="BJ79">
        <v>4.3853670358657837E-2</v>
      </c>
      <c r="BK79">
        <v>4.4156629592180252E-2</v>
      </c>
      <c r="BL79">
        <v>4.1505716741085052E-2</v>
      </c>
      <c r="BM79">
        <v>4.0521092712879181E-2</v>
      </c>
      <c r="BN79">
        <v>5.2791032940149307E-2</v>
      </c>
      <c r="BO79">
        <v>4.4080890715122223E-2</v>
      </c>
    </row>
    <row r="80" spans="2:68" x14ac:dyDescent="0.25">
      <c r="B80" s="2"/>
      <c r="C80" s="2"/>
      <c r="D80" s="41" t="str" cm="1">
        <f t="array" ref="D80">IF(H80="","",IF(AND(E80&lt;AVERAGE(E79,E81)*($L$19/100),$D$23:D79=""),H80,""))</f>
        <v/>
      </c>
      <c r="E80" s="78">
        <f t="shared" si="1"/>
        <v>3.3956931516939202E-2</v>
      </c>
      <c r="F80" s="79"/>
      <c r="H80" s="1">
        <v>58</v>
      </c>
      <c r="I80" s="75">
        <v>4.0093068483060802E-2</v>
      </c>
      <c r="J80" s="75"/>
      <c r="K80">
        <v>3.9285715669393539E-2</v>
      </c>
      <c r="L80">
        <v>4.1459627449512482E-2</v>
      </c>
      <c r="M80">
        <v>3.8897514343261719E-2</v>
      </c>
      <c r="N80">
        <v>3.9906833320856094E-2</v>
      </c>
      <c r="O80">
        <v>3.8975156843662262E-2</v>
      </c>
      <c r="P80">
        <v>3.7888199090957642E-2</v>
      </c>
      <c r="Q80">
        <v>3.9130434393882751E-2</v>
      </c>
      <c r="R80">
        <v>3.7965837866067886E-2</v>
      </c>
      <c r="S80">
        <v>4.0916148573160172E-2</v>
      </c>
      <c r="T80">
        <v>3.9906833320856094E-2</v>
      </c>
      <c r="U80">
        <v>3.8354035466909409E-2</v>
      </c>
      <c r="V80">
        <v>4.1381988674402237E-2</v>
      </c>
      <c r="W80">
        <v>4.0916148573160172E-2</v>
      </c>
      <c r="X80">
        <v>4.1149068623781204E-2</v>
      </c>
      <c r="Y80">
        <v>4.0916148573160172E-2</v>
      </c>
      <c r="Z80">
        <v>3.9130434393882751E-2</v>
      </c>
      <c r="AA80">
        <v>3.6956522613763809E-2</v>
      </c>
      <c r="AB80">
        <v>4.0372669696807861E-2</v>
      </c>
      <c r="AC80">
        <v>4.0450312197208405E-2</v>
      </c>
      <c r="AD80">
        <v>3.7577640265226364E-2</v>
      </c>
      <c r="AE80">
        <v>3.7965837866067886E-2</v>
      </c>
      <c r="AF80">
        <v>4.5807454735040665E-2</v>
      </c>
      <c r="AG80">
        <v>4.0605589747428894E-2</v>
      </c>
      <c r="AH80">
        <v>3.5947203636169434E-2</v>
      </c>
      <c r="AI80">
        <v>4.0916148573160172E-2</v>
      </c>
      <c r="AJ80">
        <v>4.0139753371477127E-2</v>
      </c>
      <c r="AK80">
        <v>3.8819875568151474E-2</v>
      </c>
      <c r="AL80">
        <v>3.9208073168992996E-2</v>
      </c>
      <c r="AM80">
        <v>4.4332299381494522E-2</v>
      </c>
      <c r="AN80">
        <v>4.4332299381494522E-2</v>
      </c>
      <c r="AO80">
        <v>4.3317608535289764E-2</v>
      </c>
      <c r="AP80">
        <v>4.2610064148902893E-2</v>
      </c>
      <c r="AQ80">
        <v>3.7421382963657379E-2</v>
      </c>
      <c r="AR80">
        <v>4.2059749364852905E-2</v>
      </c>
      <c r="AS80">
        <v>3.9701256901025772E-2</v>
      </c>
      <c r="AT80">
        <v>4.0487419813871384E-2</v>
      </c>
      <c r="AU80">
        <v>3.7421382963657379E-2</v>
      </c>
      <c r="AV80">
        <v>3.8915093988180161E-2</v>
      </c>
      <c r="AW80">
        <v>3.8600627332925797E-2</v>
      </c>
      <c r="AX80">
        <v>3.7028301507234573E-2</v>
      </c>
      <c r="AY80">
        <v>3.5220127552747726E-2</v>
      </c>
      <c r="AZ80">
        <v>4.6383649110794067E-2</v>
      </c>
      <c r="BA80">
        <v>3.608490526676178E-2</v>
      </c>
      <c r="BB80">
        <v>3.7106920033693314E-2</v>
      </c>
      <c r="BC80">
        <v>3.8207545876502991E-2</v>
      </c>
      <c r="BD80">
        <v>4.1509434580802917E-2</v>
      </c>
      <c r="BE80">
        <v>4.0408805012702942E-2</v>
      </c>
      <c r="BF80">
        <v>4.0408805012702942E-2</v>
      </c>
      <c r="BG80">
        <v>4.0172956883907318E-2</v>
      </c>
      <c r="BH80">
        <v>4.1194967925548553E-2</v>
      </c>
      <c r="BI80">
        <v>3.8679245859384537E-2</v>
      </c>
      <c r="BJ80">
        <v>4.2295597493648529E-2</v>
      </c>
      <c r="BK80">
        <v>4.3946541845798492E-2</v>
      </c>
      <c r="BL80">
        <v>4.1823897510766983E-2</v>
      </c>
      <c r="BM80">
        <v>4.4732704758644104E-2</v>
      </c>
      <c r="BN80">
        <v>3.8050316274166107E-2</v>
      </c>
      <c r="BO80">
        <v>4.2216982692480087E-2</v>
      </c>
      <c r="BP80">
        <v>3.9779875427484512E-2</v>
      </c>
    </row>
    <row r="81" spans="2:84" x14ac:dyDescent="0.25">
      <c r="B81" s="2"/>
      <c r="C81" s="2"/>
      <c r="D81" s="41" t="str" cm="1">
        <f t="array" ref="D81">IF(H81="","",IF(AND(E81&lt;AVERAGE(E80,E82)*($L$19/100),$D$23:D80=""),H81,""))</f>
        <v/>
      </c>
      <c r="E81" s="78">
        <f t="shared" si="1"/>
        <v>3.3661557487208969E-2</v>
      </c>
      <c r="F81" s="79"/>
      <c r="H81" s="1">
        <v>59</v>
      </c>
      <c r="I81" s="75">
        <v>4.0388442512791035E-2</v>
      </c>
      <c r="J81" s="75"/>
      <c r="K81">
        <v>4.1360959410667419E-2</v>
      </c>
      <c r="L81">
        <v>4.0312826633453369E-2</v>
      </c>
      <c r="M81">
        <v>4.0715955197811127E-2</v>
      </c>
      <c r="N81">
        <v>3.9990324527025223E-2</v>
      </c>
      <c r="O81">
        <v>4.1764087975025177E-2</v>
      </c>
      <c r="P81">
        <v>3.8619689643383026E-2</v>
      </c>
      <c r="Q81">
        <v>4.3860357254743576E-2</v>
      </c>
      <c r="R81">
        <v>3.9829075336456299E-2</v>
      </c>
      <c r="S81">
        <v>3.9506569504737854E-2</v>
      </c>
      <c r="T81">
        <v>4.2409095913171768E-2</v>
      </c>
      <c r="U81">
        <v>4.3215349316596985E-2</v>
      </c>
      <c r="V81">
        <v>3.8216561079025269E-2</v>
      </c>
      <c r="W81">
        <v>4.0474079549312592E-2</v>
      </c>
      <c r="X81">
        <v>3.9667822420597076E-2</v>
      </c>
      <c r="Y81">
        <v>4.3134726583957672E-2</v>
      </c>
      <c r="Z81">
        <v>4.0232200175523758E-2</v>
      </c>
      <c r="AA81">
        <v>3.9103440940380096E-2</v>
      </c>
      <c r="AB81">
        <v>3.9909698069095612E-2</v>
      </c>
      <c r="AC81">
        <v>3.9425946772098541E-2</v>
      </c>
      <c r="AD81">
        <v>3.9748448878526688E-2</v>
      </c>
      <c r="AE81">
        <v>3.8861565291881561E-2</v>
      </c>
      <c r="AF81">
        <v>4.297347366809845E-2</v>
      </c>
      <c r="AG81">
        <v>4.2892847210168839E-2</v>
      </c>
      <c r="AH81">
        <v>4.039345309138298E-2</v>
      </c>
      <c r="AI81">
        <v>4.1844714432954788E-2</v>
      </c>
      <c r="AJ81">
        <v>3.8700316101312637E-2</v>
      </c>
      <c r="AK81">
        <v>4.0796581655740738E-2</v>
      </c>
      <c r="AL81">
        <v>4.1360959410667419E-2</v>
      </c>
      <c r="AM81">
        <v>3.9103440940380096E-2</v>
      </c>
      <c r="AN81">
        <v>3.829718753695488E-2</v>
      </c>
      <c r="AO81">
        <v>3.9587195962667465E-2</v>
      </c>
      <c r="AP81">
        <v>4.2328469455242157E-2</v>
      </c>
      <c r="AQ81">
        <v>4.2650971561670303E-2</v>
      </c>
      <c r="AR81">
        <v>4.1199710220098495E-2</v>
      </c>
      <c r="AS81">
        <v>3.6684673279523849E-2</v>
      </c>
      <c r="AT81">
        <v>4.353785514831543E-2</v>
      </c>
      <c r="AU81">
        <v>3.9748448878526688E-2</v>
      </c>
      <c r="AV81">
        <v>4.0232200175523758E-2</v>
      </c>
      <c r="AW81">
        <v>4.1683465242385864E-2</v>
      </c>
      <c r="AX81">
        <v>3.6845926195383072E-2</v>
      </c>
      <c r="AY81">
        <v>3.9748448878526688E-2</v>
      </c>
      <c r="AZ81">
        <v>4.0877208113670349E-2</v>
      </c>
      <c r="BA81">
        <v>3.9909698069095612E-2</v>
      </c>
      <c r="BB81">
        <v>3.9103440940380096E-2</v>
      </c>
      <c r="BC81">
        <v>3.8216561079025269E-2</v>
      </c>
      <c r="BD81">
        <v>4.0635328739881516E-2</v>
      </c>
      <c r="BE81">
        <v>4.3376602232456207E-2</v>
      </c>
      <c r="BF81">
        <v>3.6420054733753204E-2</v>
      </c>
      <c r="BG81">
        <v>4.0339704602956772E-2</v>
      </c>
      <c r="BH81">
        <v>4.1401274502277374E-2</v>
      </c>
      <c r="BI81">
        <v>4.2217865586280823E-2</v>
      </c>
      <c r="BJ81">
        <v>3.9359789341688156E-2</v>
      </c>
      <c r="BK81">
        <v>4.4504329562187195E-2</v>
      </c>
      <c r="BL81">
        <v>3.8216561079025269E-2</v>
      </c>
      <c r="BM81">
        <v>3.8216561079025269E-2</v>
      </c>
      <c r="BN81">
        <v>4.0339704602956772E-2</v>
      </c>
      <c r="BO81">
        <v>4.0829658508300781E-2</v>
      </c>
      <c r="BP81">
        <v>3.9033152163028717E-2</v>
      </c>
      <c r="BQ81">
        <v>3.8951493799686432E-2</v>
      </c>
    </row>
    <row r="82" spans="2:84" x14ac:dyDescent="0.25">
      <c r="B82" s="2"/>
      <c r="C82" s="2"/>
      <c r="D82" s="41" t="str" cm="1">
        <f t="array" ref="D82">IF(H82="","",IF(AND(E82&lt;AVERAGE(E81,E83)*($L$19/100),$D$23:D81=""),H82,""))</f>
        <v/>
      </c>
      <c r="E82" s="78">
        <f t="shared" si="1"/>
        <v>2.938752987782161E-2</v>
      </c>
      <c r="F82" s="79"/>
      <c r="H82" s="1">
        <v>60</v>
      </c>
      <c r="I82" s="75">
        <v>4.4662470122178395E-2</v>
      </c>
      <c r="J82" s="75"/>
      <c r="K82">
        <v>3.8130685687065125E-2</v>
      </c>
      <c r="L82">
        <v>4.3837882578372955E-2</v>
      </c>
      <c r="M82">
        <v>4.532671719789505E-2</v>
      </c>
      <c r="N82">
        <v>4.2845327407121658E-2</v>
      </c>
      <c r="O82">
        <v>4.8138957470655441E-2</v>
      </c>
      <c r="P82">
        <v>4.3920595198869705E-2</v>
      </c>
      <c r="Q82">
        <v>4.243176057934761E-2</v>
      </c>
      <c r="R82">
        <v>4.9048800021409988E-2</v>
      </c>
      <c r="S82">
        <v>4.3176177889108658E-2</v>
      </c>
      <c r="T82">
        <v>4.9627792090177536E-2</v>
      </c>
      <c r="U82">
        <v>4.9769584089517593E-2</v>
      </c>
      <c r="V82">
        <v>4.4323418289422989E-2</v>
      </c>
      <c r="W82">
        <v>4.0636781603097916E-2</v>
      </c>
      <c r="X82">
        <v>4.516129195690155E-2</v>
      </c>
      <c r="Y82">
        <v>3.8709677755832672E-2</v>
      </c>
      <c r="Z82">
        <v>5.0439883023500443E-2</v>
      </c>
      <c r="AA82">
        <v>5.1864266395568848E-2</v>
      </c>
      <c r="AB82">
        <v>4.3820694088935852E-2</v>
      </c>
      <c r="AC82">
        <v>4.3820694088935852E-2</v>
      </c>
      <c r="AD82">
        <v>4.9853373318910599E-2</v>
      </c>
      <c r="AE82">
        <v>4.4155843555927277E-2</v>
      </c>
      <c r="AF82">
        <v>4.3066609650850296E-2</v>
      </c>
      <c r="AG82">
        <v>4.6334311366081238E-2</v>
      </c>
      <c r="AH82">
        <v>4.1474655270576477E-2</v>
      </c>
      <c r="AI82">
        <v>4.3736908584833145E-2</v>
      </c>
      <c r="AJ82">
        <v>4.4407207518815994E-2</v>
      </c>
      <c r="AK82">
        <v>4.7088395804166794E-2</v>
      </c>
      <c r="AL82">
        <v>4.1474655270576477E-2</v>
      </c>
      <c r="AM82">
        <v>4.4909927994012833E-2</v>
      </c>
      <c r="AN82">
        <v>4.4239632785320282E-2</v>
      </c>
      <c r="AO82">
        <v>4.5245077461004257E-2</v>
      </c>
      <c r="AP82">
        <v>4.4490993022918701E-2</v>
      </c>
      <c r="AQ82">
        <v>4.1977375745773315E-2</v>
      </c>
      <c r="AR82">
        <v>4.1809804737567902E-2</v>
      </c>
      <c r="AS82">
        <v>4.516129195690155E-2</v>
      </c>
      <c r="AT82">
        <v>4.1642230004072189E-2</v>
      </c>
      <c r="AU82">
        <v>4.3401759117841721E-2</v>
      </c>
      <c r="AV82">
        <v>4.6082951128482819E-2</v>
      </c>
      <c r="AW82">
        <v>4.3736908584833145E-2</v>
      </c>
      <c r="AX82">
        <v>4.3150398880243301E-2</v>
      </c>
      <c r="AY82">
        <v>5.1948051899671555E-2</v>
      </c>
      <c r="AZ82">
        <v>4.0804356336593628E-2</v>
      </c>
      <c r="BA82">
        <v>4.7255970537662506E-2</v>
      </c>
      <c r="BB82">
        <v>4.9602009356021881E-2</v>
      </c>
      <c r="BC82">
        <v>4.3066609650850296E-2</v>
      </c>
      <c r="BD82">
        <v>4.0636781603097916E-2</v>
      </c>
      <c r="BE82">
        <v>5.4210305213928223E-2</v>
      </c>
      <c r="BF82">
        <v>4.4993717223405838E-2</v>
      </c>
      <c r="BG82">
        <v>4.0050271898508072E-2</v>
      </c>
      <c r="BH82">
        <v>4.9015499651432037E-2</v>
      </c>
      <c r="BI82">
        <v>3.963133692741394E-2</v>
      </c>
      <c r="BJ82">
        <v>4.7339756041765213E-2</v>
      </c>
      <c r="BK82">
        <v>5.3456220775842667E-2</v>
      </c>
      <c r="BL82">
        <v>3.8709677755832672E-2</v>
      </c>
      <c r="BM82">
        <v>3.963133692741394E-2</v>
      </c>
      <c r="BN82">
        <v>4.9602009356021881E-2</v>
      </c>
      <c r="BO82">
        <v>4.0301632136106491E-2</v>
      </c>
      <c r="BP82">
        <v>4.3820694088935852E-2</v>
      </c>
      <c r="BQ82">
        <v>4.3066609650850296E-2</v>
      </c>
      <c r="BR82">
        <v>4.0134061127901077E-2</v>
      </c>
    </row>
    <row r="83" spans="2:84" x14ac:dyDescent="0.25">
      <c r="B83" s="2"/>
      <c r="C83" s="2"/>
      <c r="D83" s="41" t="str" cm="1">
        <f t="array" ref="D83">IF(H83="","",IF(AND(E83&lt;AVERAGE(E82,E84)*($L$19/100),$D$23:D82=""),H83,""))</f>
        <v/>
      </c>
      <c r="E83" s="78">
        <f t="shared" si="1"/>
        <v>3.3945965261537522E-2</v>
      </c>
      <c r="F83" s="79"/>
      <c r="H83" s="1">
        <v>61</v>
      </c>
      <c r="I83" s="75">
        <v>4.0104034738462482E-2</v>
      </c>
      <c r="J83" s="75"/>
      <c r="K83">
        <v>3.8871690630912781E-2</v>
      </c>
      <c r="L83">
        <v>4.0075678378343582E-2</v>
      </c>
      <c r="M83">
        <v>3.7839695811271667E-2</v>
      </c>
      <c r="N83">
        <v>4.0247678756713867E-2</v>
      </c>
      <c r="O83">
        <v>4.0419675409793854E-2</v>
      </c>
      <c r="P83">
        <v>4.0763672441244125E-2</v>
      </c>
      <c r="Q83">
        <v>3.8269694894552231E-2</v>
      </c>
      <c r="R83">
        <v>3.9903681725263596E-2</v>
      </c>
      <c r="S83">
        <v>3.9301685988903046E-2</v>
      </c>
      <c r="T83">
        <v>4.0161680430173874E-2</v>
      </c>
      <c r="U83">
        <v>3.9989680051803589E-2</v>
      </c>
      <c r="V83">
        <v>4.2655657976865768E-2</v>
      </c>
      <c r="W83">
        <v>3.9215687662363052E-2</v>
      </c>
      <c r="X83">
        <v>3.7925697863101959E-2</v>
      </c>
      <c r="Y83">
        <v>4.0419675409793854E-2</v>
      </c>
      <c r="Z83">
        <v>3.9731681346893311E-2</v>
      </c>
      <c r="AA83">
        <v>4.0591675788164139E-2</v>
      </c>
      <c r="AB83">
        <v>4.0161680430173874E-2</v>
      </c>
      <c r="AC83">
        <v>3.6291711032390594E-2</v>
      </c>
      <c r="AD83">
        <v>4.153766855597496E-2</v>
      </c>
      <c r="AE83">
        <v>3.6979705095291138E-2</v>
      </c>
      <c r="AF83">
        <v>3.9473682641983032E-2</v>
      </c>
      <c r="AG83">
        <v>4.2913656681776047E-2</v>
      </c>
      <c r="AH83">
        <v>4.2655657976865768E-2</v>
      </c>
      <c r="AI83">
        <v>3.8011696189641953E-2</v>
      </c>
      <c r="AJ83">
        <v>4.1279669851064682E-2</v>
      </c>
      <c r="AK83">
        <v>4.0505677461624146E-2</v>
      </c>
      <c r="AL83">
        <v>4.1795667260885239E-2</v>
      </c>
      <c r="AM83">
        <v>3.9817679673433304E-2</v>
      </c>
      <c r="AN83">
        <v>3.8183692842721939E-2</v>
      </c>
      <c r="AO83">
        <v>3.8613691926002502E-2</v>
      </c>
      <c r="AP83">
        <v>4.0075678378343582E-2</v>
      </c>
      <c r="AQ83">
        <v>3.9215687662363052E-2</v>
      </c>
      <c r="AR83">
        <v>4.1795667260885239E-2</v>
      </c>
      <c r="AS83">
        <v>4.0161680430173874E-2</v>
      </c>
      <c r="AT83">
        <v>3.9989680051803589E-2</v>
      </c>
      <c r="AU83">
        <v>4.4117648154497147E-2</v>
      </c>
      <c r="AV83">
        <v>3.8011696189641953E-2</v>
      </c>
      <c r="AW83">
        <v>4.2610663920640945E-2</v>
      </c>
      <c r="AX83">
        <v>4.2000696063041687E-2</v>
      </c>
      <c r="AY83">
        <v>4.0606483817100525E-2</v>
      </c>
      <c r="AZ83">
        <v>3.8166608661413193E-2</v>
      </c>
      <c r="BA83">
        <v>4.1390728205442429E-2</v>
      </c>
      <c r="BB83">
        <v>4.1129313409328461E-2</v>
      </c>
      <c r="BC83">
        <v>4.0170792490243912E-2</v>
      </c>
      <c r="BD83">
        <v>3.9037991315126419E-2</v>
      </c>
      <c r="BE83">
        <v>4.1303589940071106E-2</v>
      </c>
      <c r="BF83">
        <v>4.4527709484100342E-2</v>
      </c>
      <c r="BG83">
        <v>3.8515161722898483E-2</v>
      </c>
      <c r="BH83">
        <v>3.8863714784383774E-2</v>
      </c>
      <c r="BI83">
        <v>3.8253746926784515E-2</v>
      </c>
      <c r="BJ83">
        <v>3.9909377694129944E-2</v>
      </c>
      <c r="BK83">
        <v>4.1826419532299042E-2</v>
      </c>
      <c r="BL83">
        <v>3.8166608661413193E-2</v>
      </c>
      <c r="BM83">
        <v>3.9909377694129944E-2</v>
      </c>
      <c r="BN83">
        <v>3.7818055599927902E-2</v>
      </c>
      <c r="BO83">
        <v>4.1565004736185074E-2</v>
      </c>
      <c r="BP83">
        <v>4.2000696063041687E-2</v>
      </c>
      <c r="BQ83">
        <v>4.0693622082471848E-2</v>
      </c>
      <c r="BR83">
        <v>4.0519345551729202E-2</v>
      </c>
      <c r="BS83">
        <v>3.938654437661171E-2</v>
      </c>
    </row>
    <row r="84" spans="2:84" x14ac:dyDescent="0.25">
      <c r="B84" s="2"/>
      <c r="C84" s="2"/>
      <c r="D84" s="41" t="str" cm="1">
        <f t="array" ref="D84">IF(H84="","",IF(AND(E84&lt;AVERAGE(E83,E85)*($L$19/100),$D$23:D83=""),H84,""))</f>
        <v/>
      </c>
      <c r="E84" s="78">
        <f t="shared" si="1"/>
        <v>3.4100372527010987E-2</v>
      </c>
      <c r="F84" s="79"/>
      <c r="H84" s="1">
        <v>62</v>
      </c>
      <c r="I84" s="75">
        <v>3.9949627472989017E-2</v>
      </c>
      <c r="J84" s="75"/>
      <c r="K84">
        <v>3.8057394325733185E-2</v>
      </c>
      <c r="L84">
        <v>3.8498897105455399E-2</v>
      </c>
      <c r="M84">
        <v>3.9028696715831757E-2</v>
      </c>
      <c r="N84">
        <v>3.8410596549510956E-2</v>
      </c>
      <c r="O84">
        <v>3.6467991769313812E-2</v>
      </c>
      <c r="P84">
        <v>4.0883000940084457E-2</v>
      </c>
      <c r="Q84">
        <v>4.070640355348587E-2</v>
      </c>
      <c r="R84">
        <v>4.0883000940084457E-2</v>
      </c>
      <c r="S84">
        <v>3.9028696715831757E-2</v>
      </c>
      <c r="T84">
        <v>4.070640355348587E-2</v>
      </c>
      <c r="U84">
        <v>3.8568232208490372E-2</v>
      </c>
      <c r="V84">
        <v>3.9373602718114853E-2</v>
      </c>
      <c r="W84">
        <v>3.8120806217193604E-2</v>
      </c>
      <c r="X84">
        <v>3.7404920905828476E-2</v>
      </c>
      <c r="Y84">
        <v>3.955257311463356E-2</v>
      </c>
      <c r="Z84">
        <v>4.2147651314735413E-2</v>
      </c>
      <c r="AA84">
        <v>3.749440610408783E-2</v>
      </c>
      <c r="AB84">
        <v>4.2863532900810242E-2</v>
      </c>
      <c r="AC84">
        <v>3.8299776613712311E-2</v>
      </c>
      <c r="AD84">
        <v>4.2863532900810242E-2</v>
      </c>
      <c r="AE84">
        <v>3.6689039319753647E-2</v>
      </c>
      <c r="AF84">
        <v>4.1968680918216705E-2</v>
      </c>
      <c r="AG84">
        <v>4.232662171125412E-2</v>
      </c>
      <c r="AH84">
        <v>3.7315435707569122E-2</v>
      </c>
      <c r="AI84">
        <v>3.7941835820674896E-2</v>
      </c>
      <c r="AJ84">
        <v>3.8926173001527786E-2</v>
      </c>
      <c r="AK84">
        <v>3.9821028709411621E-2</v>
      </c>
      <c r="AL84">
        <v>4.0178969502449036E-2</v>
      </c>
      <c r="AM84">
        <v>4.3042507022619247E-2</v>
      </c>
      <c r="AN84">
        <v>4.1700225323438644E-2</v>
      </c>
      <c r="AO84">
        <v>3.8299776613712311E-2</v>
      </c>
      <c r="AP84">
        <v>4.0357943624258041E-2</v>
      </c>
      <c r="AQ84">
        <v>4.0984340012073517E-2</v>
      </c>
      <c r="AR84">
        <v>4.2774047702550888E-2</v>
      </c>
      <c r="AS84">
        <v>3.8210291415452957E-2</v>
      </c>
      <c r="AT84">
        <v>4.0894854813814163E-2</v>
      </c>
      <c r="AU84">
        <v>3.5883668810129166E-2</v>
      </c>
      <c r="AV84">
        <v>3.9105147123336792E-2</v>
      </c>
      <c r="AW84">
        <v>4.1431766003370285E-2</v>
      </c>
      <c r="AX84">
        <v>4.0626399219036102E-2</v>
      </c>
      <c r="AY84">
        <v>3.7852350622415543E-2</v>
      </c>
      <c r="AZ84">
        <v>3.8568232208490372E-2</v>
      </c>
      <c r="BA84">
        <v>4.1610736399888992E-2</v>
      </c>
      <c r="BB84">
        <v>4.080536961555481E-2</v>
      </c>
      <c r="BC84">
        <v>4.0447428822517395E-2</v>
      </c>
      <c r="BD84">
        <v>4.2863532900810242E-2</v>
      </c>
      <c r="BE84">
        <v>4.0626399219036102E-2</v>
      </c>
      <c r="BF84">
        <v>4.080536961555481E-2</v>
      </c>
      <c r="BG84">
        <v>3.9910513907670975E-2</v>
      </c>
      <c r="BH84">
        <v>3.9821028709411621E-2</v>
      </c>
      <c r="BI84">
        <v>4.2237136512994766E-2</v>
      </c>
      <c r="BJ84">
        <v>4.2058166116476059E-2</v>
      </c>
      <c r="BK84">
        <v>3.9373602718114853E-2</v>
      </c>
      <c r="BL84">
        <v>3.9731543511152267E-2</v>
      </c>
      <c r="BM84">
        <v>3.9731543511152267E-2</v>
      </c>
      <c r="BN84">
        <v>4.3131992220878601E-2</v>
      </c>
      <c r="BO84">
        <v>3.9821028709411621E-2</v>
      </c>
      <c r="BP84">
        <v>3.7941835820674896E-2</v>
      </c>
      <c r="BQ84">
        <v>3.7762861698865891E-2</v>
      </c>
      <c r="BR84">
        <v>4.6890381723642349E-2</v>
      </c>
      <c r="BS84">
        <v>3.8747202605009079E-2</v>
      </c>
      <c r="BT84">
        <v>3.8299776613712311E-2</v>
      </c>
    </row>
    <row r="85" spans="2:84" x14ac:dyDescent="0.25">
      <c r="B85" s="2"/>
      <c r="C85" s="2"/>
      <c r="D85" s="41" t="str" cm="1">
        <f t="array" ref="D85">IF(H85="","",IF(AND(E85&lt;AVERAGE(E84,E86)*($L$19/100),$D$23:D84=""),H85,""))</f>
        <v/>
      </c>
      <c r="E85" s="78">
        <f t="shared" si="1"/>
        <v>2.882337608129254E-3</v>
      </c>
      <c r="F85" s="79"/>
      <c r="H85" s="1">
        <v>63</v>
      </c>
      <c r="I85" s="75">
        <v>7.6932337608129259E-2</v>
      </c>
      <c r="J85" s="75"/>
      <c r="K85">
        <v>6.8578779697418213E-2</v>
      </c>
      <c r="L85">
        <v>8.2827724516391754E-2</v>
      </c>
      <c r="M85">
        <v>8.8435374200344086E-2</v>
      </c>
      <c r="N85">
        <v>7.9794079065322876E-2</v>
      </c>
      <c r="O85">
        <v>7.0785067975521088E-2</v>
      </c>
      <c r="P85">
        <v>7.795550674200058E-2</v>
      </c>
      <c r="Q85">
        <v>6.4809709787368774E-2</v>
      </c>
      <c r="R85">
        <v>7.1704357862472534E-2</v>
      </c>
      <c r="S85">
        <v>7.1520499885082245E-2</v>
      </c>
      <c r="T85">
        <v>7.970215380191803E-2</v>
      </c>
      <c r="U85">
        <v>7.6392717659473419E-2</v>
      </c>
      <c r="V85">
        <v>7.7128149569034576E-2</v>
      </c>
      <c r="W85">
        <v>7.9058647155761719E-2</v>
      </c>
      <c r="X85">
        <v>7.795550674200058E-2</v>
      </c>
      <c r="Y85">
        <v>8.2551941275596619E-2</v>
      </c>
      <c r="Z85">
        <v>8.1632651388645172E-2</v>
      </c>
      <c r="AA85">
        <v>8.2827724516391754E-2</v>
      </c>
      <c r="AB85">
        <v>7.372678816318512E-2</v>
      </c>
      <c r="AC85">
        <v>6.0580987483263016E-2</v>
      </c>
      <c r="AD85">
        <v>8.5493654012680054E-2</v>
      </c>
      <c r="AE85">
        <v>7.6484650373458862E-2</v>
      </c>
      <c r="AF85">
        <v>6.9406144320964813E-2</v>
      </c>
      <c r="AG85">
        <v>7.0601209998130798E-2</v>
      </c>
      <c r="AH85">
        <v>7.0141568779945374E-2</v>
      </c>
      <c r="AI85">
        <v>7.3359072208404541E-2</v>
      </c>
      <c r="AJ85">
        <v>7.3175214231014252E-2</v>
      </c>
      <c r="AK85">
        <v>7.4921861290931702E-2</v>
      </c>
      <c r="AL85">
        <v>7.1244716644287109E-2</v>
      </c>
      <c r="AM85">
        <v>7.8690938651561737E-2</v>
      </c>
      <c r="AN85">
        <v>6.9589994847774506E-2</v>
      </c>
      <c r="AO85">
        <v>8.3195440471172333E-2</v>
      </c>
      <c r="AP85">
        <v>7.6852358877658844E-2</v>
      </c>
      <c r="AQ85">
        <v>6.6556349396705627E-2</v>
      </c>
      <c r="AR85">
        <v>8.6229085922241211E-2</v>
      </c>
      <c r="AS85">
        <v>7.1244716644287109E-2</v>
      </c>
      <c r="AT85">
        <v>7.9610221087932587E-2</v>
      </c>
      <c r="AU85">
        <v>7.0693142712116241E-2</v>
      </c>
      <c r="AV85">
        <v>6.9957710802555084E-2</v>
      </c>
      <c r="AW85">
        <v>7.8507080674171448E-2</v>
      </c>
      <c r="AX85">
        <v>7.0141568779945374E-2</v>
      </c>
      <c r="AY85">
        <v>7.2439789772033691E-2</v>
      </c>
      <c r="AZ85">
        <v>8.4114730358123779E-2</v>
      </c>
      <c r="BA85">
        <v>8.0621436238288879E-2</v>
      </c>
      <c r="BB85">
        <v>7.6484650373458862E-2</v>
      </c>
      <c r="BC85">
        <v>8.7791875004768372E-2</v>
      </c>
      <c r="BD85">
        <v>7.8231289982795715E-2</v>
      </c>
      <c r="BE85">
        <v>7.3359072208404541E-2</v>
      </c>
      <c r="BF85">
        <v>8.7056443095207214E-2</v>
      </c>
      <c r="BG85">
        <v>7.8231289982795715E-2</v>
      </c>
      <c r="BH85">
        <v>7.3618486523628235E-2</v>
      </c>
      <c r="BI85">
        <v>9.3933463096618652E-2</v>
      </c>
      <c r="BJ85">
        <v>7.5016304850578308E-2</v>
      </c>
      <c r="BK85">
        <v>7.3432110249996185E-2</v>
      </c>
      <c r="BL85">
        <v>8.3869166672229767E-2</v>
      </c>
      <c r="BM85">
        <v>8.3589598536491394E-2</v>
      </c>
      <c r="BN85">
        <v>7.2593420743942261E-2</v>
      </c>
      <c r="BO85">
        <v>8.1539466977119446E-2</v>
      </c>
      <c r="BP85">
        <v>8.7410308420658112E-2</v>
      </c>
      <c r="BQ85">
        <v>8.4428295493125916E-2</v>
      </c>
      <c r="BR85">
        <v>8.3589598536491394E-2</v>
      </c>
      <c r="BS85">
        <v>7.2686612606048584E-2</v>
      </c>
      <c r="BT85">
        <v>8.3775974810123444E-2</v>
      </c>
      <c r="BU85">
        <v>6.4858816564083099E-2</v>
      </c>
    </row>
    <row r="86" spans="2:84" x14ac:dyDescent="0.25">
      <c r="B86" s="2"/>
      <c r="C86" s="2"/>
      <c r="D86" s="41" t="str" cm="1">
        <f t="array" ref="D86">IF(H86="","",IF(AND(E86&lt;AVERAGE(E85,E87)*($L$19/100),$D$23:D85=""),H86,""))</f>
        <v/>
      </c>
      <c r="E86" s="78">
        <f t="shared" si="1"/>
        <v>3.3960902485717093E-2</v>
      </c>
      <c r="F86" s="79"/>
      <c r="H86" s="1">
        <v>64</v>
      </c>
      <c r="I86" s="75">
        <v>4.0089097514282912E-2</v>
      </c>
      <c r="J86" s="75"/>
      <c r="K86">
        <v>4.2607463896274567E-2</v>
      </c>
      <c r="L86">
        <v>3.7600379437208176E-2</v>
      </c>
      <c r="M86">
        <v>3.835616260766983E-2</v>
      </c>
      <c r="N86">
        <v>3.835616260766983E-2</v>
      </c>
      <c r="O86">
        <v>4.0340103209018707E-2</v>
      </c>
      <c r="P86">
        <v>3.8828529417514801E-2</v>
      </c>
      <c r="Q86">
        <v>3.7600379437208176E-2</v>
      </c>
      <c r="R86">
        <v>4.0717996656894684E-2</v>
      </c>
      <c r="S86">
        <v>3.7789326161146164E-2</v>
      </c>
      <c r="T86">
        <v>3.9678789675235748E-2</v>
      </c>
      <c r="U86">
        <v>4.2135097086429596E-2</v>
      </c>
      <c r="V86">
        <v>3.7128012627363205E-2</v>
      </c>
      <c r="W86">
        <v>4.062352329492569E-2</v>
      </c>
      <c r="X86">
        <v>3.835616260766983E-2</v>
      </c>
      <c r="Y86">
        <v>3.7789326161146164E-2</v>
      </c>
      <c r="Z86">
        <v>4.2607463896274567E-2</v>
      </c>
      <c r="AA86">
        <v>4.2040623724460602E-2</v>
      </c>
      <c r="AB86">
        <v>3.8828529417514801E-2</v>
      </c>
      <c r="AC86">
        <v>3.9395369589328766E-2</v>
      </c>
      <c r="AD86">
        <v>5.0165329128503799E-2</v>
      </c>
      <c r="AE86">
        <v>4.1851677000522614E-2</v>
      </c>
      <c r="AF86">
        <v>4.0151156485080719E-2</v>
      </c>
      <c r="AG86">
        <v>3.8545109331607819E-2</v>
      </c>
      <c r="AH86">
        <v>4.3079830706119537E-2</v>
      </c>
      <c r="AI86">
        <v>3.9111949503421783E-2</v>
      </c>
      <c r="AJ86">
        <v>4.0717996656894684E-2</v>
      </c>
      <c r="AK86">
        <v>3.8072746247053146E-2</v>
      </c>
      <c r="AL86">
        <v>3.9584316313266754E-2</v>
      </c>
      <c r="AM86">
        <v>3.769485279917717E-2</v>
      </c>
      <c r="AN86">
        <v>4.0717996656894684E-2</v>
      </c>
      <c r="AO86">
        <v>3.687739372253418E-2</v>
      </c>
      <c r="AP86">
        <v>4.0613025426864624E-2</v>
      </c>
      <c r="AQ86">
        <v>4.2720306664705276E-2</v>
      </c>
      <c r="AR86">
        <v>4.1570879518985748E-2</v>
      </c>
      <c r="AS86">
        <v>4.0421456098556519E-2</v>
      </c>
      <c r="AT86">
        <v>4.0038313716650009E-2</v>
      </c>
      <c r="AU86">
        <v>4.444444552063942E-2</v>
      </c>
      <c r="AV86">
        <v>3.8888890296220779E-2</v>
      </c>
      <c r="AW86">
        <v>3.8026820868253708E-2</v>
      </c>
      <c r="AX86">
        <v>4.1475094854831696E-2</v>
      </c>
      <c r="AY86">
        <v>3.850574791431427E-2</v>
      </c>
      <c r="AZ86">
        <v>3.7356320768594742E-2</v>
      </c>
      <c r="BA86">
        <v>3.6781609058380127E-2</v>
      </c>
      <c r="BB86">
        <v>4.128352552652359E-2</v>
      </c>
      <c r="BC86">
        <v>3.9750955998897552E-2</v>
      </c>
      <c r="BD86">
        <v>4.1379310190677643E-2</v>
      </c>
      <c r="BE86">
        <v>3.8314174860715866E-2</v>
      </c>
      <c r="BF86">
        <v>3.9942529052495956E-2</v>
      </c>
      <c r="BG86">
        <v>4.0900383144617081E-2</v>
      </c>
      <c r="BH86">
        <v>4.1475094854831696E-2</v>
      </c>
      <c r="BI86">
        <v>4.1954021900892258E-2</v>
      </c>
      <c r="BJ86">
        <v>3.850574791431427E-2</v>
      </c>
      <c r="BK86">
        <v>4.1570879518985748E-2</v>
      </c>
      <c r="BL86">
        <v>4.2528737336397171E-2</v>
      </c>
      <c r="BM86">
        <v>4.1570879518985748E-2</v>
      </c>
      <c r="BN86">
        <v>4.0708813816308975E-2</v>
      </c>
      <c r="BO86">
        <v>3.6685824394226074E-2</v>
      </c>
      <c r="BP86">
        <v>3.8888890296220779E-2</v>
      </c>
      <c r="BQ86">
        <v>4.0038313716650009E-2</v>
      </c>
      <c r="BR86">
        <v>3.8601532578468323E-2</v>
      </c>
      <c r="BS86">
        <v>4.0900383144617081E-2</v>
      </c>
      <c r="BT86">
        <v>3.9942529052495956E-2</v>
      </c>
      <c r="BU86">
        <v>4.2911875993013382E-2</v>
      </c>
      <c r="BV86">
        <v>3.96551713347435E-2</v>
      </c>
    </row>
    <row r="87" spans="2:84" x14ac:dyDescent="0.25">
      <c r="B87" s="2"/>
      <c r="C87" s="2"/>
      <c r="D87" s="41" t="str" cm="1">
        <f t="array" ref="D87">IF(H87="","",IF(AND(E87&lt;AVERAGE(E86,E88)*($L$19/100),$D$23:D86=""),H87,""))</f>
        <v/>
      </c>
      <c r="E87" s="78">
        <f t="shared" si="1"/>
        <v>3.4077919193873041E-2</v>
      </c>
      <c r="F87" s="79"/>
      <c r="H87" s="1">
        <v>65</v>
      </c>
      <c r="I87" s="75">
        <v>3.9972080806126964E-2</v>
      </c>
      <c r="J87" s="75"/>
      <c r="K87">
        <v>4.1181042790412903E-2</v>
      </c>
      <c r="L87">
        <v>4.030691459774971E-2</v>
      </c>
      <c r="M87">
        <v>3.9627037942409515E-2</v>
      </c>
      <c r="N87">
        <v>3.9724163711071014E-2</v>
      </c>
      <c r="O87">
        <v>3.9724163711071014E-2</v>
      </c>
      <c r="P87">
        <v>3.8170162588357925E-2</v>
      </c>
      <c r="Q87">
        <v>3.8073036819696426E-2</v>
      </c>
      <c r="R87">
        <v>4.2346540838479996E-2</v>
      </c>
      <c r="S87">
        <v>4.4968921691179276E-2</v>
      </c>
      <c r="T87">
        <v>4.6037297695875168E-2</v>
      </c>
      <c r="U87">
        <v>3.8558661937713623E-2</v>
      </c>
      <c r="V87">
        <v>4.2540792375802994E-2</v>
      </c>
      <c r="W87">
        <v>4.3414916843175888E-2</v>
      </c>
      <c r="X87">
        <v>3.758741170167923E-2</v>
      </c>
      <c r="Y87">
        <v>4.0501166135072708E-2</v>
      </c>
      <c r="Z87">
        <v>3.9594206959009171E-2</v>
      </c>
      <c r="AA87">
        <v>3.9200235158205032E-2</v>
      </c>
      <c r="AB87">
        <v>4.2942970991134644E-2</v>
      </c>
      <c r="AC87">
        <v>3.9003249257802963E-2</v>
      </c>
      <c r="AD87">
        <v>4.1170097887516022E-2</v>
      </c>
      <c r="AE87">
        <v>4.156406968832016E-2</v>
      </c>
      <c r="AF87">
        <v>4.2548999190330505E-2</v>
      </c>
      <c r="AG87">
        <v>3.870777040719986E-2</v>
      </c>
      <c r="AH87">
        <v>3.9101742208003998E-2</v>
      </c>
      <c r="AI87">
        <v>4.1859548538923264E-2</v>
      </c>
      <c r="AJ87">
        <v>3.8018319755792618E-2</v>
      </c>
      <c r="AK87">
        <v>4.0382154285907745E-2</v>
      </c>
      <c r="AL87">
        <v>3.8412291556596756E-2</v>
      </c>
      <c r="AM87">
        <v>3.8510784506797791E-2</v>
      </c>
      <c r="AN87">
        <v>4.0874619036912918E-2</v>
      </c>
      <c r="AO87">
        <v>4.048064723610878E-2</v>
      </c>
      <c r="AP87">
        <v>3.9692699909210205E-2</v>
      </c>
      <c r="AQ87">
        <v>3.8806263357400894E-2</v>
      </c>
      <c r="AR87">
        <v>3.8806263357400894E-2</v>
      </c>
      <c r="AS87">
        <v>3.9889689534902573E-2</v>
      </c>
      <c r="AT87">
        <v>3.6343939602375031E-2</v>
      </c>
      <c r="AU87">
        <v>4.3632425367832184E-2</v>
      </c>
      <c r="AV87">
        <v>3.9003249257802963E-2</v>
      </c>
      <c r="AW87">
        <v>4.0185168385505676E-2</v>
      </c>
      <c r="AX87">
        <v>3.9692699909210205E-2</v>
      </c>
      <c r="AY87">
        <v>4.1958041489124298E-2</v>
      </c>
      <c r="AZ87">
        <v>4.2548999190330505E-2</v>
      </c>
      <c r="BA87">
        <v>4.1170097887516022E-2</v>
      </c>
      <c r="BB87">
        <v>3.870777040719986E-2</v>
      </c>
      <c r="BC87">
        <v>4.1170097887516022E-2</v>
      </c>
      <c r="BD87">
        <v>4.2352013289928436E-2</v>
      </c>
      <c r="BE87">
        <v>3.8609277456998825E-2</v>
      </c>
      <c r="BF87">
        <v>3.6146949976682663E-2</v>
      </c>
      <c r="BG87">
        <v>3.8018319755792618E-2</v>
      </c>
      <c r="BH87">
        <v>4.0776126086711884E-2</v>
      </c>
      <c r="BI87">
        <v>3.9495714008808136E-2</v>
      </c>
      <c r="BJ87">
        <v>4.048064723610878E-2</v>
      </c>
      <c r="BK87">
        <v>4.2253520339727402E-2</v>
      </c>
      <c r="BL87">
        <v>3.8313798606395721E-2</v>
      </c>
      <c r="BM87">
        <v>3.6836404353380203E-2</v>
      </c>
      <c r="BN87">
        <v>4.048064723610878E-2</v>
      </c>
      <c r="BO87">
        <v>3.870777040719986E-2</v>
      </c>
      <c r="BP87">
        <v>3.7427362054586411E-2</v>
      </c>
      <c r="BQ87">
        <v>3.7328869104385376E-2</v>
      </c>
      <c r="BR87">
        <v>4.0874619036912918E-2</v>
      </c>
      <c r="BS87">
        <v>4.1268590837717056E-2</v>
      </c>
      <c r="BT87">
        <v>3.8412291556596756E-2</v>
      </c>
      <c r="BU87">
        <v>4.0677633136510849E-2</v>
      </c>
      <c r="BV87">
        <v>3.565448522567749E-2</v>
      </c>
      <c r="BW87">
        <v>3.7328869104385376E-2</v>
      </c>
    </row>
    <row r="88" spans="2:84" x14ac:dyDescent="0.25">
      <c r="B88" s="2"/>
      <c r="C88" s="2"/>
      <c r="D88" s="41" t="str" cm="1">
        <f t="array" ref="D88">IF(H88="","",IF(AND(E88&lt;AVERAGE(E87,E89)*($L$19/100),$D$23:D87=""),H88,""))</f>
        <v/>
      </c>
      <c r="E88" s="78">
        <f t="shared" si="1"/>
        <v>2.9776428126746961E-2</v>
      </c>
      <c r="F88" s="79"/>
      <c r="H88" s="1">
        <v>66</v>
      </c>
      <c r="I88" s="75">
        <v>4.4273571873253044E-2</v>
      </c>
      <c r="J88" s="75"/>
      <c r="K88">
        <v>4.2053740471601486E-2</v>
      </c>
      <c r="L88">
        <v>4.7647587954998016E-2</v>
      </c>
      <c r="M88">
        <v>4.7647587954998016E-2</v>
      </c>
      <c r="N88">
        <v>4.2153630405664444E-2</v>
      </c>
      <c r="O88">
        <v>5.0861194729804993E-2</v>
      </c>
      <c r="P88">
        <v>4.3667681515216827E-2</v>
      </c>
      <c r="Q88">
        <v>4.0628165006637573E-2</v>
      </c>
      <c r="R88">
        <v>4.5491386204957962E-2</v>
      </c>
      <c r="S88">
        <v>4.3870314955711365E-2</v>
      </c>
      <c r="T88">
        <v>4.2958460748195648E-2</v>
      </c>
      <c r="U88">
        <v>5.1266465336084366E-2</v>
      </c>
      <c r="V88">
        <v>3.9412360638380051E-2</v>
      </c>
      <c r="W88">
        <v>4.6605877578258514E-2</v>
      </c>
      <c r="X88">
        <v>4.7922998666763306E-2</v>
      </c>
      <c r="Y88">
        <v>4.0425531566143036E-2</v>
      </c>
      <c r="Z88">
        <v>4.4579535722732544E-2</v>
      </c>
      <c r="AA88">
        <v>4.630192369222641E-2</v>
      </c>
      <c r="AB88">
        <v>4.4478215277194977E-2</v>
      </c>
      <c r="AC88">
        <v>3.8601823151111603E-2</v>
      </c>
      <c r="AD88">
        <v>4.9544073641300201E-2</v>
      </c>
      <c r="AE88">
        <v>4.2046606540679932E-2</v>
      </c>
      <c r="AF88">
        <v>4.5997973531484604E-2</v>
      </c>
      <c r="AG88">
        <v>4.7821681946516037E-2</v>
      </c>
      <c r="AH88">
        <v>3.7183385342359543E-2</v>
      </c>
      <c r="AI88">
        <v>4.5491386204957962E-2</v>
      </c>
      <c r="AJ88">
        <v>5.3495440632104874E-2</v>
      </c>
      <c r="AK88">
        <v>4.6808511018753052E-2</v>
      </c>
      <c r="AL88">
        <v>4.1134752333164215E-2</v>
      </c>
      <c r="AM88">
        <v>5.5217832326889038E-2</v>
      </c>
      <c r="AN88">
        <v>3.9311043918132782E-2</v>
      </c>
      <c r="AO88">
        <v>4.4174265116453171E-2</v>
      </c>
      <c r="AP88">
        <v>4.4579535722732544E-2</v>
      </c>
      <c r="AQ88">
        <v>4.4984802603721619E-2</v>
      </c>
      <c r="AR88">
        <v>4.1843973100185394E-2</v>
      </c>
      <c r="AS88">
        <v>4.6605877578258514E-2</v>
      </c>
      <c r="AT88">
        <v>4.2249239981174469E-2</v>
      </c>
      <c r="AU88">
        <v>4.154001921415329E-2</v>
      </c>
      <c r="AV88">
        <v>5.5420465767383575E-2</v>
      </c>
      <c r="AW88">
        <v>3.9614994078874588E-2</v>
      </c>
      <c r="AX88">
        <v>4.1033435612916946E-2</v>
      </c>
      <c r="AY88">
        <v>5.1570415496826172E-2</v>
      </c>
      <c r="AZ88">
        <v>4.0526848286390305E-2</v>
      </c>
      <c r="BA88">
        <v>4.1843973100185394E-2</v>
      </c>
      <c r="BB88">
        <v>4.1843973100185394E-2</v>
      </c>
      <c r="BC88">
        <v>4.0324214845895767E-2</v>
      </c>
      <c r="BD88">
        <v>3.9412360638380051E-2</v>
      </c>
      <c r="BE88">
        <v>4.4376898556947708E-2</v>
      </c>
      <c r="BF88">
        <v>4.154001921415329E-2</v>
      </c>
      <c r="BG88">
        <v>4.0324214845895767E-2</v>
      </c>
      <c r="BH88">
        <v>4.5390069484710693E-2</v>
      </c>
      <c r="BI88">
        <v>4.0729481726884842E-2</v>
      </c>
      <c r="BJ88">
        <v>4.0425531566143036E-2</v>
      </c>
      <c r="BK88">
        <v>4.3870314955711365E-2</v>
      </c>
      <c r="BL88">
        <v>4.3059777468442917E-2</v>
      </c>
      <c r="BM88">
        <v>4.21479232609272E-2</v>
      </c>
      <c r="BN88">
        <v>4.4984802603721619E-2</v>
      </c>
      <c r="BO88">
        <v>4.2350556701421738E-2</v>
      </c>
      <c r="BP88">
        <v>4.4579535722732544E-2</v>
      </c>
      <c r="BQ88">
        <v>4.4782169163227081E-2</v>
      </c>
      <c r="BR88">
        <v>4.2350556701421738E-2</v>
      </c>
      <c r="BS88">
        <v>3.9918947964906693E-2</v>
      </c>
      <c r="BT88">
        <v>4.4579535722732544E-2</v>
      </c>
      <c r="BU88">
        <v>4.6099290251731873E-2</v>
      </c>
      <c r="BV88">
        <v>4.1337385773658752E-2</v>
      </c>
      <c r="BW88">
        <v>5.3900707513093948E-2</v>
      </c>
      <c r="BX88">
        <v>4.7112461179494858E-2</v>
      </c>
    </row>
    <row r="89" spans="2:84" x14ac:dyDescent="0.25">
      <c r="B89" s="2"/>
      <c r="C89" s="2"/>
      <c r="D89" s="41" t="str" cm="1">
        <f t="array" ref="D89">IF(H89="","",IF(AND(E89&lt;AVERAGE(E88,E90)*($L$19/100),$D$23:D88=""),H89,""))</f>
        <v/>
      </c>
      <c r="E89" s="78">
        <f t="shared" si="1"/>
        <v>3.3670740264654164E-2</v>
      </c>
      <c r="F89" s="79"/>
      <c r="H89" s="1">
        <v>67</v>
      </c>
      <c r="I89" s="75">
        <v>4.037925973534584E-2</v>
      </c>
      <c r="J89" s="75"/>
      <c r="K89">
        <v>3.8994889706373215E-2</v>
      </c>
      <c r="L89">
        <v>3.9203420281410217E-2</v>
      </c>
      <c r="M89">
        <v>3.743092343211174E-2</v>
      </c>
      <c r="N89">
        <v>4.191429540514946E-2</v>
      </c>
      <c r="O89">
        <v>3.8994889706373215E-2</v>
      </c>
      <c r="P89">
        <v>3.9516214281320572E-2</v>
      </c>
      <c r="Q89">
        <v>3.9724741131067276E-2</v>
      </c>
      <c r="R89">
        <v>4.6397663652896881E-2</v>
      </c>
      <c r="S89">
        <v>4.1288707405328751E-2</v>
      </c>
      <c r="T89">
        <v>3.8369305431842804E-2</v>
      </c>
      <c r="U89">
        <v>3.9099156856536865E-2</v>
      </c>
      <c r="V89">
        <v>3.6388281732797623E-2</v>
      </c>
      <c r="W89">
        <v>3.6701075732707977E-2</v>
      </c>
      <c r="X89">
        <v>3.9829004555940628E-2</v>
      </c>
      <c r="Y89">
        <v>4.2331352829933167E-2</v>
      </c>
      <c r="Z89">
        <v>4.0246065706014633E-2</v>
      </c>
      <c r="AA89">
        <v>4.1497237980365753E-2</v>
      </c>
      <c r="AB89">
        <v>4.2122822254896164E-2</v>
      </c>
      <c r="AC89">
        <v>3.8160774856805801E-2</v>
      </c>
      <c r="AD89">
        <v>3.9411947131156921E-2</v>
      </c>
      <c r="AE89">
        <v>3.9411947131156921E-2</v>
      </c>
      <c r="AF89">
        <v>3.5762693732976913E-2</v>
      </c>
      <c r="AG89">
        <v>4.0558855980634689E-2</v>
      </c>
      <c r="AH89">
        <v>3.8056511431932449E-2</v>
      </c>
      <c r="AI89">
        <v>4.3999582529067993E-2</v>
      </c>
      <c r="AJ89">
        <v>4.0871649980545044E-2</v>
      </c>
      <c r="AK89">
        <v>4.4625170528888702E-2</v>
      </c>
      <c r="AL89">
        <v>4.6814721077680588E-2</v>
      </c>
      <c r="AM89">
        <v>3.8473568856716156E-2</v>
      </c>
      <c r="AN89">
        <v>3.9307683706283569E-2</v>
      </c>
      <c r="AO89">
        <v>3.6492545157670975E-2</v>
      </c>
      <c r="AP89">
        <v>3.7222396582365036E-2</v>
      </c>
      <c r="AQ89">
        <v>4.3791055679321289E-2</v>
      </c>
      <c r="AR89">
        <v>3.9099156856536865E-2</v>
      </c>
      <c r="AS89">
        <v>4.3582525104284286E-2</v>
      </c>
      <c r="AT89">
        <v>4.2435616254806519E-2</v>
      </c>
      <c r="AU89">
        <v>4.1184443980455399E-2</v>
      </c>
      <c r="AV89">
        <v>3.7013866007328033E-2</v>
      </c>
      <c r="AW89">
        <v>3.7952248007059097E-2</v>
      </c>
      <c r="AX89">
        <v>3.7639454007148743E-2</v>
      </c>
      <c r="AY89">
        <v>3.6909602582454681E-2</v>
      </c>
      <c r="AZ89">
        <v>4.0871649980545044E-2</v>
      </c>
      <c r="BA89">
        <v>4.0246065706014633E-2</v>
      </c>
      <c r="BB89">
        <v>4.2644146829843521E-2</v>
      </c>
      <c r="BC89">
        <v>3.9829004555940628E-2</v>
      </c>
      <c r="BD89">
        <v>3.8056511431932449E-2</v>
      </c>
      <c r="BE89">
        <v>4.3999582529067993E-2</v>
      </c>
      <c r="BF89">
        <v>3.6909602582454681E-2</v>
      </c>
      <c r="BG89">
        <v>3.9620477706193924E-2</v>
      </c>
      <c r="BH89">
        <v>3.6075487732887268E-2</v>
      </c>
      <c r="BI89">
        <v>4.5355021953582764E-2</v>
      </c>
      <c r="BJ89">
        <v>3.9307683706283569E-2</v>
      </c>
      <c r="BK89">
        <v>4.952559620141983E-2</v>
      </c>
      <c r="BL89">
        <v>4.1288707405328751E-2</v>
      </c>
      <c r="BM89">
        <v>4.2956937104463577E-2</v>
      </c>
      <c r="BN89">
        <v>3.8890626281499863E-2</v>
      </c>
      <c r="BO89">
        <v>3.9203420281410217E-2</v>
      </c>
      <c r="BP89">
        <v>4.2644146829843521E-2</v>
      </c>
      <c r="BQ89">
        <v>4.0558855980634689E-2</v>
      </c>
      <c r="BR89">
        <v>4.191429540514946E-2</v>
      </c>
      <c r="BS89">
        <v>4.1601501405239105E-2</v>
      </c>
      <c r="BT89">
        <v>3.9724741131067276E-2</v>
      </c>
      <c r="BU89">
        <v>3.617975115776062E-2</v>
      </c>
      <c r="BV89">
        <v>4.1705764830112457E-2</v>
      </c>
      <c r="BW89">
        <v>4.231460765004158E-2</v>
      </c>
      <c r="BX89">
        <v>4.4959273189306259E-2</v>
      </c>
      <c r="BY89">
        <v>4.0198877453804016E-2</v>
      </c>
    </row>
    <row r="90" spans="2:84" x14ac:dyDescent="0.25">
      <c r="B90" s="2"/>
      <c r="C90" s="2"/>
      <c r="D90" s="41" t="str" cm="1">
        <f t="array" ref="D90">IF(H90="","",IF(AND(E90&lt;AVERAGE(E89,E91)*($L$19/100),$D$23:D89=""),H90,""))</f>
        <v/>
      </c>
      <c r="E90" s="78">
        <f t="shared" si="1"/>
        <v>3.3638290082619475E-2</v>
      </c>
      <c r="F90" s="79"/>
      <c r="H90" s="1">
        <v>68</v>
      </c>
      <c r="I90" s="75">
        <v>4.041170991738053E-2</v>
      </c>
      <c r="J90" s="75"/>
      <c r="K90">
        <v>3.8428511470556259E-2</v>
      </c>
      <c r="L90">
        <v>4.6157147735357285E-2</v>
      </c>
      <c r="M90">
        <v>3.7999141961336136E-2</v>
      </c>
      <c r="N90">
        <v>3.8535851985216141E-2</v>
      </c>
      <c r="O90">
        <v>3.9287246763706207E-2</v>
      </c>
      <c r="P90">
        <v>4.0253326296806335E-2</v>
      </c>
      <c r="Q90">
        <v>4.1648775339126587E-2</v>
      </c>
      <c r="R90">
        <v>4.2400170117616653E-2</v>
      </c>
      <c r="S90">
        <v>4.0145985782146454E-2</v>
      </c>
      <c r="T90">
        <v>3.8750536739826202E-2</v>
      </c>
      <c r="U90">
        <v>4.10047248005867E-2</v>
      </c>
      <c r="V90">
        <v>3.5315584391355515E-2</v>
      </c>
      <c r="W90">
        <v>3.9931301027536392E-2</v>
      </c>
      <c r="X90">
        <v>4.10047248005867E-2</v>
      </c>
      <c r="Y90">
        <v>3.9716616272926331E-2</v>
      </c>
      <c r="Z90">
        <v>4.2829539626836777E-2</v>
      </c>
      <c r="AA90">
        <v>4.1863460093736649E-2</v>
      </c>
      <c r="AB90">
        <v>4.2614854872226715E-2</v>
      </c>
      <c r="AC90">
        <v>4.0468011051416397E-2</v>
      </c>
      <c r="AD90">
        <v>4.0575355291366577E-2</v>
      </c>
      <c r="AE90">
        <v>3.9716616272926331E-2</v>
      </c>
      <c r="AF90">
        <v>3.7033062428236008E-2</v>
      </c>
      <c r="AG90">
        <v>4.1970804333686829E-2</v>
      </c>
      <c r="AH90">
        <v>3.7677112966775894E-2</v>
      </c>
      <c r="AI90">
        <v>3.7677112966775894E-2</v>
      </c>
      <c r="AJ90">
        <v>3.6603692919015884E-2</v>
      </c>
      <c r="AK90">
        <v>3.8750536739826202E-2</v>
      </c>
      <c r="AL90">
        <v>4.3151568621397018E-2</v>
      </c>
      <c r="AM90">
        <v>3.9823960512876511E-2</v>
      </c>
      <c r="AN90">
        <v>4.0253326296806335E-2</v>
      </c>
      <c r="AO90">
        <v>3.8428511470556259E-2</v>
      </c>
      <c r="AP90">
        <v>4.2829539626836777E-2</v>
      </c>
      <c r="AQ90">
        <v>3.8750536739826202E-2</v>
      </c>
      <c r="AR90">
        <v>4.32589091360569E-2</v>
      </c>
      <c r="AS90">
        <v>3.6711033433675766E-2</v>
      </c>
      <c r="AT90">
        <v>4.207814484834671E-2</v>
      </c>
      <c r="AU90">
        <v>3.6603692919015884E-2</v>
      </c>
      <c r="AV90">
        <v>4.0682695806026459E-2</v>
      </c>
      <c r="AW90">
        <v>4.1648775339126587E-2</v>
      </c>
      <c r="AX90">
        <v>4.0575355291366577E-2</v>
      </c>
      <c r="AY90">
        <v>3.8643196225166321E-2</v>
      </c>
      <c r="AZ90">
        <v>4.0790040045976639E-2</v>
      </c>
      <c r="BA90">
        <v>3.9609275758266449E-2</v>
      </c>
      <c r="BB90">
        <v>4.3044224381446838E-2</v>
      </c>
      <c r="BC90">
        <v>4.0790040045976639E-2</v>
      </c>
      <c r="BD90">
        <v>4.1541434824466705E-2</v>
      </c>
      <c r="BE90">
        <v>3.9501931518316269E-2</v>
      </c>
      <c r="BF90">
        <v>3.9716616272926331E-2</v>
      </c>
      <c r="BG90">
        <v>4.0145985782146454E-2</v>
      </c>
      <c r="BH90">
        <v>3.7891797721385956E-2</v>
      </c>
      <c r="BI90">
        <v>3.9179906249046326E-2</v>
      </c>
      <c r="BJ90">
        <v>4.7123227268457413E-2</v>
      </c>
      <c r="BK90">
        <v>4.0468011051416397E-2</v>
      </c>
      <c r="BL90">
        <v>4.0575355291366577E-2</v>
      </c>
      <c r="BM90">
        <v>4.4761698693037033E-2</v>
      </c>
      <c r="BN90">
        <v>4.2507514357566833E-2</v>
      </c>
      <c r="BO90">
        <v>4.1863460093736649E-2</v>
      </c>
      <c r="BP90">
        <v>3.9501931518316269E-2</v>
      </c>
      <c r="BQ90">
        <v>4.5405752956867218E-2</v>
      </c>
      <c r="BR90">
        <v>3.8857877254486084E-2</v>
      </c>
      <c r="BS90">
        <v>3.488621860742569E-2</v>
      </c>
      <c r="BT90">
        <v>4.2936883866786957E-2</v>
      </c>
      <c r="BU90">
        <v>3.8671024143695831E-2</v>
      </c>
      <c r="BV90">
        <v>4.0740739554166794E-2</v>
      </c>
      <c r="BW90">
        <v>4.1503269225358963E-2</v>
      </c>
      <c r="BX90">
        <v>4.3137256056070328E-2</v>
      </c>
      <c r="BY90">
        <v>3.8344226777553558E-2</v>
      </c>
      <c r="BZ90">
        <v>4.2701523751020432E-2</v>
      </c>
    </row>
    <row r="91" spans="2:84" x14ac:dyDescent="0.25">
      <c r="B91" s="2"/>
      <c r="C91" s="2"/>
      <c r="D91" s="41" t="str" cm="1">
        <f t="array" ref="D91">IF(H91="","",IF(AND(E91&lt;AVERAGE(E90,E92)*($L$19/100),$D$23:D90=""),H91,""))</f>
        <v/>
      </c>
      <c r="E91" s="78">
        <f t="shared" si="1"/>
        <v>2.9954675134714101E-2</v>
      </c>
      <c r="F91" s="79"/>
      <c r="H91" s="1">
        <v>69</v>
      </c>
      <c r="I91" s="75">
        <v>4.4095324865285904E-2</v>
      </c>
      <c r="J91" s="75"/>
      <c r="K91">
        <v>4.4555000960826874E-2</v>
      </c>
      <c r="L91">
        <v>5.0856828689575195E-2</v>
      </c>
      <c r="M91">
        <v>4.7540076076984406E-2</v>
      </c>
      <c r="N91">
        <v>4.1127696633338928E-2</v>
      </c>
      <c r="O91">
        <v>5.5721394717693329E-2</v>
      </c>
      <c r="P91">
        <v>4.3781094253063202E-2</v>
      </c>
      <c r="Q91">
        <v>4.8977334052324295E-2</v>
      </c>
      <c r="R91">
        <v>4.8645660281181335E-2</v>
      </c>
      <c r="S91">
        <v>3.8142621517181396E-2</v>
      </c>
      <c r="T91">
        <v>4.1569929569959641E-2</v>
      </c>
      <c r="U91">
        <v>5.1851850003004074E-2</v>
      </c>
      <c r="V91">
        <v>4.0022112429141998E-2</v>
      </c>
      <c r="W91">
        <v>4.0132671594619751E-2</v>
      </c>
      <c r="X91">
        <v>5.2183527499437332E-2</v>
      </c>
      <c r="Y91">
        <v>4.0685459971427917E-2</v>
      </c>
      <c r="Z91">
        <v>4.19016033411026E-2</v>
      </c>
      <c r="AA91">
        <v>4.5439470559358597E-2</v>
      </c>
      <c r="AB91">
        <v>4.2896628379821777E-2</v>
      </c>
      <c r="AC91">
        <v>4.2896628379821777E-2</v>
      </c>
      <c r="AD91">
        <v>4.6766169369220734E-2</v>
      </c>
      <c r="AE91">
        <v>4.0353786200284958E-2</v>
      </c>
      <c r="AF91">
        <v>4.079601913690567E-2</v>
      </c>
      <c r="AG91">
        <v>4.5771144330501556E-2</v>
      </c>
      <c r="AH91">
        <v>4.0685459971427917E-2</v>
      </c>
      <c r="AI91">
        <v>4.1017137467861176E-2</v>
      </c>
      <c r="AJ91">
        <v>4.6434495598077774E-2</v>
      </c>
      <c r="AK91">
        <v>4.2122717946767807E-2</v>
      </c>
      <c r="AL91">
        <v>4.6655610203742981E-2</v>
      </c>
      <c r="AM91">
        <v>5.4284136742353439E-2</v>
      </c>
      <c r="AN91">
        <v>4.3781094253063202E-2</v>
      </c>
      <c r="AO91">
        <v>4.1127696633338928E-2</v>
      </c>
      <c r="AP91">
        <v>4.1127696633338928E-2</v>
      </c>
      <c r="AQ91">
        <v>4.5218352228403091E-2</v>
      </c>
      <c r="AR91">
        <v>3.7921503186225891E-2</v>
      </c>
      <c r="AS91">
        <v>5.3841900080442429E-2</v>
      </c>
      <c r="AT91">
        <v>4.4776119291782379E-2</v>
      </c>
      <c r="AU91">
        <v>4.2564954608678818E-2</v>
      </c>
      <c r="AV91">
        <v>4.3228302150964737E-2</v>
      </c>
      <c r="AW91">
        <v>4.5992262661457062E-2</v>
      </c>
      <c r="AX91">
        <v>3.8363736122846603E-2</v>
      </c>
      <c r="AY91">
        <v>4.4776119291782379E-2</v>
      </c>
      <c r="AZ91">
        <v>4.0685459971427917E-2</v>
      </c>
      <c r="BA91">
        <v>4.2786069214344025E-2</v>
      </c>
      <c r="BB91">
        <v>5.8595910668373108E-2</v>
      </c>
      <c r="BC91">
        <v>3.8805969059467316E-2</v>
      </c>
      <c r="BD91">
        <v>4.0574904531240463E-2</v>
      </c>
      <c r="BE91">
        <v>4.2343836277723312E-2</v>
      </c>
      <c r="BF91">
        <v>4.2012162506580353E-2</v>
      </c>
      <c r="BG91">
        <v>4.9972359091043472E-2</v>
      </c>
      <c r="BH91">
        <v>4.2343836277723312E-2</v>
      </c>
      <c r="BI91">
        <v>3.969043493270874E-2</v>
      </c>
      <c r="BJ91">
        <v>4.9419566988945007E-2</v>
      </c>
      <c r="BK91">
        <v>4.9640685319900513E-2</v>
      </c>
      <c r="BL91">
        <v>4.1791044175624847E-2</v>
      </c>
      <c r="BM91">
        <v>4.6545051038265228E-2</v>
      </c>
      <c r="BN91">
        <v>4.2896628379821777E-2</v>
      </c>
      <c r="BO91">
        <v>4.3117742985486984E-2</v>
      </c>
      <c r="BP91">
        <v>3.8474295288324356E-2</v>
      </c>
      <c r="BQ91">
        <v>4.7540076076984406E-2</v>
      </c>
      <c r="BR91">
        <v>3.8032062351703644E-2</v>
      </c>
      <c r="BS91">
        <v>4.1017137467861176E-2</v>
      </c>
      <c r="BT91">
        <v>4.3117742985486984E-2</v>
      </c>
      <c r="BU91">
        <v>4.0464345365762711E-2</v>
      </c>
      <c r="BV91">
        <v>3.8916528224945068E-2</v>
      </c>
      <c r="BW91">
        <v>4.3653909116983414E-2</v>
      </c>
      <c r="BX91">
        <v>4.1185051202774048E-2</v>
      </c>
      <c r="BY91">
        <v>4.2643923312425613E-2</v>
      </c>
      <c r="BZ91">
        <v>4.6122770756483078E-2</v>
      </c>
      <c r="CA91">
        <v>4.3653909116983414E-2</v>
      </c>
    </row>
    <row r="92" spans="2:84" x14ac:dyDescent="0.25">
      <c r="B92" s="2"/>
      <c r="C92" s="2"/>
      <c r="D92" s="41" t="str" cm="1">
        <f t="array" ref="D92">IF(H92="","",IF(AND(E92&lt;AVERAGE(E91,E93)*($L$19/100),$D$23:D91=""),H92,""))</f>
        <v/>
      </c>
      <c r="E92" s="78">
        <f t="shared" si="1"/>
        <v>2.2352574455738072E-2</v>
      </c>
      <c r="F92" s="79"/>
      <c r="H92" s="1">
        <v>70</v>
      </c>
      <c r="I92" s="75">
        <v>5.1697425544261932E-2</v>
      </c>
      <c r="J92" s="75"/>
      <c r="K92">
        <v>4.488493874669075E-2</v>
      </c>
      <c r="L92">
        <v>6.5732516348361969E-2</v>
      </c>
      <c r="M92">
        <v>4.5112781226634979E-2</v>
      </c>
      <c r="N92">
        <v>4.9213942140340805E-2</v>
      </c>
      <c r="O92">
        <v>5.0922762602567673E-2</v>
      </c>
      <c r="P92">
        <v>6.1517428606748581E-2</v>
      </c>
      <c r="Q92">
        <v>4.9441784620285034E-2</v>
      </c>
      <c r="R92">
        <v>5.456823855638504E-2</v>
      </c>
      <c r="S92">
        <v>6.174527108669281E-2</v>
      </c>
      <c r="T92">
        <v>5.7530190795660019E-2</v>
      </c>
      <c r="U92">
        <v>4.76190485060215E-2</v>
      </c>
      <c r="V92">
        <v>4.3517883867025375E-2</v>
      </c>
      <c r="W92">
        <v>5.7188425213098526E-2</v>
      </c>
      <c r="X92">
        <v>4.5682389289140701E-2</v>
      </c>
      <c r="Y92">
        <v>4.910002276301384E-2</v>
      </c>
      <c r="Z92">
        <v>5.6163135915994644E-2</v>
      </c>
      <c r="AA92">
        <v>5.2973341196775436E-2</v>
      </c>
      <c r="AB92">
        <v>4.5226704329252243E-2</v>
      </c>
      <c r="AC92">
        <v>4.5682389289140701E-2</v>
      </c>
      <c r="AD92">
        <v>5.3998634219169617E-2</v>
      </c>
      <c r="AE92">
        <v>5.7758033275604248E-2</v>
      </c>
      <c r="AF92">
        <v>4.7960810363292694E-2</v>
      </c>
      <c r="AG92">
        <v>5.7644110172986984E-2</v>
      </c>
      <c r="AH92">
        <v>4.2264752089977264E-2</v>
      </c>
      <c r="AI92">
        <v>5.1036681979894638E-2</v>
      </c>
      <c r="AJ92">
        <v>4.2606517672538757E-2</v>
      </c>
      <c r="AK92">
        <v>6.7099563777446747E-2</v>
      </c>
      <c r="AL92">
        <v>4.9783550202846527E-2</v>
      </c>
      <c r="AM92">
        <v>4.9441784620285034E-2</v>
      </c>
      <c r="AN92">
        <v>6.8466618657112122E-2</v>
      </c>
      <c r="AO92">
        <v>5.3770791739225388E-2</v>
      </c>
      <c r="AP92">
        <v>5.3429026156663895E-2</v>
      </c>
      <c r="AQ92">
        <v>5.4340396076440811E-2</v>
      </c>
      <c r="AR92">
        <v>5.4910004138946533E-2</v>
      </c>
      <c r="AS92">
        <v>4.8758260905742645E-2</v>
      </c>
      <c r="AT92">
        <v>4.9669627100229263E-2</v>
      </c>
      <c r="AU92">
        <v>6.4365461468696594E-2</v>
      </c>
      <c r="AV92">
        <v>4.3062202632427216E-2</v>
      </c>
      <c r="AW92">
        <v>4.6024151146411896E-2</v>
      </c>
      <c r="AX92">
        <v>4.591023176908493E-2</v>
      </c>
      <c r="AY92">
        <v>4.910002276301384E-2</v>
      </c>
      <c r="AZ92">
        <v>4.6479836106300354E-2</v>
      </c>
      <c r="BA92">
        <v>4.5796308666467667E-2</v>
      </c>
      <c r="BB92">
        <v>6.0150377452373505E-2</v>
      </c>
      <c r="BC92">
        <v>4.4543176889419556E-2</v>
      </c>
      <c r="BD92">
        <v>5.160629004240036E-2</v>
      </c>
      <c r="BE92">
        <v>4.76190485060215E-2</v>
      </c>
      <c r="BF92">
        <v>6.0833901166915894E-2</v>
      </c>
      <c r="BG92">
        <v>4.9783550202846527E-2</v>
      </c>
      <c r="BH92">
        <v>5.2745498716831207E-2</v>
      </c>
      <c r="BI92">
        <v>6.3340172171592712E-2</v>
      </c>
      <c r="BJ92">
        <v>4.7163363546133041E-2</v>
      </c>
      <c r="BK92">
        <v>5.9239007532596588E-2</v>
      </c>
      <c r="BL92">
        <v>5.2973341196775436E-2</v>
      </c>
      <c r="BM92">
        <v>4.4315334409475327E-2</v>
      </c>
      <c r="BN92">
        <v>4.636591300368309E-2</v>
      </c>
      <c r="BO92">
        <v>5.058099702000618E-2</v>
      </c>
      <c r="BP92">
        <v>4.8644337803125381E-2</v>
      </c>
      <c r="BQ92">
        <v>4.8758260905742645E-2</v>
      </c>
      <c r="BR92">
        <v>4.5682389289140701E-2</v>
      </c>
      <c r="BS92">
        <v>4.6251993626356125E-2</v>
      </c>
      <c r="BT92">
        <v>5.1036681979894638E-2</v>
      </c>
      <c r="BU92">
        <v>4.8872180283069611E-2</v>
      </c>
      <c r="BV92">
        <v>5.0353154540061951E-2</v>
      </c>
      <c r="BW92">
        <v>5.4682161659002304E-2</v>
      </c>
      <c r="BX92">
        <v>4.8074733465909958E-2</v>
      </c>
      <c r="BY92">
        <v>6.1517428606748581E-2</v>
      </c>
      <c r="BZ92">
        <v>4.8074733465909958E-2</v>
      </c>
      <c r="CA92">
        <v>5.878332257270813E-2</v>
      </c>
      <c r="CB92">
        <v>4.9327865242958069E-2</v>
      </c>
    </row>
    <row r="93" spans="2:84" x14ac:dyDescent="0.25">
      <c r="B93" s="2"/>
      <c r="C93" s="2"/>
      <c r="D93" s="41" t="str" cm="1">
        <f t="array" ref="D93">IF(H93="","",IF(AND(E93&lt;AVERAGE(E92,E94)*($L$19/100),$D$23:D92=""),H93,""))</f>
        <v/>
      </c>
      <c r="E93" s="78">
        <f t="shared" si="1"/>
        <v>3.4226927050654325E-2</v>
      </c>
      <c r="F93" s="79"/>
      <c r="H93" s="1">
        <v>71</v>
      </c>
      <c r="I93" s="75">
        <v>3.9823072949345679E-2</v>
      </c>
      <c r="J93" s="75"/>
      <c r="K93">
        <v>4.4066619127988815E-2</v>
      </c>
      <c r="L93">
        <v>3.9902843534946442E-2</v>
      </c>
      <c r="M93">
        <v>4.1175108402967453E-2</v>
      </c>
      <c r="N93">
        <v>3.9440203458070755E-2</v>
      </c>
      <c r="O93">
        <v>3.8746241480112076E-2</v>
      </c>
      <c r="P93">
        <v>4.0712468326091766E-2</v>
      </c>
      <c r="Q93">
        <v>3.9093222469091415E-2</v>
      </c>
      <c r="R93">
        <v>4.3950960040092468E-2</v>
      </c>
      <c r="S93">
        <v>4.2100392282009125E-2</v>
      </c>
      <c r="T93">
        <v>3.8402818143367767E-2</v>
      </c>
      <c r="U93">
        <v>4.4039931148290634E-2</v>
      </c>
      <c r="V93">
        <v>3.9342336356639862E-2</v>
      </c>
      <c r="W93">
        <v>3.9929535239934921E-2</v>
      </c>
      <c r="X93">
        <v>3.7815619260072708E-2</v>
      </c>
      <c r="Y93">
        <v>4.1573692113161087E-2</v>
      </c>
      <c r="Z93">
        <v>3.8285378366708755E-2</v>
      </c>
      <c r="AA93">
        <v>4.3217852711677551E-2</v>
      </c>
      <c r="AB93">
        <v>3.8755137473344803E-2</v>
      </c>
      <c r="AC93">
        <v>4.2513210326433182E-2</v>
      </c>
      <c r="AD93">
        <v>3.6288902163505554E-2</v>
      </c>
      <c r="AE93">
        <v>3.8990017026662827E-2</v>
      </c>
      <c r="AF93">
        <v>4.2865529656410217E-2</v>
      </c>
      <c r="AG93">
        <v>4.239577054977417E-2</v>
      </c>
      <c r="AH93">
        <v>4.0164414793252945E-2</v>
      </c>
      <c r="AI93">
        <v>4.5566648244857788E-2</v>
      </c>
      <c r="AJ93">
        <v>4.1926011443138123E-2</v>
      </c>
      <c r="AK93">
        <v>3.7463299930095673E-2</v>
      </c>
      <c r="AL93">
        <v>4.2748089879751205E-2</v>
      </c>
      <c r="AM93">
        <v>3.8520257920026779E-2</v>
      </c>
      <c r="AN93">
        <v>3.8402818143367767E-2</v>
      </c>
      <c r="AO93">
        <v>3.9929535239934921E-2</v>
      </c>
      <c r="AP93">
        <v>4.2043451219797134E-2</v>
      </c>
      <c r="AQ93">
        <v>3.7580739706754684E-2</v>
      </c>
      <c r="AR93">
        <v>3.922489657998085E-2</v>
      </c>
      <c r="AS93">
        <v>3.8637697696685791E-2</v>
      </c>
      <c r="AT93">
        <v>4.0046975016593933E-2</v>
      </c>
      <c r="AU93">
        <v>3.8285378366708755E-2</v>
      </c>
      <c r="AV93">
        <v>3.8167938590049744E-2</v>
      </c>
      <c r="AW93">
        <v>3.793305903673172E-2</v>
      </c>
      <c r="AX93">
        <v>3.7698179483413696E-2</v>
      </c>
      <c r="AY93">
        <v>3.6758661270141602E-2</v>
      </c>
      <c r="AZ93">
        <v>3.8637697696685791E-2</v>
      </c>
      <c r="BA93">
        <v>4.0281854569911957E-2</v>
      </c>
      <c r="BB93">
        <v>4.239577054977417E-2</v>
      </c>
      <c r="BC93">
        <v>4.239577054977417E-2</v>
      </c>
      <c r="BD93">
        <v>3.664122149348259E-2</v>
      </c>
      <c r="BE93">
        <v>3.6523781716823578E-2</v>
      </c>
      <c r="BF93">
        <v>3.6993540823459625E-2</v>
      </c>
      <c r="BG93">
        <v>3.9107456803321838E-2</v>
      </c>
      <c r="BH93">
        <v>4.0634173899888992E-2</v>
      </c>
      <c r="BI93">
        <v>3.6876101046800613E-2</v>
      </c>
      <c r="BJ93">
        <v>3.8285378366708755E-2</v>
      </c>
      <c r="BK93">
        <v>3.9342336356639862E-2</v>
      </c>
      <c r="BL93">
        <v>3.793305903673172E-2</v>
      </c>
      <c r="BM93">
        <v>3.6054022610187531E-2</v>
      </c>
      <c r="BN93">
        <v>3.8990017026662827E-2</v>
      </c>
      <c r="BO93">
        <v>4.0634173899888992E-2</v>
      </c>
      <c r="BP93">
        <v>3.6406341940164566E-2</v>
      </c>
      <c r="BQ93">
        <v>4.110393300652504E-2</v>
      </c>
      <c r="BR93">
        <v>3.7228420376777649E-2</v>
      </c>
      <c r="BS93">
        <v>3.922489657998085E-2</v>
      </c>
      <c r="BT93">
        <v>3.8167938590049744E-2</v>
      </c>
      <c r="BU93">
        <v>4.0046975016593933E-2</v>
      </c>
      <c r="BV93">
        <v>3.8872577250003815E-2</v>
      </c>
      <c r="BW93">
        <v>3.7815619260072708E-2</v>
      </c>
      <c r="BX93">
        <v>4.0399294346570969E-2</v>
      </c>
      <c r="BY93">
        <v>4.4157370924949646E-2</v>
      </c>
      <c r="BZ93">
        <v>4.4627130031585693E-2</v>
      </c>
      <c r="CA93">
        <v>4.4039931148290634E-2</v>
      </c>
      <c r="CB93">
        <v>3.8520257920026779E-2</v>
      </c>
      <c r="CC93">
        <v>4.0399294346570969E-2</v>
      </c>
    </row>
    <row r="94" spans="2:84" x14ac:dyDescent="0.25">
      <c r="B94" s="2"/>
      <c r="C94" s="2"/>
      <c r="D94" s="41" t="str" cm="1">
        <f t="array" ref="D94">IF(H94="","",IF(AND(E94&lt;AVERAGE(E93,E95)*($L$19/100),$D$23:D93=""),H94,""))</f>
        <v/>
      </c>
      <c r="E94" s="78">
        <f t="shared" si="1"/>
        <v>2.9729267955323067E-2</v>
      </c>
      <c r="F94" s="79"/>
      <c r="H94" s="1">
        <v>72</v>
      </c>
      <c r="I94" s="75">
        <v>4.4320732044676937E-2</v>
      </c>
      <c r="J94" s="75"/>
      <c r="K94">
        <v>3.9713773876428604E-2</v>
      </c>
      <c r="L94">
        <v>4.8658318817615509E-2</v>
      </c>
      <c r="M94">
        <v>4.4961240142583847E-2</v>
      </c>
      <c r="N94">
        <v>4.5915324240922928E-2</v>
      </c>
      <c r="O94">
        <v>5.3309481590986252E-2</v>
      </c>
      <c r="P94">
        <v>4.0310077369213104E-2</v>
      </c>
      <c r="Q94">
        <v>4.3768633157014847E-2</v>
      </c>
      <c r="R94">
        <v>4.9373883754014969E-2</v>
      </c>
      <c r="S94">
        <v>4.5796062797307968E-2</v>
      </c>
      <c r="T94">
        <v>4.4245675206184387E-2</v>
      </c>
      <c r="U94">
        <v>4.7942753881216049E-2</v>
      </c>
      <c r="V94">
        <v>4.6630889177322388E-2</v>
      </c>
      <c r="W94">
        <v>4.7346450388431549E-2</v>
      </c>
      <c r="X94">
        <v>4.5915324240922928E-2</v>
      </c>
      <c r="Y94">
        <v>4.1383422911167145E-2</v>
      </c>
      <c r="Z94">
        <v>4.2576029896736145E-2</v>
      </c>
      <c r="AA94">
        <v>4.7942753881216049E-2</v>
      </c>
      <c r="AB94">
        <v>4.6034585684537888E-2</v>
      </c>
      <c r="AC94">
        <v>4.3410852551460266E-2</v>
      </c>
      <c r="AD94">
        <v>4.9135360866785049E-2</v>
      </c>
      <c r="AE94">
        <v>4.3530113995075226E-2</v>
      </c>
      <c r="AF94">
        <v>4.4722720980644226E-2</v>
      </c>
      <c r="AG94">
        <v>5.1356587558984756E-2</v>
      </c>
      <c r="AH94">
        <v>4.5663759112358093E-2</v>
      </c>
      <c r="AI94">
        <v>3.7790697067975998E-2</v>
      </c>
      <c r="AJ94">
        <v>4.5542635023593903E-2</v>
      </c>
      <c r="AK94">
        <v>4.8449613153934479E-2</v>
      </c>
      <c r="AL94">
        <v>3.6821704357862473E-2</v>
      </c>
      <c r="AM94">
        <v>5.0872091203927994E-2</v>
      </c>
      <c r="AN94">
        <v>4.6511627733707428E-2</v>
      </c>
      <c r="AO94">
        <v>4.6753875911235809E-2</v>
      </c>
      <c r="AP94">
        <v>4.4573642313480377E-2</v>
      </c>
      <c r="AQ94">
        <v>4.0334302932024002E-2</v>
      </c>
      <c r="AR94">
        <v>4.6996124088764191E-2</v>
      </c>
      <c r="AS94">
        <v>4.6269379556179047E-2</v>
      </c>
      <c r="AT94">
        <v>3.8032945245504379E-2</v>
      </c>
      <c r="AU94">
        <v>4.0576551109552383E-2</v>
      </c>
      <c r="AV94">
        <v>4.2393412441015244E-2</v>
      </c>
      <c r="AW94">
        <v>3.633720800280571E-2</v>
      </c>
      <c r="AX94">
        <v>4.4573642313480377E-2</v>
      </c>
      <c r="AY94">
        <v>4.6753875911235809E-2</v>
      </c>
      <c r="AZ94">
        <v>3.8880813866853714E-2</v>
      </c>
      <c r="BA94">
        <v>4.1303295642137527E-2</v>
      </c>
      <c r="BB94">
        <v>4.5421510934829712E-2</v>
      </c>
      <c r="BC94">
        <v>3.9607558399438858E-2</v>
      </c>
      <c r="BD94">
        <v>4.0576551109552383E-2</v>
      </c>
      <c r="BE94">
        <v>4.3725773692131042E-2</v>
      </c>
      <c r="BF94">
        <v>4.1303295642137527E-2</v>
      </c>
      <c r="BG94">
        <v>4.2030040174722672E-2</v>
      </c>
      <c r="BH94">
        <v>4.505813866853714E-2</v>
      </c>
      <c r="BI94">
        <v>3.8759689778089523E-2</v>
      </c>
      <c r="BJ94">
        <v>4.3120153248310089E-2</v>
      </c>
      <c r="BK94">
        <v>4.0939923375844955E-2</v>
      </c>
      <c r="BL94">
        <v>4.0576551109552383E-2</v>
      </c>
      <c r="BM94">
        <v>4.4573642313480377E-2</v>
      </c>
      <c r="BN94">
        <v>5.1598835736513138E-2</v>
      </c>
      <c r="BO94">
        <v>4.4452518224716187E-2</v>
      </c>
      <c r="BP94">
        <v>4.0818799287080765E-2</v>
      </c>
      <c r="BQ94">
        <v>4.5784883201122284E-2</v>
      </c>
      <c r="BR94">
        <v>4.0455427020788193E-2</v>
      </c>
      <c r="BS94">
        <v>4.3604649603366852E-2</v>
      </c>
      <c r="BT94">
        <v>4.7965116798877716E-2</v>
      </c>
      <c r="BU94">
        <v>3.815406933426857E-2</v>
      </c>
      <c r="BV94">
        <v>4.3483525514602661E-2</v>
      </c>
      <c r="BW94">
        <v>5.3052324801683426E-2</v>
      </c>
      <c r="BX94">
        <v>4.5179262757301331E-2</v>
      </c>
      <c r="BY94">
        <v>4.1182171553373337E-2</v>
      </c>
      <c r="BZ94">
        <v>5.0872091203927994E-2</v>
      </c>
      <c r="CA94">
        <v>4.5906007289886475E-2</v>
      </c>
      <c r="CB94">
        <v>4.324127733707428E-2</v>
      </c>
      <c r="CC94">
        <v>4.9297481775283813E-2</v>
      </c>
      <c r="CD94">
        <v>4.0939923375844955E-2</v>
      </c>
    </row>
    <row r="95" spans="2:84" x14ac:dyDescent="0.25">
      <c r="B95" s="2"/>
      <c r="C95" s="2"/>
      <c r="D95" s="41" t="str" cm="1">
        <f t="array" ref="D95">IF(H95="","",IF(AND(E95&lt;AVERAGE(E94,E96)*($L$19/100),$D$23:D94=""),H95,""))</f>
        <v/>
      </c>
      <c r="E95" s="78">
        <f t="shared" si="1"/>
        <v>3.427198313515481E-2</v>
      </c>
      <c r="F95" s="79"/>
      <c r="H95" s="1">
        <v>73</v>
      </c>
      <c r="I95" s="75">
        <v>3.9778016864845195E-2</v>
      </c>
      <c r="J95" s="75"/>
      <c r="K95">
        <v>3.7401575595140457E-2</v>
      </c>
      <c r="L95">
        <v>3.9739172905683517E-2</v>
      </c>
      <c r="M95">
        <v>3.9616141468286514E-2</v>
      </c>
      <c r="N95">
        <v>4.1830707341432571E-2</v>
      </c>
      <c r="O95">
        <v>4.0477361530065536E-2</v>
      </c>
      <c r="P95">
        <v>4.4783465564250946E-2</v>
      </c>
      <c r="Q95">
        <v>3.9862204343080521E-2</v>
      </c>
      <c r="R95">
        <v>4.2076770216226578E-2</v>
      </c>
      <c r="S95">
        <v>3.6909449845552444E-2</v>
      </c>
      <c r="T95">
        <v>3.6663386970758438E-2</v>
      </c>
      <c r="U95">
        <v>3.9616141468286514E-2</v>
      </c>
      <c r="V95">
        <v>3.752460703253746E-2</v>
      </c>
      <c r="W95">
        <v>4.1830707341432571E-2</v>
      </c>
      <c r="X95">
        <v>3.6663386970758438E-2</v>
      </c>
      <c r="Y95">
        <v>3.9739172905683517E-2</v>
      </c>
      <c r="Z95">
        <v>3.6663386970758438E-2</v>
      </c>
      <c r="AA95">
        <v>3.7155512720346451E-2</v>
      </c>
      <c r="AB95">
        <v>3.6417324095964432E-2</v>
      </c>
      <c r="AC95">
        <v>4.0108267217874527E-2</v>
      </c>
      <c r="AD95">
        <v>3.9862204343080521E-2</v>
      </c>
      <c r="AE95">
        <v>4.0723424404859543E-2</v>
      </c>
      <c r="AF95">
        <v>3.6417324095964432E-2</v>
      </c>
      <c r="AG95">
        <v>3.752460703253746E-2</v>
      </c>
      <c r="AH95">
        <v>4.4906497001647949E-2</v>
      </c>
      <c r="AI95">
        <v>3.9370078593492508E-2</v>
      </c>
      <c r="AJ95">
        <v>3.8016732782125473E-2</v>
      </c>
      <c r="AK95">
        <v>3.9370078593492508E-2</v>
      </c>
      <c r="AL95">
        <v>3.9616141468286514E-2</v>
      </c>
      <c r="AM95">
        <v>3.9000984281301498E-2</v>
      </c>
      <c r="AN95">
        <v>4.0477361530065536E-2</v>
      </c>
      <c r="AO95">
        <v>4.0477361530065536E-2</v>
      </c>
      <c r="AP95">
        <v>3.9124015718698502E-2</v>
      </c>
      <c r="AQ95">
        <v>3.8262795656919479E-2</v>
      </c>
      <c r="AR95">
        <v>3.9000984281301498E-2</v>
      </c>
      <c r="AS95">
        <v>3.6048229783773422E-2</v>
      </c>
      <c r="AT95">
        <v>3.9370078593492508E-2</v>
      </c>
      <c r="AU95">
        <v>4.3184056878089905E-2</v>
      </c>
      <c r="AV95">
        <v>3.8877952843904495E-2</v>
      </c>
      <c r="AW95">
        <v>3.8631889969110489E-2</v>
      </c>
      <c r="AX95">
        <v>4.086989164352417E-2</v>
      </c>
      <c r="AY95">
        <v>3.8245219737291336E-2</v>
      </c>
      <c r="AZ95">
        <v>3.7495311349630356E-2</v>
      </c>
      <c r="BA95">
        <v>4.011998325586319E-2</v>
      </c>
      <c r="BB95">
        <v>3.6870390176773071E-2</v>
      </c>
      <c r="BC95">
        <v>3.8995124399662018E-2</v>
      </c>
      <c r="BD95">
        <v>3.8745157420635223E-2</v>
      </c>
      <c r="BE95">
        <v>3.8745157420635223E-2</v>
      </c>
      <c r="BF95">
        <v>3.849518671631813E-2</v>
      </c>
      <c r="BG95">
        <v>3.6620423197746277E-2</v>
      </c>
      <c r="BH95">
        <v>3.8120236247777939E-2</v>
      </c>
      <c r="BI95">
        <v>3.7870265543460846E-2</v>
      </c>
      <c r="BJ95">
        <v>4.6369202435016632E-2</v>
      </c>
      <c r="BK95">
        <v>4.5369327068328857E-2</v>
      </c>
      <c r="BL95">
        <v>4.4494438916444778E-2</v>
      </c>
      <c r="BM95">
        <v>3.849518671631813E-2</v>
      </c>
      <c r="BN95">
        <v>4.0619920939207077E-2</v>
      </c>
      <c r="BO95">
        <v>4.6494189649820328E-2</v>
      </c>
      <c r="BP95">
        <v>4.011998325586319E-2</v>
      </c>
      <c r="BQ95">
        <v>3.9745032787322998E-2</v>
      </c>
      <c r="BR95">
        <v>3.7620298564434052E-2</v>
      </c>
      <c r="BS95">
        <v>3.8370203226804733E-2</v>
      </c>
      <c r="BT95">
        <v>4.1119858622550964E-2</v>
      </c>
      <c r="BU95">
        <v>3.9245095103979111E-2</v>
      </c>
      <c r="BV95">
        <v>3.9745032787322998E-2</v>
      </c>
      <c r="BW95">
        <v>4.2494688183069229E-2</v>
      </c>
      <c r="BX95">
        <v>4.2369704693555832E-2</v>
      </c>
      <c r="BY95">
        <v>3.649543970823288E-2</v>
      </c>
      <c r="BZ95">
        <v>4.9993749707937241E-2</v>
      </c>
      <c r="CA95">
        <v>3.5495564341545105E-2</v>
      </c>
      <c r="CB95">
        <v>4.1369829326868057E-2</v>
      </c>
      <c r="CC95">
        <v>3.9370078593492508E-2</v>
      </c>
      <c r="CD95">
        <v>4.0369953960180283E-2</v>
      </c>
      <c r="CE95">
        <v>4.3494563549757004E-2</v>
      </c>
    </row>
    <row r="96" spans="2:84" x14ac:dyDescent="0.25">
      <c r="B96" s="2"/>
      <c r="C96" s="2"/>
      <c r="D96" s="41" t="str" cm="1">
        <f t="array" ref="D96">IF(H96="","",IF(AND(E96&lt;AVERAGE(E95,E97)*($L$19/100),$D$23:D95=""),H96,""))</f>
        <v/>
      </c>
      <c r="E96" s="78">
        <f t="shared" si="1"/>
        <v>3.3980972422699672E-2</v>
      </c>
      <c r="F96" s="79"/>
      <c r="H96" s="1">
        <v>74</v>
      </c>
      <c r="I96" s="75">
        <v>4.0069027577300333E-2</v>
      </c>
      <c r="J96" s="75"/>
      <c r="K96">
        <v>4.1650794446468353E-2</v>
      </c>
      <c r="L96">
        <v>3.9238095283508301E-2</v>
      </c>
      <c r="M96">
        <v>4.0761902928352356E-2</v>
      </c>
      <c r="N96">
        <v>3.8349207490682602E-2</v>
      </c>
      <c r="O96">
        <v>3.5428572446107864E-2</v>
      </c>
      <c r="P96">
        <v>3.695238009095192E-2</v>
      </c>
      <c r="Q96">
        <v>3.6444444209337234E-2</v>
      </c>
      <c r="R96">
        <v>3.7206348031759262E-2</v>
      </c>
      <c r="S96">
        <v>3.7968255579471588E-2</v>
      </c>
      <c r="T96">
        <v>4.2793650180101395E-2</v>
      </c>
      <c r="U96">
        <v>4.0634918957948685E-2</v>
      </c>
      <c r="V96">
        <v>4.2158730328083038E-2</v>
      </c>
      <c r="W96">
        <v>3.8349207490682602E-2</v>
      </c>
      <c r="X96">
        <v>3.8730159401893616E-2</v>
      </c>
      <c r="Y96">
        <v>3.6571428179740906E-2</v>
      </c>
      <c r="Z96">
        <v>3.9365079253911972E-2</v>
      </c>
      <c r="AA96">
        <v>4.3936509639024734E-2</v>
      </c>
      <c r="AB96">
        <v>4.3809525668621063E-2</v>
      </c>
      <c r="AC96">
        <v>3.9619047194719315E-2</v>
      </c>
      <c r="AD96">
        <v>4.3428570032119751E-2</v>
      </c>
      <c r="AE96">
        <v>3.9238095283508301E-2</v>
      </c>
      <c r="AF96">
        <v>4.1523810476064682E-2</v>
      </c>
      <c r="AG96">
        <v>3.7841271609067917E-2</v>
      </c>
      <c r="AH96">
        <v>3.7079364061355591E-2</v>
      </c>
      <c r="AI96">
        <v>4.0253967046737671E-2</v>
      </c>
      <c r="AJ96">
        <v>3.9746031165122986E-2</v>
      </c>
      <c r="AK96">
        <v>3.8476191461086273E-2</v>
      </c>
      <c r="AL96">
        <v>3.9873015135526657E-2</v>
      </c>
      <c r="AM96">
        <v>3.9238095283508301E-2</v>
      </c>
      <c r="AN96">
        <v>3.911111131310463E-2</v>
      </c>
      <c r="AO96">
        <v>4.0507934987545013E-2</v>
      </c>
      <c r="AP96">
        <v>4.1269842535257339E-2</v>
      </c>
      <c r="AQ96">
        <v>4.1269842535257339E-2</v>
      </c>
      <c r="AR96">
        <v>3.6825396120548248E-2</v>
      </c>
      <c r="AS96">
        <v>3.8984127342700958E-2</v>
      </c>
      <c r="AT96">
        <v>3.7206348031759262E-2</v>
      </c>
      <c r="AU96">
        <v>4.1777778416872025E-2</v>
      </c>
      <c r="AV96">
        <v>3.6571428179740906E-2</v>
      </c>
      <c r="AW96">
        <v>4.2793650180101395E-2</v>
      </c>
      <c r="AX96">
        <v>4.1523810476064682E-2</v>
      </c>
      <c r="AY96">
        <v>4.2920634150505066E-2</v>
      </c>
      <c r="AZ96">
        <v>4.228571429848671E-2</v>
      </c>
      <c r="BA96">
        <v>3.8476191461086273E-2</v>
      </c>
      <c r="BB96">
        <v>3.9999999105930328E-2</v>
      </c>
      <c r="BC96">
        <v>4.228571429848671E-2</v>
      </c>
      <c r="BD96">
        <v>3.9746031165122986E-2</v>
      </c>
      <c r="BE96">
        <v>3.5301588475704193E-2</v>
      </c>
      <c r="BF96">
        <v>4.1523810476064682E-2</v>
      </c>
      <c r="BG96">
        <v>3.7587299942970276E-2</v>
      </c>
      <c r="BH96">
        <v>3.9238095283508301E-2</v>
      </c>
      <c r="BI96">
        <v>4.1142858564853668E-2</v>
      </c>
      <c r="BJ96">
        <v>4.1142858564853668E-2</v>
      </c>
      <c r="BK96">
        <v>4.4952381402254105E-2</v>
      </c>
      <c r="BL96">
        <v>3.5809524357318878E-2</v>
      </c>
      <c r="BM96">
        <v>4.0761902928352356E-2</v>
      </c>
      <c r="BN96">
        <v>3.6571428179740906E-2</v>
      </c>
      <c r="BO96">
        <v>4.0380951017141342E-2</v>
      </c>
      <c r="BP96">
        <v>4.0253967046737671E-2</v>
      </c>
      <c r="BQ96">
        <v>3.6825396120548248E-2</v>
      </c>
      <c r="BR96">
        <v>3.7587299942970276E-2</v>
      </c>
      <c r="BS96">
        <v>4.8645161092281342E-2</v>
      </c>
      <c r="BT96">
        <v>4.4258065521717072E-2</v>
      </c>
      <c r="BU96">
        <v>3.6129031330347061E-2</v>
      </c>
      <c r="BV96">
        <v>4.2709678411483765E-2</v>
      </c>
      <c r="BW96">
        <v>4.1032258421182632E-2</v>
      </c>
      <c r="BX96">
        <v>4.1806451976299286E-2</v>
      </c>
      <c r="BY96">
        <v>4.2580645531415939E-2</v>
      </c>
      <c r="BZ96">
        <v>3.9999999105930328E-2</v>
      </c>
      <c r="CA96">
        <v>3.5483870655298233E-2</v>
      </c>
      <c r="CB96">
        <v>4.1032258421182632E-2</v>
      </c>
      <c r="CC96">
        <v>4.3225806206464767E-2</v>
      </c>
      <c r="CD96">
        <v>4.5032259076833725E-2</v>
      </c>
      <c r="CE96">
        <v>4.2580645531415939E-2</v>
      </c>
      <c r="CF96">
        <v>4.1290324181318283E-2</v>
      </c>
    </row>
    <row r="97" spans="2:100" x14ac:dyDescent="0.25">
      <c r="B97" s="2"/>
      <c r="C97" s="2"/>
      <c r="D97" s="41" t="str" cm="1">
        <f t="array" ref="D97">IF(H97="","",IF(AND(E97&lt;AVERAGE(E96,E98)*($L$19/100),$D$23:D96=""),H97,""))</f>
        <v/>
      </c>
      <c r="E97" s="78">
        <f t="shared" si="1"/>
        <v>2.9542906620105114E-2</v>
      </c>
      <c r="F97" s="79"/>
      <c r="H97" s="1">
        <v>75</v>
      </c>
      <c r="I97" s="75">
        <v>4.4507093379894891E-2</v>
      </c>
      <c r="J97" s="75"/>
      <c r="K97">
        <v>4.3612904846668243E-2</v>
      </c>
      <c r="L97">
        <v>4.8000000417232513E-2</v>
      </c>
      <c r="M97">
        <v>4.1290324181318283E-2</v>
      </c>
      <c r="N97">
        <v>4.2064517736434937E-2</v>
      </c>
      <c r="O97">
        <v>5.0451613962650299E-2</v>
      </c>
      <c r="P97">
        <v>4.0258064866065979E-2</v>
      </c>
      <c r="Q97">
        <v>3.9483871310949326E-2</v>
      </c>
      <c r="R97">
        <v>4.3612904846668243E-2</v>
      </c>
      <c r="S97">
        <v>3.93548384308815E-2</v>
      </c>
      <c r="T97">
        <v>4.0645159780979156E-2</v>
      </c>
      <c r="U97">
        <v>5.2976660430431366E-2</v>
      </c>
      <c r="V97">
        <v>4.2879622429609299E-2</v>
      </c>
      <c r="W97">
        <v>4.4322054833173752E-2</v>
      </c>
      <c r="X97">
        <v>4.7206923365592957E-2</v>
      </c>
      <c r="Y97">
        <v>4.471544548869133E-2</v>
      </c>
      <c r="Z97">
        <v>4.5371100306510925E-2</v>
      </c>
      <c r="AA97">
        <v>4.2223971337080002E-2</v>
      </c>
      <c r="AB97">
        <v>3.9863623678684235E-2</v>
      </c>
      <c r="AC97">
        <v>3.6323104053735733E-2</v>
      </c>
      <c r="AD97">
        <v>4.4584315270185471E-2</v>
      </c>
      <c r="AE97">
        <v>4.6289011836051941E-2</v>
      </c>
      <c r="AF97">
        <v>3.881458193063736E-2</v>
      </c>
      <c r="AG97">
        <v>4.6682402491569519E-2</v>
      </c>
      <c r="AH97">
        <v>3.9339102804660797E-2</v>
      </c>
      <c r="AI97">
        <v>4.6944662928581238E-2</v>
      </c>
      <c r="AJ97">
        <v>5.1271963864564896E-2</v>
      </c>
      <c r="AK97">
        <v>4.0388144552707672E-2</v>
      </c>
      <c r="AL97">
        <v>4.3141882866621017E-2</v>
      </c>
      <c r="AM97">
        <v>4.4322054833173752E-2</v>
      </c>
      <c r="AN97">
        <v>4.2486231774091721E-2</v>
      </c>
      <c r="AO97">
        <v>4.1830580681562424E-2</v>
      </c>
      <c r="AP97">
        <v>5.2714396268129349E-2</v>
      </c>
      <c r="AQ97">
        <v>4.5371100306510925E-2</v>
      </c>
      <c r="AR97">
        <v>4.5371100306510925E-2</v>
      </c>
      <c r="AS97">
        <v>5.0222922116518021E-2</v>
      </c>
      <c r="AT97">
        <v>3.8158930838108063E-2</v>
      </c>
      <c r="AU97">
        <v>4.5633360743522644E-2</v>
      </c>
      <c r="AV97">
        <v>5.1009703427553177E-2</v>
      </c>
      <c r="AW97">
        <v>4.5371100306510925E-2</v>
      </c>
      <c r="AX97">
        <v>4.2223971337080002E-2</v>
      </c>
      <c r="AY97">
        <v>4.4059794396162033E-2</v>
      </c>
      <c r="AZ97">
        <v>4.4584315270185471E-2</v>
      </c>
      <c r="BA97">
        <v>4.1961710900068283E-2</v>
      </c>
      <c r="BB97">
        <v>4.0125884115695953E-2</v>
      </c>
      <c r="BC97">
        <v>4.3273013085126877E-2</v>
      </c>
      <c r="BD97">
        <v>4.4453185051679611E-2</v>
      </c>
      <c r="BE97">
        <v>4.5371100306510925E-2</v>
      </c>
      <c r="BF97">
        <v>4.4190924614667892E-2</v>
      </c>
      <c r="BG97">
        <v>4.6682402491569519E-2</v>
      </c>
      <c r="BH97">
        <v>5.0091791898012161E-2</v>
      </c>
      <c r="BI97">
        <v>4.1437190026044846E-2</v>
      </c>
      <c r="BJ97">
        <v>4.2355101555585861E-2</v>
      </c>
      <c r="BK97">
        <v>5.0222922116518021E-2</v>
      </c>
      <c r="BL97">
        <v>4.1174929589033127E-2</v>
      </c>
      <c r="BM97">
        <v>3.881458193063736E-2</v>
      </c>
      <c r="BN97">
        <v>5.035405233502388E-2</v>
      </c>
      <c r="BO97">
        <v>4.5895621180534363E-2</v>
      </c>
      <c r="BP97">
        <v>4.3797533959150314E-2</v>
      </c>
      <c r="BQ97">
        <v>4.9567271023988724E-2</v>
      </c>
      <c r="BR97">
        <v>4.3141882866621017E-2</v>
      </c>
      <c r="BS97">
        <v>4.2879622429609299E-2</v>
      </c>
      <c r="BT97">
        <v>5.625491589307785E-2</v>
      </c>
      <c r="BU97">
        <v>3.9601363241672516E-2</v>
      </c>
      <c r="BV97">
        <v>4.1961710900068283E-2</v>
      </c>
      <c r="BW97">
        <v>5.5468134582042694E-2</v>
      </c>
      <c r="BX97">
        <v>4.3797533959150314E-2</v>
      </c>
      <c r="BY97">
        <v>4.3141882866621017E-2</v>
      </c>
      <c r="BZ97">
        <v>5.5599264800548553E-2</v>
      </c>
      <c r="CA97">
        <v>3.9601363241672516E-2</v>
      </c>
      <c r="CB97">
        <v>4.1174929589033127E-2</v>
      </c>
      <c r="CC97">
        <v>4.5239970088005066E-2</v>
      </c>
      <c r="CD97">
        <v>4.0650404989719391E-2</v>
      </c>
      <c r="CE97">
        <v>4.2223971337080002E-2</v>
      </c>
      <c r="CF97">
        <v>5.1271963864564896E-2</v>
      </c>
      <c r="CG97">
        <v>4.078153520822525E-2</v>
      </c>
    </row>
    <row r="98" spans="2:100" x14ac:dyDescent="0.25">
      <c r="B98" s="2"/>
      <c r="C98" s="2"/>
      <c r="D98" s="41" t="str" cm="1">
        <f t="array" ref="D98">IF(H98="","",IF(AND(E98&lt;AVERAGE(E97,E99)*($L$19/100),$D$23:D97=""),H98,""))</f>
        <v/>
      </c>
      <c r="E98" s="78">
        <f t="shared" si="1"/>
        <v>3.44086433651416E-2</v>
      </c>
      <c r="F98" s="79"/>
      <c r="H98" s="1">
        <v>76</v>
      </c>
      <c r="I98" s="75">
        <v>3.9641356634858405E-2</v>
      </c>
      <c r="J98" s="75"/>
      <c r="K98">
        <v>3.905104473233223E-2</v>
      </c>
      <c r="L98">
        <v>3.7451684474945068E-2</v>
      </c>
      <c r="M98">
        <v>3.7851527333259583E-2</v>
      </c>
      <c r="N98">
        <v>3.7984807044267654E-2</v>
      </c>
      <c r="O98">
        <v>3.385312482714653E-2</v>
      </c>
      <c r="P98">
        <v>3.6518726497888565E-2</v>
      </c>
      <c r="Q98">
        <v>4.1450086981058121E-2</v>
      </c>
      <c r="R98">
        <v>3.6252167075872421E-2</v>
      </c>
      <c r="S98">
        <v>3.9584167301654816E-2</v>
      </c>
      <c r="T98">
        <v>3.7185125052928925E-2</v>
      </c>
      <c r="U98">
        <v>4.0650404989719391E-2</v>
      </c>
      <c r="V98">
        <v>4.0650404989719391E-2</v>
      </c>
      <c r="W98">
        <v>4.0117286145687103E-2</v>
      </c>
      <c r="X98">
        <v>3.6652006208896637E-2</v>
      </c>
      <c r="Y98">
        <v>3.9450887590646744E-2</v>
      </c>
      <c r="Z98">
        <v>3.9717447012662888E-2</v>
      </c>
      <c r="AA98">
        <v>4.2249765247106552E-2</v>
      </c>
      <c r="AB98">
        <v>4.1849926114082336E-2</v>
      </c>
      <c r="AC98">
        <v>4.0250565856695175E-2</v>
      </c>
      <c r="AD98">
        <v>4.0250565856695175E-2</v>
      </c>
      <c r="AE98">
        <v>4.1450086981058121E-2</v>
      </c>
      <c r="AF98">
        <v>3.7718247622251511E-2</v>
      </c>
      <c r="AG98">
        <v>3.838464617729187E-2</v>
      </c>
      <c r="AH98">
        <v>4.0517125278711319E-2</v>
      </c>
      <c r="AI98">
        <v>3.9584167301654816E-2</v>
      </c>
      <c r="AJ98">
        <v>3.6518726497888565E-2</v>
      </c>
      <c r="AK98">
        <v>3.7984807044267654E-2</v>
      </c>
      <c r="AL98">
        <v>4.1183527559041977E-2</v>
      </c>
      <c r="AM98">
        <v>3.9184324443340302E-2</v>
      </c>
      <c r="AN98">
        <v>3.8651205599308014E-2</v>
      </c>
      <c r="AO98">
        <v>3.6518726497888565E-2</v>
      </c>
      <c r="AP98">
        <v>4.2649608105421066E-2</v>
      </c>
      <c r="AQ98">
        <v>3.8784485310316086E-2</v>
      </c>
      <c r="AR98">
        <v>3.9184324443340302E-2</v>
      </c>
      <c r="AS98">
        <v>3.8784485310316086E-2</v>
      </c>
      <c r="AT98">
        <v>4.1716646403074265E-2</v>
      </c>
      <c r="AU98">
        <v>3.6518726497888565E-2</v>
      </c>
      <c r="AV98">
        <v>3.8784485310316086E-2</v>
      </c>
      <c r="AW98">
        <v>3.9831999689340591E-2</v>
      </c>
      <c r="AX98">
        <v>4.2541660368442535E-2</v>
      </c>
      <c r="AY98">
        <v>3.8341689854860306E-2</v>
      </c>
      <c r="AZ98">
        <v>4.4980354607105255E-2</v>
      </c>
      <c r="BA98">
        <v>4.15932796895504E-2</v>
      </c>
      <c r="BB98">
        <v>4.1322313249111176E-2</v>
      </c>
      <c r="BC98">
        <v>3.8070723414421082E-2</v>
      </c>
      <c r="BD98">
        <v>3.8477171212434769E-2</v>
      </c>
      <c r="BE98">
        <v>4.1999727487564087E-2</v>
      </c>
      <c r="BF98">
        <v>3.7664271891117096E-2</v>
      </c>
      <c r="BG98">
        <v>4.2406179010868073E-2</v>
      </c>
      <c r="BH98">
        <v>3.8883619010448456E-2</v>
      </c>
      <c r="BI98">
        <v>4.1051346808671951E-2</v>
      </c>
      <c r="BJ98">
        <v>3.7393305450677872E-2</v>
      </c>
      <c r="BK98">
        <v>4.5522287487983704E-2</v>
      </c>
      <c r="BL98">
        <v>3.9831999689340591E-2</v>
      </c>
      <c r="BM98">
        <v>3.8070723414421082E-2</v>
      </c>
      <c r="BN98">
        <v>3.8748137652873993E-2</v>
      </c>
      <c r="BO98">
        <v>4.1186831891536713E-2</v>
      </c>
      <c r="BP98">
        <v>4.3219074606895447E-2</v>
      </c>
      <c r="BQ98">
        <v>3.9425551891326904E-2</v>
      </c>
      <c r="BR98">
        <v>3.915458545088768E-2</v>
      </c>
      <c r="BS98">
        <v>3.9019104093313217E-2</v>
      </c>
      <c r="BT98">
        <v>4.0238451212644577E-2</v>
      </c>
      <c r="BU98">
        <v>4.15932796895504E-2</v>
      </c>
      <c r="BV98">
        <v>3.9425551891326904E-2</v>
      </c>
      <c r="BW98">
        <v>4.0915865451097488E-2</v>
      </c>
      <c r="BX98">
        <v>4.0509417653083801E-2</v>
      </c>
      <c r="BY98">
        <v>4.0238451212644577E-2</v>
      </c>
      <c r="BZ98">
        <v>3.6986857652664185E-2</v>
      </c>
      <c r="CA98">
        <v>4.1186831891536713E-2</v>
      </c>
      <c r="CB98">
        <v>3.9290070533752441E-2</v>
      </c>
      <c r="CC98">
        <v>4.4167455285787582E-2</v>
      </c>
      <c r="CD98">
        <v>3.9019104093313217E-2</v>
      </c>
      <c r="CE98">
        <v>3.6173958331346512E-2</v>
      </c>
      <c r="CF98">
        <v>3.8883619010448456E-2</v>
      </c>
      <c r="CG98">
        <v>3.7528790533542633E-2</v>
      </c>
      <c r="CH98">
        <v>4.4709388166666031E-2</v>
      </c>
    </row>
    <row r="99" spans="2:100" x14ac:dyDescent="0.25">
      <c r="B99" s="2"/>
      <c r="C99" s="2"/>
      <c r="D99" s="41" t="str" cm="1">
        <f t="array" ref="D99">IF(H99="","",IF(AND(E99&lt;AVERAGE(E98,E100)*($L$19/100),$D$23:D98=""),H99,""))</f>
        <v/>
      </c>
      <c r="E99" s="78">
        <f t="shared" si="1"/>
        <v>2.2276006967680798E-2</v>
      </c>
      <c r="F99" s="79"/>
      <c r="H99" s="1">
        <v>77</v>
      </c>
      <c r="I99" s="75">
        <v>5.1773993032319207E-2</v>
      </c>
      <c r="J99" s="75"/>
      <c r="K99">
        <v>4.4628098607063293E-2</v>
      </c>
      <c r="L99">
        <v>5.1652893424034119E-2</v>
      </c>
      <c r="M99">
        <v>5.7438015937805176E-2</v>
      </c>
      <c r="N99">
        <v>4.3939393013715744E-2</v>
      </c>
      <c r="O99">
        <v>4.8898071050643921E-2</v>
      </c>
      <c r="P99">
        <v>4.9173552542924881E-2</v>
      </c>
      <c r="Q99">
        <v>5.1515150815248489E-2</v>
      </c>
      <c r="R99">
        <v>5.3994491696357727E-2</v>
      </c>
      <c r="S99">
        <v>7.2038568556308746E-2</v>
      </c>
      <c r="T99">
        <v>5.2754819393157959E-2</v>
      </c>
      <c r="U99">
        <v>4.5316804200410843E-2</v>
      </c>
      <c r="V99">
        <v>4.4628098607063293E-2</v>
      </c>
      <c r="W99">
        <v>5.9917356818914413E-2</v>
      </c>
      <c r="X99">
        <v>4.7245178371667862E-2</v>
      </c>
      <c r="Y99">
        <v>4.6831954270601273E-2</v>
      </c>
      <c r="Z99">
        <v>8.4435261785984039E-2</v>
      </c>
      <c r="AA99">
        <v>4.986225813627243E-2</v>
      </c>
      <c r="AB99">
        <v>5.0413224846124649E-2</v>
      </c>
      <c r="AC99">
        <v>4.6694215387105942E-2</v>
      </c>
      <c r="AD99">
        <v>6.2672175467014313E-2</v>
      </c>
      <c r="AE99">
        <v>5.0413224846124649E-2</v>
      </c>
      <c r="AF99">
        <v>4.4628098607063293E-2</v>
      </c>
      <c r="AG99">
        <v>5.4269973188638687E-2</v>
      </c>
      <c r="AH99">
        <v>4.4628098607063293E-2</v>
      </c>
      <c r="AI99">
        <v>5.5785123258829117E-2</v>
      </c>
      <c r="AJ99">
        <v>4.5316804200410843E-2</v>
      </c>
      <c r="AK99">
        <v>4.9173552542924881E-2</v>
      </c>
      <c r="AL99">
        <v>4.5730028301477432E-2</v>
      </c>
      <c r="AM99">
        <v>4.97245192527771E-2</v>
      </c>
      <c r="AN99">
        <v>6.432507187128067E-2</v>
      </c>
      <c r="AO99">
        <v>4.2286500334739685E-2</v>
      </c>
      <c r="AP99">
        <v>5.2066117525100708E-2</v>
      </c>
      <c r="AQ99">
        <v>4.4490359723567963E-2</v>
      </c>
      <c r="AR99">
        <v>5.3994491696357727E-2</v>
      </c>
      <c r="AS99">
        <v>5.3994491696357727E-2</v>
      </c>
      <c r="AT99">
        <v>5.2066117525100708E-2</v>
      </c>
      <c r="AU99">
        <v>5.8264464139938354E-2</v>
      </c>
      <c r="AV99">
        <v>5.1239669322967529E-2</v>
      </c>
      <c r="AW99">
        <v>5.0413224846124649E-2</v>
      </c>
      <c r="AX99">
        <v>4.6280991286039352E-2</v>
      </c>
      <c r="AY99">
        <v>4.8484846949577332E-2</v>
      </c>
      <c r="AZ99">
        <v>5.4269973188638687E-2</v>
      </c>
      <c r="BA99">
        <v>4.9449034035205841E-2</v>
      </c>
      <c r="BB99">
        <v>6.2947660684585571E-2</v>
      </c>
      <c r="BC99">
        <v>4.3388430029153824E-2</v>
      </c>
      <c r="BD99">
        <v>5.4683197289705276E-2</v>
      </c>
      <c r="BE99">
        <v>5.1790632307529449E-2</v>
      </c>
      <c r="BF99">
        <v>5.1790632307529449E-2</v>
      </c>
      <c r="BG99">
        <v>5.5234160274267197E-2</v>
      </c>
      <c r="BH99">
        <v>4.5316804200410843E-2</v>
      </c>
      <c r="BI99">
        <v>5.8539945632219315E-2</v>
      </c>
      <c r="BJ99">
        <v>5.4958678781986237E-2</v>
      </c>
      <c r="BK99">
        <v>5.3443524986505508E-2</v>
      </c>
      <c r="BL99">
        <v>5.1377411931753159E-2</v>
      </c>
      <c r="BM99">
        <v>5.3168043494224548E-2</v>
      </c>
      <c r="BN99">
        <v>4.986225813627243E-2</v>
      </c>
      <c r="BO99">
        <v>5.0137739628553391E-2</v>
      </c>
      <c r="BP99">
        <v>6.6253446042537689E-2</v>
      </c>
      <c r="BQ99">
        <v>5.1377411931753159E-2</v>
      </c>
      <c r="BR99">
        <v>4.5867767184972763E-2</v>
      </c>
      <c r="BS99">
        <v>4.6831954270601273E-2</v>
      </c>
      <c r="BT99">
        <v>4.8898071050643921E-2</v>
      </c>
      <c r="BU99">
        <v>5.4407712072134018E-2</v>
      </c>
      <c r="BV99">
        <v>4.7107439488172531E-2</v>
      </c>
      <c r="BW99">
        <v>5.4820936173200607E-2</v>
      </c>
      <c r="BX99">
        <v>5.1239669322967529E-2</v>
      </c>
      <c r="BY99">
        <v>4.6143252402544022E-2</v>
      </c>
      <c r="BZ99">
        <v>4.8484846949577332E-2</v>
      </c>
      <c r="CA99">
        <v>5.3443524986505508E-2</v>
      </c>
      <c r="CB99">
        <v>4.5592285692691803E-2</v>
      </c>
      <c r="CC99">
        <v>5.6582633405923843E-2</v>
      </c>
      <c r="CD99">
        <v>5.5322129279375076E-2</v>
      </c>
      <c r="CE99">
        <v>4.3697480112314224E-2</v>
      </c>
      <c r="CF99">
        <v>5.1120448857545853E-2</v>
      </c>
      <c r="CG99">
        <v>4.3837536126375198E-2</v>
      </c>
      <c r="CH99">
        <v>6.9467790424823761E-2</v>
      </c>
      <c r="CI99">
        <v>4.4117648154497147E-2</v>
      </c>
    </row>
    <row r="100" spans="2:100" x14ac:dyDescent="0.25">
      <c r="B100" s="2"/>
      <c r="C100" s="2"/>
      <c r="D100" s="41" t="str" cm="1">
        <f t="array" ref="D100">IF(H100="","",IF(AND(E100&lt;AVERAGE(E99,E101)*($L$19/100),$D$23:D99=""),H100,""))</f>
        <v/>
      </c>
      <c r="E100" s="78">
        <f t="shared" si="1"/>
        <v>2.9903379641970006E-2</v>
      </c>
      <c r="F100" s="79"/>
      <c r="H100" s="1">
        <v>78</v>
      </c>
      <c r="I100" s="75">
        <v>4.4146620358029999E-2</v>
      </c>
      <c r="J100" s="75"/>
      <c r="K100">
        <v>4.355742409825325E-2</v>
      </c>
      <c r="L100">
        <v>4.7478992491960526E-2</v>
      </c>
      <c r="M100">
        <v>3.7535015493631363E-2</v>
      </c>
      <c r="N100">
        <v>4.0056023746728897E-2</v>
      </c>
      <c r="O100">
        <v>4.7759104520082474E-2</v>
      </c>
      <c r="P100">
        <v>3.7675071507692337E-2</v>
      </c>
      <c r="Q100">
        <v>4.0336135774850845E-2</v>
      </c>
      <c r="R100">
        <v>4.3697480112314224E-2</v>
      </c>
      <c r="S100">
        <v>3.8655463606119156E-2</v>
      </c>
      <c r="T100">
        <v>4.3417368084192276E-2</v>
      </c>
      <c r="U100">
        <v>4.4257704168558121E-2</v>
      </c>
      <c r="V100">
        <v>4.2296919971704483E-2</v>
      </c>
      <c r="W100">
        <v>3.8935575634241104E-2</v>
      </c>
      <c r="X100">
        <v>5.2661065012216568E-2</v>
      </c>
      <c r="Y100">
        <v>3.8235295563936234E-2</v>
      </c>
      <c r="Z100">
        <v>3.9775911718606949E-2</v>
      </c>
      <c r="AA100">
        <v>5.0840336829423904E-2</v>
      </c>
      <c r="AB100">
        <v>4.2717088013887405E-2</v>
      </c>
      <c r="AC100">
        <v>4.7198880463838577E-2</v>
      </c>
      <c r="AD100">
        <v>4.4677872210741043E-2</v>
      </c>
      <c r="AE100">
        <v>4.117647185921669E-2</v>
      </c>
      <c r="AF100">
        <v>4.5098040252923965E-2</v>
      </c>
      <c r="AG100">
        <v>4.6778712421655655E-2</v>
      </c>
      <c r="AH100">
        <v>4.0756303817033768E-2</v>
      </c>
      <c r="AI100">
        <v>4.4397760182619095E-2</v>
      </c>
      <c r="AJ100">
        <v>5.6582633405923843E-2</v>
      </c>
      <c r="AK100">
        <v>4.1736695915460587E-2</v>
      </c>
      <c r="AL100">
        <v>4.5518208295106888E-2</v>
      </c>
      <c r="AM100">
        <v>4.3156243860721588E-2</v>
      </c>
      <c r="AN100">
        <v>4.0307648479938507E-2</v>
      </c>
      <c r="AO100">
        <v>3.9168208837509155E-2</v>
      </c>
      <c r="AP100">
        <v>4.8711009323596954E-2</v>
      </c>
      <c r="AQ100">
        <v>3.931063786149025E-2</v>
      </c>
      <c r="AR100">
        <v>4.5150265097618103E-2</v>
      </c>
      <c r="AS100">
        <v>4.7998860478401184E-2</v>
      </c>
      <c r="AT100">
        <v>3.7459053099155426E-2</v>
      </c>
      <c r="AU100">
        <v>4.500783234834671E-2</v>
      </c>
      <c r="AV100">
        <v>5.1132317632436752E-2</v>
      </c>
      <c r="AW100">
        <v>4.2301665991544724E-2</v>
      </c>
      <c r="AX100">
        <v>4.5862413942813873E-2</v>
      </c>
      <c r="AY100">
        <v>4.9992877990007401E-2</v>
      </c>
      <c r="AZ100">
        <v>4.500783234834671E-2</v>
      </c>
      <c r="BA100">
        <v>3.8883350789546967E-2</v>
      </c>
      <c r="BB100">
        <v>5.1417175680398941E-2</v>
      </c>
      <c r="BC100">
        <v>4.3868396431207657E-2</v>
      </c>
      <c r="BD100">
        <v>4.1447088122367859E-2</v>
      </c>
      <c r="BE100">
        <v>4.6716991811990738E-2</v>
      </c>
      <c r="BF100">
        <v>3.8171201944351196E-2</v>
      </c>
      <c r="BG100">
        <v>4.2871385812759399E-2</v>
      </c>
      <c r="BH100">
        <v>4.8995871096849442E-2</v>
      </c>
      <c r="BI100">
        <v>4.6289701014757156E-2</v>
      </c>
      <c r="BJ100">
        <v>3.8028769195079803E-2</v>
      </c>
      <c r="BK100">
        <v>4.6004842966794968E-2</v>
      </c>
      <c r="BL100">
        <v>4.1447088122367859E-2</v>
      </c>
      <c r="BM100">
        <v>4.7571569681167603E-2</v>
      </c>
      <c r="BN100">
        <v>4.7714002430438995E-2</v>
      </c>
      <c r="BO100">
        <v>4.3156243860721588E-2</v>
      </c>
      <c r="BP100">
        <v>4.0022790431976318E-2</v>
      </c>
      <c r="BQ100">
        <v>5.2556615322828293E-2</v>
      </c>
      <c r="BR100">
        <v>4.7429140657186508E-2</v>
      </c>
      <c r="BS100">
        <v>4.0022790431976318E-2</v>
      </c>
      <c r="BT100">
        <v>4.3013814836740494E-2</v>
      </c>
      <c r="BU100">
        <v>4.5577552169561386E-2</v>
      </c>
      <c r="BV100">
        <v>4.1447088122367859E-2</v>
      </c>
      <c r="BW100">
        <v>4.6289701014757156E-2</v>
      </c>
      <c r="BX100">
        <v>3.8313630968332291E-2</v>
      </c>
      <c r="BY100">
        <v>4.9138300120830536E-2</v>
      </c>
      <c r="BZ100">
        <v>4.6574562788009644E-2</v>
      </c>
      <c r="CA100">
        <v>4.4722974300384521E-2</v>
      </c>
      <c r="CB100">
        <v>4.6147271990776062E-2</v>
      </c>
      <c r="CC100">
        <v>5.0989888608455658E-2</v>
      </c>
      <c r="CD100">
        <v>4.1731946170330048E-2</v>
      </c>
      <c r="CE100">
        <v>3.9595499634742737E-2</v>
      </c>
      <c r="CF100">
        <v>4.4722974300384521E-2</v>
      </c>
      <c r="CG100">
        <v>4.6147271990776062E-2</v>
      </c>
      <c r="CH100">
        <v>4.1447088122367859E-2</v>
      </c>
      <c r="CI100">
        <v>4.8711009323596954E-2</v>
      </c>
      <c r="CJ100">
        <v>4.1874375194311142E-2</v>
      </c>
    </row>
    <row r="101" spans="2:100" x14ac:dyDescent="0.25">
      <c r="B101" s="2"/>
      <c r="C101" s="2"/>
      <c r="D101" s="41" t="str" cm="1">
        <f t="array" ref="D101">IF(H101="","",IF(AND(E101&lt;AVERAGE(E100,E102)*($L$19/100),$D$23:D100=""),H101,""))</f>
        <v/>
      </c>
      <c r="E101" s="78">
        <f t="shared" si="1"/>
        <v>3.4321197076462494E-2</v>
      </c>
      <c r="F101" s="79"/>
      <c r="H101" s="1">
        <v>79</v>
      </c>
      <c r="I101" s="75">
        <v>3.9728802923537511E-2</v>
      </c>
      <c r="J101" s="75"/>
      <c r="K101">
        <v>4.3604228645563126E-2</v>
      </c>
      <c r="L101">
        <v>4.0272343903779984E-2</v>
      </c>
      <c r="M101">
        <v>3.9113428443670273E-2</v>
      </c>
      <c r="N101">
        <v>3.4332897514104843E-2</v>
      </c>
      <c r="O101">
        <v>3.6361001431941986E-2</v>
      </c>
      <c r="P101">
        <v>4.2445313185453415E-2</v>
      </c>
      <c r="Q101">
        <v>4.1141532361507416E-2</v>
      </c>
      <c r="R101">
        <v>3.8244239985942841E-2</v>
      </c>
      <c r="S101">
        <v>3.8533970713615417E-2</v>
      </c>
      <c r="T101">
        <v>4.2879905551671982E-2</v>
      </c>
      <c r="U101">
        <v>4.3893959373235703E-2</v>
      </c>
      <c r="V101">
        <v>3.5926409065723419E-2</v>
      </c>
      <c r="W101">
        <v>3.954802080988884E-2</v>
      </c>
      <c r="X101">
        <v>3.4043170511722565E-2</v>
      </c>
      <c r="Y101">
        <v>4.056207463145256E-2</v>
      </c>
      <c r="Z101">
        <v>3.9982616901397705E-2</v>
      </c>
      <c r="AA101">
        <v>4.2445313185453415E-2</v>
      </c>
      <c r="AB101">
        <v>3.7375055253505707E-2</v>
      </c>
      <c r="AC101">
        <v>4.0272343903779984E-2</v>
      </c>
      <c r="AD101">
        <v>3.5491816699504852E-2</v>
      </c>
      <c r="AE101">
        <v>4.1286397725343704E-2</v>
      </c>
      <c r="AF101">
        <v>4.5197740197181702E-2</v>
      </c>
      <c r="AG101">
        <v>4.4473417103290558E-2</v>
      </c>
      <c r="AH101">
        <v>4.7370709478855133E-2</v>
      </c>
      <c r="AI101">
        <v>3.7519920617341995E-2</v>
      </c>
      <c r="AJ101">
        <v>4.2010720819234848E-2</v>
      </c>
      <c r="AK101">
        <v>4.186585545539856E-2</v>
      </c>
      <c r="AL101">
        <v>3.6795597523450851E-2</v>
      </c>
      <c r="AM101">
        <v>3.5636678338050842E-2</v>
      </c>
      <c r="AN101">
        <v>3.9692886173725128E-2</v>
      </c>
      <c r="AO101">
        <v>3.8678836077451706E-2</v>
      </c>
      <c r="AP101">
        <v>4.186585545539856E-2</v>
      </c>
      <c r="AQ101">
        <v>4.3169636279344559E-2</v>
      </c>
      <c r="AR101">
        <v>3.7375055253505707E-2</v>
      </c>
      <c r="AS101">
        <v>3.9837751537561417E-2</v>
      </c>
      <c r="AT101">
        <v>4.3314501643180847E-2</v>
      </c>
      <c r="AU101">
        <v>4.0417209267616272E-2</v>
      </c>
      <c r="AV101">
        <v>4.2010720819234848E-2</v>
      </c>
      <c r="AW101">
        <v>3.7664782255887985E-2</v>
      </c>
      <c r="AX101">
        <v>3.8823701441287994E-2</v>
      </c>
      <c r="AY101">
        <v>3.7230189889669418E-2</v>
      </c>
      <c r="AZ101">
        <v>3.8678836077451706E-2</v>
      </c>
      <c r="BA101">
        <v>3.9982616901397705E-2</v>
      </c>
      <c r="BB101">
        <v>4.1431263089179993E-2</v>
      </c>
      <c r="BC101">
        <v>4.0851805359125137E-2</v>
      </c>
      <c r="BD101">
        <v>3.6361001431941986E-2</v>
      </c>
      <c r="BE101">
        <v>4.3604228645563126E-2</v>
      </c>
      <c r="BF101">
        <v>3.6940459161996841E-2</v>
      </c>
      <c r="BG101">
        <v>3.7375055253505707E-2</v>
      </c>
      <c r="BH101">
        <v>3.7230189889669418E-2</v>
      </c>
      <c r="BI101">
        <v>4.1286397725343704E-2</v>
      </c>
      <c r="BJ101">
        <v>3.8244239985942841E-2</v>
      </c>
      <c r="BK101">
        <v>3.7809647619724274E-2</v>
      </c>
      <c r="BL101">
        <v>3.8244239985942841E-2</v>
      </c>
      <c r="BM101">
        <v>3.6650732159614563E-2</v>
      </c>
      <c r="BN101">
        <v>4.3169636279344559E-2</v>
      </c>
      <c r="BO101">
        <v>4.1431263089179993E-2</v>
      </c>
      <c r="BP101">
        <v>4.0127482265233994E-2</v>
      </c>
      <c r="BQ101">
        <v>3.5781543701887131E-2</v>
      </c>
      <c r="BR101">
        <v>3.9258293807506561E-2</v>
      </c>
      <c r="BS101">
        <v>3.9982616901397705E-2</v>
      </c>
      <c r="BT101">
        <v>3.8968563079833984E-2</v>
      </c>
      <c r="BU101">
        <v>4.4038824737071991E-2</v>
      </c>
      <c r="BV101">
        <v>3.940315917134285E-2</v>
      </c>
      <c r="BW101">
        <v>4.186585545539856E-2</v>
      </c>
      <c r="BX101">
        <v>3.6940459161996841E-2</v>
      </c>
      <c r="BY101">
        <v>3.9113428443670273E-2</v>
      </c>
      <c r="BZ101">
        <v>3.8314174860715866E-2</v>
      </c>
      <c r="CA101">
        <v>4.6419098973274231E-2</v>
      </c>
      <c r="CB101">
        <v>3.860890120267868E-2</v>
      </c>
      <c r="CC101">
        <v>3.7135276943445206E-2</v>
      </c>
      <c r="CD101">
        <v>3.8903623819351196E-2</v>
      </c>
      <c r="CE101">
        <v>3.860890120267868E-2</v>
      </c>
      <c r="CF101">
        <v>4.465075209736824E-2</v>
      </c>
      <c r="CG101">
        <v>3.8756262511014938E-2</v>
      </c>
      <c r="CH101">
        <v>3.5072207450866699E-2</v>
      </c>
      <c r="CI101">
        <v>3.9640437811613083E-2</v>
      </c>
      <c r="CJ101">
        <v>3.625110536813736E-2</v>
      </c>
      <c r="CK101">
        <v>4.2735043913125992E-2</v>
      </c>
    </row>
    <row r="102" spans="2:100" x14ac:dyDescent="0.25">
      <c r="B102" s="2"/>
      <c r="C102" s="2"/>
      <c r="D102" s="41" t="str" cm="1">
        <f t="array" ref="D102">IF(H102="","",IF(AND(E102&lt;AVERAGE(E101,E103)*($L$19/100),$D$23:D101=""),H102,""))</f>
        <v/>
      </c>
      <c r="E102" s="78">
        <f t="shared" si="1"/>
        <v>3.3557297724485402E-2</v>
      </c>
      <c r="F102" s="79"/>
      <c r="H102" s="1">
        <v>80</v>
      </c>
      <c r="I102" s="75">
        <v>4.0492702275514603E-2</v>
      </c>
      <c r="J102" s="75"/>
      <c r="K102">
        <v>4.0671970695257187E-2</v>
      </c>
      <c r="L102">
        <v>3.8461539894342422E-2</v>
      </c>
      <c r="M102">
        <v>4.1114058345556259E-2</v>
      </c>
      <c r="N102">
        <v>4.4945474714040756E-2</v>
      </c>
      <c r="O102">
        <v>3.7577364593744278E-2</v>
      </c>
      <c r="P102">
        <v>3.9935160428285599E-2</v>
      </c>
      <c r="Q102">
        <v>3.6987915635108948E-2</v>
      </c>
      <c r="R102">
        <v>4.1556145995855331E-2</v>
      </c>
      <c r="S102">
        <v>3.5366930067539215E-2</v>
      </c>
      <c r="T102">
        <v>4.3913941830396652E-2</v>
      </c>
      <c r="U102">
        <v>4.0082521736621857E-2</v>
      </c>
      <c r="V102">
        <v>4.0524609386920929E-2</v>
      </c>
      <c r="W102">
        <v>4.2440317571163177E-2</v>
      </c>
      <c r="X102">
        <v>3.7135276943445206E-2</v>
      </c>
      <c r="Y102">
        <v>4.3177127838134766E-2</v>
      </c>
      <c r="Z102">
        <v>4.4503390789031982E-2</v>
      </c>
      <c r="AA102">
        <v>4.4208664447069168E-2</v>
      </c>
      <c r="AB102">
        <v>4.229295626282692E-2</v>
      </c>
      <c r="AC102">
        <v>3.801945224404335E-2</v>
      </c>
      <c r="AD102">
        <v>4.4798113405704498E-2</v>
      </c>
      <c r="AE102">
        <v>3.9787799119949341E-2</v>
      </c>
      <c r="AF102">
        <v>3.6398466676473618E-2</v>
      </c>
      <c r="AG102">
        <v>3.8166813552379608E-2</v>
      </c>
      <c r="AH102">
        <v>3.4040670841932297E-2</v>
      </c>
      <c r="AI102">
        <v>4.1408780962228775E-2</v>
      </c>
      <c r="AJ102">
        <v>4.1556145995855331E-2</v>
      </c>
      <c r="AK102">
        <v>4.1261419653892517E-2</v>
      </c>
      <c r="AL102">
        <v>4.0082521736621857E-2</v>
      </c>
      <c r="AM102">
        <v>3.9787799119949341E-2</v>
      </c>
      <c r="AN102">
        <v>4.6124372631311417E-2</v>
      </c>
      <c r="AO102">
        <v>3.8980510085821152E-2</v>
      </c>
      <c r="AP102">
        <v>4.1079461574554443E-2</v>
      </c>
      <c r="AQ102">
        <v>3.8680661469697952E-2</v>
      </c>
      <c r="AR102">
        <v>3.6581709980964661E-2</v>
      </c>
      <c r="AS102">
        <v>3.7931036204099655E-2</v>
      </c>
      <c r="AT102">
        <v>4.3928034603595734E-2</v>
      </c>
      <c r="AU102">
        <v>3.8830585777759552E-2</v>
      </c>
      <c r="AV102">
        <v>4.5127436518669128E-2</v>
      </c>
      <c r="AW102">
        <v>4.1229385882616043E-2</v>
      </c>
      <c r="AX102">
        <v>4.3178409337997437E-2</v>
      </c>
      <c r="AY102">
        <v>3.703148290514946E-2</v>
      </c>
      <c r="AZ102">
        <v>4.227885976433754E-2</v>
      </c>
      <c r="BA102">
        <v>4.5427285134792328E-2</v>
      </c>
      <c r="BB102">
        <v>3.3883057534694672E-2</v>
      </c>
      <c r="BC102">
        <v>4.4377811253070831E-2</v>
      </c>
      <c r="BD102">
        <v>3.6281857639551163E-2</v>
      </c>
      <c r="BE102">
        <v>4.0029983967542648E-2</v>
      </c>
      <c r="BF102">
        <v>4.1079461574554443E-2</v>
      </c>
      <c r="BG102">
        <v>3.8680661469697952E-2</v>
      </c>
      <c r="BH102">
        <v>4.227885976433754E-2</v>
      </c>
      <c r="BI102">
        <v>4.0179908275604248E-2</v>
      </c>
      <c r="BJ102">
        <v>3.9880059659481049E-2</v>
      </c>
      <c r="BK102">
        <v>4.4677659869194031E-2</v>
      </c>
      <c r="BL102">
        <v>4.4377811253070831E-2</v>
      </c>
      <c r="BM102">
        <v>3.418290987610817E-2</v>
      </c>
      <c r="BN102">
        <v>3.7481259554624557E-2</v>
      </c>
      <c r="BO102">
        <v>3.7631183862686157E-2</v>
      </c>
      <c r="BP102">
        <v>3.8680661469697952E-2</v>
      </c>
      <c r="BQ102">
        <v>4.2578712105751038E-2</v>
      </c>
      <c r="BR102">
        <v>3.8530733436346054E-2</v>
      </c>
      <c r="BS102">
        <v>3.5682160407304764E-2</v>
      </c>
      <c r="BT102">
        <v>3.9130434393882751E-2</v>
      </c>
      <c r="BU102">
        <v>3.9580211043357849E-2</v>
      </c>
      <c r="BV102">
        <v>4.0779609233140945E-2</v>
      </c>
      <c r="BW102">
        <v>4.0929533541202545E-2</v>
      </c>
      <c r="BX102">
        <v>4.182908684015274E-2</v>
      </c>
      <c r="BY102">
        <v>4.4077962636947632E-2</v>
      </c>
      <c r="BZ102">
        <v>3.9880059659481049E-2</v>
      </c>
      <c r="CA102">
        <v>3.688155859708786E-2</v>
      </c>
      <c r="CB102">
        <v>4.5427285134792328E-2</v>
      </c>
      <c r="CC102">
        <v>4.0929533541202545E-2</v>
      </c>
      <c r="CD102">
        <v>4.9175411462783813E-2</v>
      </c>
      <c r="CE102">
        <v>3.688155859708786E-2</v>
      </c>
      <c r="CF102">
        <v>4.0629684925079346E-2</v>
      </c>
      <c r="CG102">
        <v>4.4077962636947632E-2</v>
      </c>
      <c r="CH102">
        <v>4.2578712105751038E-2</v>
      </c>
      <c r="CI102">
        <v>4.182908684015274E-2</v>
      </c>
      <c r="CJ102">
        <v>3.7631183862686157E-2</v>
      </c>
      <c r="CK102">
        <v>4.212893545627594E-2</v>
      </c>
      <c r="CL102">
        <v>3.7931036204099655E-2</v>
      </c>
    </row>
    <row r="103" spans="2:100" x14ac:dyDescent="0.25">
      <c r="B103" s="2"/>
      <c r="C103" s="2"/>
      <c r="D103" s="41" t="str" cm="1">
        <f t="array" ref="D103">IF(H103="","",IF(AND(E103&lt;AVERAGE(E102,E104)*($L$19/100),$D$23:D102=""),H103,""))</f>
        <v/>
      </c>
      <c r="E103" s="78">
        <f t="shared" si="1"/>
        <v>2.9843047024879929E-2</v>
      </c>
      <c r="F103" s="79"/>
      <c r="H103" s="1">
        <v>81</v>
      </c>
      <c r="I103" s="75">
        <v>4.4206952975120076E-2</v>
      </c>
      <c r="J103" s="75"/>
      <c r="K103">
        <v>3.9359267801046371E-2</v>
      </c>
      <c r="L103">
        <v>6.2395118176937103E-2</v>
      </c>
      <c r="M103">
        <v>3.9664376527070999E-2</v>
      </c>
      <c r="N103">
        <v>4.8054918646812439E-2</v>
      </c>
      <c r="O103">
        <v>5.1563691347837448E-2</v>
      </c>
      <c r="P103">
        <v>4.0579710155725479E-2</v>
      </c>
      <c r="Q103">
        <v>3.4477498382329941E-2</v>
      </c>
      <c r="R103">
        <v>4.2868040502071381E-2</v>
      </c>
      <c r="S103">
        <v>3.9816934615373611E-2</v>
      </c>
      <c r="T103">
        <v>3.9054155349731445E-2</v>
      </c>
      <c r="U103">
        <v>4.4851258397102356E-2</v>
      </c>
      <c r="V103">
        <v>4.3630816042423248E-2</v>
      </c>
      <c r="W103">
        <v>4.2868040502071381E-2</v>
      </c>
      <c r="X103">
        <v>4.2410373687744141E-2</v>
      </c>
      <c r="Y103">
        <v>4.7749809920787811E-2</v>
      </c>
      <c r="Z103">
        <v>3.9511822164058685E-2</v>
      </c>
      <c r="AA103">
        <v>5.4614797234535217E-2</v>
      </c>
      <c r="AB103">
        <v>3.8901600986719131E-2</v>
      </c>
      <c r="AC103">
        <v>3.7376049906015396E-2</v>
      </c>
      <c r="AD103">
        <v>4.8970252275466919E-2</v>
      </c>
      <c r="AE103">
        <v>3.9969488978385925E-2</v>
      </c>
      <c r="AF103">
        <v>4.637681320309639E-2</v>
      </c>
      <c r="AG103">
        <v>4.546147957444191E-2</v>
      </c>
      <c r="AH103">
        <v>4.5308925211429596E-2</v>
      </c>
      <c r="AI103">
        <v>4.5308925211429596E-2</v>
      </c>
      <c r="AJ103">
        <v>4.5308925211429596E-2</v>
      </c>
      <c r="AK103">
        <v>3.8749046623706818E-2</v>
      </c>
      <c r="AL103">
        <v>4.4241037219762802E-2</v>
      </c>
      <c r="AM103">
        <v>5.5072464048862457E-2</v>
      </c>
      <c r="AN103">
        <v>4.7444697469472885E-2</v>
      </c>
      <c r="AO103">
        <v>4.3478261679410934E-2</v>
      </c>
      <c r="AP103">
        <v>5.5682685226202011E-2</v>
      </c>
      <c r="AQ103">
        <v>3.9664376527070999E-2</v>
      </c>
      <c r="AR103">
        <v>4.5308925211429596E-2</v>
      </c>
      <c r="AS103">
        <v>4.591914638876915E-2</v>
      </c>
      <c r="AT103">
        <v>4.7902364283800125E-2</v>
      </c>
      <c r="AU103">
        <v>4.1189931333065033E-2</v>
      </c>
      <c r="AV103">
        <v>5.0190694630146027E-2</v>
      </c>
      <c r="AW103">
        <v>4.0122043341398239E-2</v>
      </c>
      <c r="AX103">
        <v>4.2257819324731827E-2</v>
      </c>
      <c r="AY103">
        <v>5.0648361444473267E-2</v>
      </c>
      <c r="AZ103">
        <v>4.1952706873416901E-2</v>
      </c>
      <c r="BA103">
        <v>4.0427155792713165E-2</v>
      </c>
      <c r="BB103">
        <v>4.7902364283800125E-2</v>
      </c>
      <c r="BC103">
        <v>4.1037376970052719E-2</v>
      </c>
      <c r="BD103">
        <v>3.9359267801046371E-2</v>
      </c>
      <c r="BE103">
        <v>3.9816934615373611E-2</v>
      </c>
      <c r="BF103">
        <v>4.3478261679410934E-2</v>
      </c>
      <c r="BG103">
        <v>4.0732264518737793E-2</v>
      </c>
      <c r="BH103">
        <v>4.6224255114793777E-2</v>
      </c>
      <c r="BI103">
        <v>3.9664376527070999E-2</v>
      </c>
      <c r="BJ103">
        <v>4.9427919089794159E-2</v>
      </c>
      <c r="BK103">
        <v>3.8596492260694504E-2</v>
      </c>
      <c r="BL103">
        <v>3.9511822164058685E-2</v>
      </c>
      <c r="BM103">
        <v>4.2715486139059067E-2</v>
      </c>
      <c r="BN103">
        <v>4.6834476292133331E-2</v>
      </c>
      <c r="BO103">
        <v>4.2105264961719513E-2</v>
      </c>
      <c r="BP103">
        <v>4.8970252275466919E-2</v>
      </c>
      <c r="BQ103">
        <v>4.0122043341398239E-2</v>
      </c>
      <c r="BR103">
        <v>4.0274597704410553E-2</v>
      </c>
      <c r="BS103">
        <v>4.3020594865083694E-2</v>
      </c>
      <c r="BT103">
        <v>5.0953470170497894E-2</v>
      </c>
      <c r="BU103">
        <v>4.5156370848417282E-2</v>
      </c>
      <c r="BV103">
        <v>4.5766592025756836E-2</v>
      </c>
      <c r="BW103">
        <v>5.3089246153831482E-2</v>
      </c>
      <c r="BX103">
        <v>4.4088482856750488E-2</v>
      </c>
      <c r="BY103">
        <v>4.2715486139059067E-2</v>
      </c>
      <c r="BZ103">
        <v>5.0495803356170654E-2</v>
      </c>
      <c r="CA103">
        <v>3.9359267801046371E-2</v>
      </c>
      <c r="CB103">
        <v>5.080091580748558E-2</v>
      </c>
      <c r="CC103">
        <v>3.9359267801046371E-2</v>
      </c>
      <c r="CD103">
        <v>4.7139588743448257E-2</v>
      </c>
      <c r="CE103">
        <v>4.1189931333065033E-2</v>
      </c>
      <c r="CF103">
        <v>4.6681921929121017E-2</v>
      </c>
      <c r="CG103">
        <v>3.8901600986719131E-2</v>
      </c>
      <c r="CH103">
        <v>4.0122043341398239E-2</v>
      </c>
      <c r="CI103">
        <v>4.59555983543396E-2</v>
      </c>
      <c r="CJ103">
        <v>4.2229466140270233E-2</v>
      </c>
      <c r="CK103">
        <v>3.7727061659097672E-2</v>
      </c>
      <c r="CL103">
        <v>5.1855303347110748E-2</v>
      </c>
      <c r="CM103">
        <v>4.0676914155483246E-2</v>
      </c>
    </row>
    <row r="104" spans="2:100" x14ac:dyDescent="0.25">
      <c r="B104" s="2"/>
      <c r="C104" s="2"/>
      <c r="D104" s="41" t="str" cm="1">
        <f t="array" ref="D104">IF(H104="","",IF(AND(E104&lt;AVERAGE(E103,E105)*($L$19/100),$D$23:D103=""),H104,""))</f>
        <v/>
      </c>
      <c r="E104" s="78">
        <f t="shared" si="1"/>
        <v>3.4222460528045173E-2</v>
      </c>
      <c r="F104" s="79"/>
      <c r="H104" s="1">
        <v>82</v>
      </c>
      <c r="I104" s="75">
        <v>3.9827539471954831E-2</v>
      </c>
      <c r="J104" s="75"/>
      <c r="K104">
        <v>4.0832169353961945E-2</v>
      </c>
      <c r="L104">
        <v>4.3782021850347519E-2</v>
      </c>
      <c r="M104">
        <v>3.8813848048448563E-2</v>
      </c>
      <c r="N104">
        <v>3.8813848048448563E-2</v>
      </c>
      <c r="O104">
        <v>3.7416551262140274E-2</v>
      </c>
      <c r="P104">
        <v>3.7261296063661575E-2</v>
      </c>
      <c r="Q104">
        <v>4.2384721338748932E-2</v>
      </c>
      <c r="R104">
        <v>4.1763700544834137E-2</v>
      </c>
      <c r="S104">
        <v>3.8503337651491165E-2</v>
      </c>
      <c r="T104">
        <v>4.2695235460996628E-2</v>
      </c>
      <c r="U104">
        <v>4.2074210941791534E-2</v>
      </c>
      <c r="V104">
        <v>3.9900638163089752E-2</v>
      </c>
      <c r="W104">
        <v>3.912435844540596E-2</v>
      </c>
      <c r="X104">
        <v>3.5087719559669495E-2</v>
      </c>
      <c r="Y104">
        <v>4.2074210941791534E-2</v>
      </c>
      <c r="Z104">
        <v>3.788231685757637E-2</v>
      </c>
      <c r="AA104">
        <v>3.5553485155105591E-2</v>
      </c>
      <c r="AB104">
        <v>4.021114856004715E-2</v>
      </c>
      <c r="AC104">
        <v>4.145319014787674E-2</v>
      </c>
      <c r="AD104">
        <v>3.788231685757637E-2</v>
      </c>
      <c r="AE104">
        <v>3.7727061659097672E-2</v>
      </c>
      <c r="AF104">
        <v>3.9279613643884659E-2</v>
      </c>
      <c r="AG104">
        <v>3.9279613643884659E-2</v>
      </c>
      <c r="AH104">
        <v>4.0987424552440643E-2</v>
      </c>
      <c r="AI104">
        <v>3.9900638163089752E-2</v>
      </c>
      <c r="AJ104">
        <v>3.7106040865182877E-2</v>
      </c>
      <c r="AK104">
        <v>3.570874035358429E-2</v>
      </c>
      <c r="AL104">
        <v>4.7973915934562683E-2</v>
      </c>
      <c r="AM104">
        <v>3.7727061659097672E-2</v>
      </c>
      <c r="AN104">
        <v>4.2229466140270233E-2</v>
      </c>
      <c r="AO104">
        <v>4.6887129545211792E-2</v>
      </c>
      <c r="AP104">
        <v>4.2539976537227631E-2</v>
      </c>
      <c r="AQ104">
        <v>4.3005745857954025E-2</v>
      </c>
      <c r="AR104">
        <v>3.9279613643884659E-2</v>
      </c>
      <c r="AS104">
        <v>4.362676665186882E-2</v>
      </c>
      <c r="AT104">
        <v>4.4247787445783615E-2</v>
      </c>
      <c r="AU104">
        <v>4.0366403758525848E-2</v>
      </c>
      <c r="AV104">
        <v>3.570874035358429E-2</v>
      </c>
      <c r="AW104">
        <v>4.1142679750919342E-2</v>
      </c>
      <c r="AX104">
        <v>4.0366403758525848E-2</v>
      </c>
      <c r="AY104">
        <v>3.9745382964611053E-2</v>
      </c>
      <c r="AZ104">
        <v>3.570874035358429E-2</v>
      </c>
      <c r="BA104">
        <v>4.5334573835134506E-2</v>
      </c>
      <c r="BB104">
        <v>3.7416551262140274E-2</v>
      </c>
      <c r="BC104">
        <v>4.2193427681922913E-2</v>
      </c>
      <c r="BD104">
        <v>3.7768647074699402E-2</v>
      </c>
      <c r="BE104">
        <v>3.6188367754220963E-2</v>
      </c>
      <c r="BF104">
        <v>3.6820478737354279E-2</v>
      </c>
      <c r="BG104">
        <v>3.9348926395177841E-2</v>
      </c>
      <c r="BH104">
        <v>3.8084704428911209E-2</v>
      </c>
      <c r="BI104">
        <v>3.7768647074699402E-2</v>
      </c>
      <c r="BJ104">
        <v>4.5986093580722809E-2</v>
      </c>
      <c r="BK104">
        <v>4.0455121546983719E-2</v>
      </c>
      <c r="BL104">
        <v>4.3773703277111053E-2</v>
      </c>
      <c r="BM104">
        <v>4.1087232530117035E-2</v>
      </c>
      <c r="BN104">
        <v>3.6188367754220963E-2</v>
      </c>
      <c r="BO104">
        <v>3.8084704428911209E-2</v>
      </c>
      <c r="BP104">
        <v>3.6662451922893524E-2</v>
      </c>
      <c r="BQ104">
        <v>3.8558784872293472E-2</v>
      </c>
      <c r="BR104">
        <v>4.3615676462650299E-2</v>
      </c>
      <c r="BS104">
        <v>3.9506953209638596E-2</v>
      </c>
      <c r="BT104">
        <v>3.5714287310838699E-2</v>
      </c>
      <c r="BU104">
        <v>4.5037925243377686E-2</v>
      </c>
      <c r="BV104">
        <v>4.1245259344577789E-2</v>
      </c>
      <c r="BW104">
        <v>3.8716815412044525E-2</v>
      </c>
      <c r="BX104">
        <v>4.646017774939537E-2</v>
      </c>
      <c r="BY104">
        <v>3.8558784872293472E-2</v>
      </c>
      <c r="BZ104">
        <v>4.0139064192771912E-2</v>
      </c>
      <c r="CA104">
        <v>3.6978509277105331E-2</v>
      </c>
      <c r="CB104">
        <v>3.9823010563850403E-2</v>
      </c>
      <c r="CC104">
        <v>4.0455121546983719E-2</v>
      </c>
      <c r="CD104">
        <v>4.1403286159038544E-2</v>
      </c>
      <c r="CE104">
        <v>3.5872314125299454E-2</v>
      </c>
      <c r="CF104">
        <v>4.3615676462650299E-2</v>
      </c>
      <c r="CG104">
        <v>3.9981037378311157E-2</v>
      </c>
      <c r="CH104">
        <v>3.650442510843277E-2</v>
      </c>
      <c r="CI104">
        <v>3.8084704428911209E-2</v>
      </c>
      <c r="CJ104">
        <v>4.1245259344577789E-2</v>
      </c>
      <c r="CK104">
        <v>3.7926673889160156E-2</v>
      </c>
      <c r="CL104">
        <v>3.6030340939760208E-2</v>
      </c>
      <c r="CM104">
        <v>3.6346398293972015E-2</v>
      </c>
      <c r="CN104">
        <v>3.6820478737354279E-2</v>
      </c>
    </row>
    <row r="105" spans="2:100" x14ac:dyDescent="0.25">
      <c r="B105" s="2"/>
      <c r="C105" s="2"/>
      <c r="D105" s="41" t="str" cm="1">
        <f t="array" ref="D105">IF(H105="","",IF(AND(E105&lt;AVERAGE(E104,E106)*($L$19/100),$D$23:D104=""),H105,""))</f>
        <v/>
      </c>
      <c r="E105" s="78">
        <f t="shared" si="1"/>
        <v>3.4097659834465353E-2</v>
      </c>
      <c r="F105" s="79"/>
      <c r="H105" s="1">
        <v>83</v>
      </c>
      <c r="I105" s="75">
        <v>3.9952340165534651E-2</v>
      </c>
      <c r="J105" s="75"/>
      <c r="K105">
        <v>3.6346398293972015E-2</v>
      </c>
      <c r="L105">
        <v>4.1877370327711105E-2</v>
      </c>
      <c r="M105">
        <v>4.0139064192771912E-2</v>
      </c>
      <c r="N105">
        <v>4.2509481310844421E-2</v>
      </c>
      <c r="O105">
        <v>3.6662451922893524E-2</v>
      </c>
      <c r="P105">
        <v>4.3141592293977737E-2</v>
      </c>
      <c r="Q105">
        <v>3.729456290602684E-2</v>
      </c>
      <c r="R105">
        <v>3.7452593445777893E-2</v>
      </c>
      <c r="S105">
        <v>4.1245259344577789E-2</v>
      </c>
      <c r="T105">
        <v>3.7768647074699402E-2</v>
      </c>
      <c r="U105">
        <v>3.887484222650528E-2</v>
      </c>
      <c r="V105">
        <v>3.6346398293972015E-2</v>
      </c>
      <c r="W105">
        <v>4.3299619108438492E-2</v>
      </c>
      <c r="X105">
        <v>3.5872314125299454E-2</v>
      </c>
      <c r="Y105">
        <v>3.6518663167953491E-2</v>
      </c>
      <c r="Z105">
        <v>4.4401545077562332E-2</v>
      </c>
      <c r="AA105">
        <v>3.9092663675546646E-2</v>
      </c>
      <c r="AB105">
        <v>4.2953666299581528E-2</v>
      </c>
      <c r="AC105">
        <v>3.6036036908626556E-2</v>
      </c>
      <c r="AD105">
        <v>3.9253540337085724E-2</v>
      </c>
      <c r="AE105">
        <v>4.0862292051315308E-2</v>
      </c>
      <c r="AF105">
        <v>3.9253540337085724E-2</v>
      </c>
      <c r="AG105">
        <v>4.0057916194200516E-2</v>
      </c>
      <c r="AH105">
        <v>4.0057916194200516E-2</v>
      </c>
      <c r="AI105">
        <v>4.3114542961120605E-2</v>
      </c>
      <c r="AJ105">
        <v>3.9575289934873581E-2</v>
      </c>
      <c r="AK105">
        <v>4.1344914585351944E-2</v>
      </c>
      <c r="AL105">
        <v>3.9897039532661438E-2</v>
      </c>
      <c r="AM105">
        <v>3.6679536104202271E-2</v>
      </c>
      <c r="AN105">
        <v>3.9414413273334503E-2</v>
      </c>
      <c r="AO105">
        <v>3.9414413273334503E-2</v>
      </c>
      <c r="AP105">
        <v>4.0540538728237152E-2</v>
      </c>
      <c r="AQ105">
        <v>3.9092663675546646E-2</v>
      </c>
      <c r="AR105">
        <v>3.8610037416219711E-2</v>
      </c>
      <c r="AS105">
        <v>4.2310167104005814E-2</v>
      </c>
      <c r="AT105">
        <v>3.764478862285614E-2</v>
      </c>
      <c r="AU105">
        <v>3.7966538220643997E-2</v>
      </c>
      <c r="AV105">
        <v>4.2471043765544891E-2</v>
      </c>
      <c r="AW105">
        <v>3.8931790739297867E-2</v>
      </c>
      <c r="AX105">
        <v>4.4884171336889267E-2</v>
      </c>
      <c r="AY105">
        <v>3.9897039532661438E-2</v>
      </c>
      <c r="AZ105">
        <v>3.9414413273334503E-2</v>
      </c>
      <c r="BA105">
        <v>3.9736166596412659E-2</v>
      </c>
      <c r="BB105">
        <v>3.7323039025068283E-2</v>
      </c>
      <c r="BC105">
        <v>3.5231661051511765E-2</v>
      </c>
      <c r="BD105">
        <v>3.7162162363529205E-2</v>
      </c>
      <c r="BE105">
        <v>3.8931790739297867E-2</v>
      </c>
      <c r="BF105">
        <v>4.0540538728237152E-2</v>
      </c>
      <c r="BG105">
        <v>3.7805661559104919E-2</v>
      </c>
      <c r="BH105">
        <v>4.6010296791791916E-2</v>
      </c>
      <c r="BI105">
        <v>3.9736166596412659E-2</v>
      </c>
      <c r="BJ105">
        <v>3.4266408532857895E-2</v>
      </c>
      <c r="BK105">
        <v>3.764478862285614E-2</v>
      </c>
      <c r="BL105">
        <v>4.0862292051315308E-2</v>
      </c>
      <c r="BM105">
        <v>3.8127414882183075E-2</v>
      </c>
      <c r="BN105">
        <v>3.8288287818431854E-2</v>
      </c>
      <c r="BO105">
        <v>4.3436292558908463E-2</v>
      </c>
      <c r="BP105">
        <v>3.9897039532661438E-2</v>
      </c>
      <c r="BQ105">
        <v>4.0540538728237152E-2</v>
      </c>
      <c r="BR105">
        <v>3.7162162363529205E-2</v>
      </c>
      <c r="BS105">
        <v>4.4240668416023254E-2</v>
      </c>
      <c r="BT105">
        <v>4.2149290442466736E-2</v>
      </c>
      <c r="BU105">
        <v>4.0540538728237152E-2</v>
      </c>
      <c r="BV105">
        <v>4.5366793870925903E-2</v>
      </c>
      <c r="BW105">
        <v>4.6010296791791916E-2</v>
      </c>
      <c r="BX105">
        <v>4.0862292051315308E-2</v>
      </c>
      <c r="BY105">
        <v>4.070141538977623E-2</v>
      </c>
      <c r="BZ105">
        <v>3.9897039532661438E-2</v>
      </c>
      <c r="CA105">
        <v>4.5527670532464981E-2</v>
      </c>
      <c r="CB105">
        <v>4.0540538728237152E-2</v>
      </c>
      <c r="CC105">
        <v>3.9092663675546646E-2</v>
      </c>
      <c r="CD105">
        <v>4.3918918818235397E-2</v>
      </c>
      <c r="CE105">
        <v>4.0379665791988373E-2</v>
      </c>
      <c r="CF105">
        <v>4.2631916701793671E-2</v>
      </c>
      <c r="CG105">
        <v>3.7483911961317062E-2</v>
      </c>
      <c r="CH105">
        <v>4.1666667908430099E-2</v>
      </c>
      <c r="CI105">
        <v>3.8610037416219711E-2</v>
      </c>
      <c r="CJ105">
        <v>3.8449164479970932E-2</v>
      </c>
      <c r="CK105">
        <v>4.1344914585351944E-2</v>
      </c>
      <c r="CL105">
        <v>4.0540538728237152E-2</v>
      </c>
      <c r="CM105">
        <v>3.5553410649299622E-2</v>
      </c>
      <c r="CN105">
        <v>4.070141538977623E-2</v>
      </c>
      <c r="CO105">
        <v>3.8610037416219711E-2</v>
      </c>
    </row>
    <row r="106" spans="2:100" x14ac:dyDescent="0.25">
      <c r="B106" s="2"/>
      <c r="C106" s="2"/>
      <c r="D106" s="41" t="str" cm="1">
        <f t="array" ref="D106">IF(H106="","",IF(AND(E106&lt;AVERAGE(E105,E107)*($L$19/100),$D$23:D105=""),H106,""))</f>
        <v/>
      </c>
      <c r="E106" s="78">
        <f t="shared" si="1"/>
        <v>2.4761090848417489E-3</v>
      </c>
      <c r="F106" s="79"/>
      <c r="H106" s="1">
        <v>84</v>
      </c>
      <c r="I106" s="75">
        <v>7.6526109084841754E-2</v>
      </c>
      <c r="J106" s="75"/>
      <c r="K106">
        <v>7.1089267730712891E-2</v>
      </c>
      <c r="L106">
        <v>7.8460276126861572E-2</v>
      </c>
      <c r="M106">
        <v>7.5348071753978729E-2</v>
      </c>
      <c r="N106">
        <v>6.0278460383415222E-2</v>
      </c>
      <c r="O106">
        <v>7.4037671089172363E-2</v>
      </c>
      <c r="P106">
        <v>8.2719080150127411E-2</v>
      </c>
      <c r="Q106">
        <v>6.7321866750717163E-2</v>
      </c>
      <c r="R106">
        <v>6.7813269793987274E-2</v>
      </c>
      <c r="S106">
        <v>8.0917283892631531E-2</v>
      </c>
      <c r="T106">
        <v>6.6994264721870422E-2</v>
      </c>
      <c r="U106">
        <v>7.9279281198978424E-2</v>
      </c>
      <c r="V106">
        <v>6.5028667449951172E-2</v>
      </c>
      <c r="W106">
        <v>7.8296475112438202E-2</v>
      </c>
      <c r="X106">
        <v>7.0270270109176636E-2</v>
      </c>
      <c r="Y106">
        <v>7.8132681548595428E-2</v>
      </c>
      <c r="Z106">
        <v>7.1744471788406372E-2</v>
      </c>
      <c r="AA106">
        <v>7.0434071123600006E-2</v>
      </c>
      <c r="AB106">
        <v>7.3710076510906219E-2</v>
      </c>
      <c r="AC106">
        <v>7.0761673152446747E-2</v>
      </c>
      <c r="AD106">
        <v>7.4529074132442474E-2</v>
      </c>
      <c r="AE106">
        <v>9.9590502679347992E-2</v>
      </c>
      <c r="AF106">
        <v>7.5184278190135956E-2</v>
      </c>
      <c r="AG106">
        <v>7.2399675846099854E-2</v>
      </c>
      <c r="AH106">
        <v>7.0761673152446747E-2</v>
      </c>
      <c r="AI106">
        <v>8.0917283892631531E-2</v>
      </c>
      <c r="AJ106">
        <v>6.2407862395048141E-2</v>
      </c>
      <c r="AK106">
        <v>8.1736281514167786E-2</v>
      </c>
      <c r="AL106">
        <v>6.3554465770721436E-2</v>
      </c>
      <c r="AM106">
        <v>8.058968186378479E-2</v>
      </c>
      <c r="AN106">
        <v>7.387387752532959E-2</v>
      </c>
      <c r="AO106">
        <v>8.058968186378479E-2</v>
      </c>
      <c r="AP106">
        <v>7.4037671089172363E-2</v>
      </c>
      <c r="AQ106">
        <v>7.9770676791667938E-2</v>
      </c>
      <c r="AR106">
        <v>7.4529074132442474E-2</v>
      </c>
      <c r="AS106">
        <v>7.7641278505325317E-2</v>
      </c>
      <c r="AT106">
        <v>7.8460276126861572E-2</v>
      </c>
      <c r="AU106">
        <v>9.205569326877594E-2</v>
      </c>
      <c r="AV106">
        <v>8.4520883858203888E-2</v>
      </c>
      <c r="AW106">
        <v>8.2555279135704041E-2</v>
      </c>
      <c r="AX106">
        <v>6.1588861048221588E-2</v>
      </c>
      <c r="AY106">
        <v>8.4193281829357147E-2</v>
      </c>
      <c r="AZ106">
        <v>6.2407862395048141E-2</v>
      </c>
      <c r="BA106">
        <v>8.7960690259933472E-2</v>
      </c>
      <c r="BB106">
        <v>8.1244878470897675E-2</v>
      </c>
      <c r="BC106">
        <v>8.8288284838199615E-2</v>
      </c>
      <c r="BD106">
        <v>7.9770676791667938E-2</v>
      </c>
      <c r="BE106">
        <v>8.3374284207820892E-2</v>
      </c>
      <c r="BF106">
        <v>7.9934477806091309E-2</v>
      </c>
      <c r="BG106">
        <v>6.3390664756298065E-2</v>
      </c>
      <c r="BH106">
        <v>7.5348071753978729E-2</v>
      </c>
      <c r="BI106">
        <v>7.8296475112438202E-2</v>
      </c>
      <c r="BJ106">
        <v>8.2555279135704041E-2</v>
      </c>
      <c r="BK106">
        <v>7.7968880534172058E-2</v>
      </c>
      <c r="BL106">
        <v>8.3865687251091003E-2</v>
      </c>
      <c r="BM106">
        <v>8.2719080150127411E-2</v>
      </c>
      <c r="BN106">
        <v>7.3218673467636108E-2</v>
      </c>
      <c r="BO106">
        <v>7.0106469094753265E-2</v>
      </c>
      <c r="BP106">
        <v>7.1744471788406372E-2</v>
      </c>
      <c r="BQ106">
        <v>8.0262079834938049E-2</v>
      </c>
      <c r="BR106">
        <v>8.042588084936142E-2</v>
      </c>
      <c r="BS106">
        <v>5.8149058371782303E-2</v>
      </c>
      <c r="BT106">
        <v>8.2063883543014526E-2</v>
      </c>
      <c r="BU106">
        <v>6.7649468779563904E-2</v>
      </c>
      <c r="BV106">
        <v>7.3382474482059479E-2</v>
      </c>
      <c r="BW106">
        <v>7.7641278505325317E-2</v>
      </c>
      <c r="BX106">
        <v>7.567567378282547E-2</v>
      </c>
      <c r="BY106">
        <v>8.058968186378479E-2</v>
      </c>
      <c r="BZ106">
        <v>8.1081077456474304E-2</v>
      </c>
      <c r="CA106">
        <v>7.8296475112438202E-2</v>
      </c>
      <c r="CB106">
        <v>8.1572480499744415E-2</v>
      </c>
      <c r="CC106">
        <v>7.4061721563339233E-2</v>
      </c>
      <c r="CD106">
        <v>8.1901587545871735E-2</v>
      </c>
      <c r="CE106">
        <v>8.4904089570045471E-2</v>
      </c>
      <c r="CF106">
        <v>6.8557128310203552E-2</v>
      </c>
      <c r="CG106">
        <v>7.5896583497524261E-2</v>
      </c>
      <c r="CH106">
        <v>9.2743955552577972E-2</v>
      </c>
      <c r="CI106">
        <v>7.2393663227558136E-2</v>
      </c>
      <c r="CJ106">
        <v>8.9908257126808167E-2</v>
      </c>
      <c r="CK106">
        <v>7.9232692718505859E-2</v>
      </c>
      <c r="CL106">
        <v>7.5562968850135803E-2</v>
      </c>
      <c r="CM106">
        <v>7.6230190694332123E-2</v>
      </c>
      <c r="CN106">
        <v>7.6230190694332123E-2</v>
      </c>
      <c r="CO106">
        <v>7.6063387095928192E-2</v>
      </c>
      <c r="CP106">
        <v>7.7397830784320831E-2</v>
      </c>
    </row>
    <row r="107" spans="2:100" x14ac:dyDescent="0.25">
      <c r="B107" s="2"/>
      <c r="C107" s="2"/>
      <c r="D107" s="41" t="str" cm="1">
        <f t="array" ref="D107">IF(H107="","",IF(AND(E107&lt;AVERAGE(E106,E108)*($L$19/100),$D$23:D106=""),H107,""))</f>
        <v/>
      </c>
      <c r="E107" s="78">
        <f t="shared" ref="E107:E170" si="2">IF(H107="","",ABS(I107-$G$19))</f>
        <v>3.3644469780431077E-2</v>
      </c>
      <c r="F107" s="79"/>
      <c r="H107" s="1">
        <v>85</v>
      </c>
      <c r="I107" s="75">
        <v>4.0405530219568928E-2</v>
      </c>
      <c r="J107" s="75"/>
      <c r="K107">
        <v>4.353627935051918E-2</v>
      </c>
      <c r="L107">
        <v>4.4036697596311569E-2</v>
      </c>
      <c r="M107">
        <v>4.0867388248443604E-2</v>
      </c>
      <c r="N107">
        <v>3.8198497146368027E-2</v>
      </c>
      <c r="O107">
        <v>3.8698915392160416E-2</v>
      </c>
      <c r="P107">
        <v>3.9366137236356735E-2</v>
      </c>
      <c r="Q107">
        <v>4.1701417416334152E-2</v>
      </c>
      <c r="R107">
        <v>4.1034195572137833E-2</v>
      </c>
      <c r="S107">
        <v>3.9699748158454895E-2</v>
      </c>
      <c r="T107">
        <v>4.1200999170541763E-2</v>
      </c>
      <c r="U107">
        <v>3.7364471703767776E-2</v>
      </c>
      <c r="V107">
        <v>3.9699748158454895E-2</v>
      </c>
      <c r="W107">
        <v>3.9532944560050964E-2</v>
      </c>
      <c r="X107">
        <v>3.7030860781669617E-2</v>
      </c>
      <c r="Y107">
        <v>4.2201835662126541E-2</v>
      </c>
      <c r="Z107">
        <v>4.1701417416334152E-2</v>
      </c>
      <c r="AA107">
        <v>3.8365304470062256E-2</v>
      </c>
      <c r="AB107">
        <v>3.5529609769582748E-2</v>
      </c>
      <c r="AC107">
        <v>4.0366973727941513E-2</v>
      </c>
      <c r="AD107">
        <v>4.4370308518409729E-2</v>
      </c>
      <c r="AE107">
        <v>4.0533777326345444E-2</v>
      </c>
      <c r="AF107">
        <v>4.0867388248443604E-2</v>
      </c>
      <c r="AG107">
        <v>3.7864886224269867E-2</v>
      </c>
      <c r="AH107">
        <v>3.8198497146368027E-2</v>
      </c>
      <c r="AI107">
        <v>4.2201835662126541E-2</v>
      </c>
      <c r="AJ107">
        <v>3.7864886224269867E-2</v>
      </c>
      <c r="AK107">
        <v>4.4036697596311569E-2</v>
      </c>
      <c r="AL107">
        <v>4.5537948608398438E-2</v>
      </c>
      <c r="AM107">
        <v>3.9032526314258575E-2</v>
      </c>
      <c r="AN107">
        <v>4.2702250182628632E-2</v>
      </c>
      <c r="AO107">
        <v>3.7030860781669617E-2</v>
      </c>
      <c r="AP107">
        <v>4.2368639260530472E-2</v>
      </c>
      <c r="AQ107">
        <v>4.4703919440507889E-2</v>
      </c>
      <c r="AR107">
        <v>4.5871559530496597E-2</v>
      </c>
      <c r="AS107">
        <v>3.8365304470062256E-2</v>
      </c>
      <c r="AT107">
        <v>3.6363635212182999E-2</v>
      </c>
      <c r="AU107">
        <v>4.2035028338432312E-2</v>
      </c>
      <c r="AV107">
        <v>4.0867388248443604E-2</v>
      </c>
      <c r="AW107">
        <v>3.5529609769582748E-2</v>
      </c>
      <c r="AX107">
        <v>4.336947575211525E-2</v>
      </c>
      <c r="AY107">
        <v>4.0533777326345444E-2</v>
      </c>
      <c r="AZ107">
        <v>4.2201835662126541E-2</v>
      </c>
      <c r="BA107">
        <v>3.5529609769582748E-2</v>
      </c>
      <c r="BB107">
        <v>3.6864053457975388E-2</v>
      </c>
      <c r="BC107">
        <v>3.8865722715854645E-2</v>
      </c>
      <c r="BD107">
        <v>3.907577320933342E-2</v>
      </c>
      <c r="BE107">
        <v>4.2303770780563354E-2</v>
      </c>
      <c r="BF107">
        <v>3.6187563091516495E-2</v>
      </c>
      <c r="BG107">
        <v>3.7376824766397476E-2</v>
      </c>
      <c r="BH107">
        <v>4.2813453823328018E-2</v>
      </c>
      <c r="BI107">
        <v>3.8735982030630112E-2</v>
      </c>
      <c r="BJ107">
        <v>4.4172614812850952E-2</v>
      </c>
      <c r="BK107">
        <v>4.6381242573261261E-2</v>
      </c>
      <c r="BL107">
        <v>3.9755351841449738E-2</v>
      </c>
      <c r="BM107">
        <v>3.4318722784519196E-2</v>
      </c>
      <c r="BN107">
        <v>3.9245668798685074E-2</v>
      </c>
      <c r="BO107">
        <v>4.1963983327150345E-2</v>
      </c>
      <c r="BP107">
        <v>3.5507984459400177E-2</v>
      </c>
      <c r="BQ107">
        <v>3.5847775638103485E-2</v>
      </c>
      <c r="BR107">
        <v>4.332314059138298E-2</v>
      </c>
      <c r="BS107">
        <v>3.5677880048751831E-2</v>
      </c>
      <c r="BT107">
        <v>4.5531772077083588E-2</v>
      </c>
      <c r="BU107">
        <v>3.6527354270219803E-2</v>
      </c>
      <c r="BV107">
        <v>4.1963983327150345E-2</v>
      </c>
      <c r="BW107">
        <v>4.3153245002031326E-2</v>
      </c>
      <c r="BX107">
        <v>4.0774717926979065E-2</v>
      </c>
      <c r="BY107">
        <v>3.9415560662746429E-2</v>
      </c>
      <c r="BZ107">
        <v>3.9925247430801392E-2</v>
      </c>
      <c r="CA107">
        <v>4.1794087737798691E-2</v>
      </c>
      <c r="CB107">
        <v>4.21338751912117E-2</v>
      </c>
      <c r="CC107">
        <v>4.0774717926979065E-2</v>
      </c>
      <c r="CD107">
        <v>4.5531772077083588E-2</v>
      </c>
      <c r="CE107">
        <v>4.21338751912117E-2</v>
      </c>
      <c r="CF107">
        <v>4.0774717926979065E-2</v>
      </c>
      <c r="CG107">
        <v>4.6721033751964569E-2</v>
      </c>
      <c r="CH107">
        <v>4.4682297855615616E-2</v>
      </c>
      <c r="CI107">
        <v>3.7886511534452438E-2</v>
      </c>
      <c r="CJ107">
        <v>3.8226298987865448E-2</v>
      </c>
      <c r="CK107">
        <v>3.9415560662746429E-2</v>
      </c>
      <c r="CL107">
        <v>4.4002719223499298E-2</v>
      </c>
      <c r="CM107">
        <v>4.3832823634147644E-2</v>
      </c>
      <c r="CN107">
        <v>3.8905877619981766E-2</v>
      </c>
      <c r="CO107">
        <v>3.9415560662746429E-2</v>
      </c>
      <c r="CP107">
        <v>3.4998301416635513E-2</v>
      </c>
      <c r="CQ107">
        <v>3.9415560662746429E-2</v>
      </c>
    </row>
    <row r="108" spans="2:100" x14ac:dyDescent="0.25">
      <c r="B108" s="2"/>
      <c r="C108" s="2"/>
      <c r="D108" s="41" t="str" cm="1">
        <f t="array" ref="D108">IF(H108="","",IF(AND(E108&lt;AVERAGE(E107,E109)*($L$19/100),$D$23:D107=""),H108,""))</f>
        <v/>
      </c>
      <c r="E108" s="78">
        <f t="shared" si="2"/>
        <v>3.4064454110763802E-2</v>
      </c>
      <c r="F108" s="79"/>
      <c r="H108" s="1">
        <v>86</v>
      </c>
      <c r="I108" s="75">
        <v>3.9985545889236203E-2</v>
      </c>
      <c r="J108" s="75"/>
      <c r="K108">
        <v>4.0434930473566055E-2</v>
      </c>
      <c r="L108">
        <v>3.907577320933342E-2</v>
      </c>
      <c r="M108">
        <v>4.0944613516330719E-2</v>
      </c>
      <c r="N108">
        <v>4.2643561959266663E-2</v>
      </c>
      <c r="O108">
        <v>3.6867141723632813E-2</v>
      </c>
      <c r="P108">
        <v>3.5338088870048523E-2</v>
      </c>
      <c r="Q108">
        <v>3.9415560662746429E-2</v>
      </c>
      <c r="R108">
        <v>4.1454296559095383E-2</v>
      </c>
      <c r="S108">
        <v>3.7716615945100784E-2</v>
      </c>
      <c r="T108">
        <v>4.2643561959266663E-2</v>
      </c>
      <c r="U108">
        <v>4.332314059138298E-2</v>
      </c>
      <c r="V108">
        <v>4.0265034884214401E-2</v>
      </c>
      <c r="W108">
        <v>4.1284404695034027E-2</v>
      </c>
      <c r="X108">
        <v>4.8929665237665176E-2</v>
      </c>
      <c r="Y108">
        <v>3.6697246134281158E-2</v>
      </c>
      <c r="Z108">
        <v>3.907577320933342E-2</v>
      </c>
      <c r="AA108">
        <v>3.5847775638103485E-2</v>
      </c>
      <c r="AB108">
        <v>4.0095139294862747E-2</v>
      </c>
      <c r="AC108">
        <v>3.9925247430801392E-2</v>
      </c>
      <c r="AD108">
        <v>3.8396194577217102E-2</v>
      </c>
      <c r="AE108">
        <v>4.0265034884214401E-2</v>
      </c>
      <c r="AF108">
        <v>3.7716615945100784E-2</v>
      </c>
      <c r="AG108">
        <v>3.721010684967041E-2</v>
      </c>
      <c r="AH108">
        <v>4.6209760010242462E-2</v>
      </c>
      <c r="AI108">
        <v>3.4440983086824417E-2</v>
      </c>
      <c r="AJ108">
        <v>4.4305987656116486E-2</v>
      </c>
      <c r="AK108">
        <v>3.928694874048233E-2</v>
      </c>
      <c r="AL108">
        <v>3.87677401304245E-2</v>
      </c>
      <c r="AM108">
        <v>4.3440636247396469E-2</v>
      </c>
      <c r="AN108">
        <v>4.8459675163030624E-2</v>
      </c>
      <c r="AO108">
        <v>3.8594670593738556E-2</v>
      </c>
      <c r="AP108">
        <v>3.928694874048233E-2</v>
      </c>
      <c r="AQ108">
        <v>3.6690898239612579E-2</v>
      </c>
      <c r="AR108">
        <v>3.9460022002458572E-2</v>
      </c>
      <c r="AS108">
        <v>4.1536863893270493E-2</v>
      </c>
      <c r="AT108">
        <v>4.0671512484550476E-2</v>
      </c>
      <c r="AU108">
        <v>4.3267566710710526E-2</v>
      </c>
      <c r="AV108">
        <v>3.824852779507637E-2</v>
      </c>
      <c r="AW108">
        <v>4.084458202123642E-2</v>
      </c>
      <c r="AX108">
        <v>4.5690551400184631E-2</v>
      </c>
      <c r="AY108">
        <v>4.188300296664238E-2</v>
      </c>
      <c r="AZ108">
        <v>4.3613705784082413E-2</v>
      </c>
      <c r="BA108">
        <v>4.1363794356584549E-2</v>
      </c>
      <c r="BB108">
        <v>3.3748701214790344E-2</v>
      </c>
      <c r="BC108">
        <v>4.1190724819898605E-2</v>
      </c>
      <c r="BD108">
        <v>3.9460022002458572E-2</v>
      </c>
      <c r="BE108">
        <v>4.2575284838676453E-2</v>
      </c>
      <c r="BF108">
        <v>3.3748701214790344E-2</v>
      </c>
      <c r="BG108">
        <v>3.7037037312984467E-2</v>
      </c>
      <c r="BH108">
        <v>3.617168590426445E-2</v>
      </c>
      <c r="BI108">
        <v>3.8940809667110443E-2</v>
      </c>
      <c r="BJ108">
        <v>4.2921427637338638E-2</v>
      </c>
      <c r="BK108">
        <v>4.0498442947864532E-2</v>
      </c>
      <c r="BL108">
        <v>3.5306334495544434E-2</v>
      </c>
      <c r="BM108">
        <v>4.1017651557922363E-2</v>
      </c>
      <c r="BN108">
        <v>3.928694874048233E-2</v>
      </c>
      <c r="BO108">
        <v>4.4652130454778671E-2</v>
      </c>
      <c r="BP108">
        <v>4.188300296664238E-2</v>
      </c>
      <c r="BQ108">
        <v>3.8075458258390427E-2</v>
      </c>
      <c r="BR108">
        <v>3.409484401345253E-2</v>
      </c>
      <c r="BS108">
        <v>3.7556249648332596E-2</v>
      </c>
      <c r="BT108">
        <v>3.617168590426445E-2</v>
      </c>
      <c r="BU108">
        <v>4.3094497174024582E-2</v>
      </c>
      <c r="BV108">
        <v>3.8075458258390427E-2</v>
      </c>
      <c r="BW108">
        <v>4.3613705784082413E-2</v>
      </c>
      <c r="BX108">
        <v>4.0325373411178589E-2</v>
      </c>
      <c r="BY108">
        <v>4.3959848582744598E-2</v>
      </c>
      <c r="BZ108">
        <v>4.2056076228618622E-2</v>
      </c>
      <c r="CA108">
        <v>3.7556249648332596E-2</v>
      </c>
      <c r="CB108">
        <v>4.0498442947864532E-2</v>
      </c>
      <c r="CC108">
        <v>3.6517824977636337E-2</v>
      </c>
      <c r="CD108">
        <v>3.87677401304245E-2</v>
      </c>
      <c r="CE108">
        <v>4.3267566710710526E-2</v>
      </c>
      <c r="CF108">
        <v>3.9633091539144516E-2</v>
      </c>
      <c r="CG108">
        <v>4.1017651557922363E-2</v>
      </c>
      <c r="CH108">
        <v>4.1190724819898605E-2</v>
      </c>
      <c r="CI108">
        <v>3.8594670593738556E-2</v>
      </c>
      <c r="CJ108">
        <v>4.2402215301990509E-2</v>
      </c>
      <c r="CK108">
        <v>3.9979230612516403E-2</v>
      </c>
      <c r="CL108">
        <v>3.6344755440950394E-2</v>
      </c>
      <c r="CM108">
        <v>3.7037037312984467E-2</v>
      </c>
      <c r="CN108">
        <v>3.9113879203796387E-2</v>
      </c>
      <c r="CO108">
        <v>4.6382833272218704E-2</v>
      </c>
      <c r="CP108">
        <v>4.0325373411178589E-2</v>
      </c>
      <c r="CQ108">
        <v>3.6344755440950394E-2</v>
      </c>
      <c r="CR108">
        <v>3.6690898239612579E-2</v>
      </c>
    </row>
    <row r="109" spans="2:100" x14ac:dyDescent="0.25">
      <c r="B109" s="2"/>
      <c r="C109" s="2"/>
      <c r="D109" s="41" t="str" cm="1">
        <f t="array" ref="D109">IF(H109="","",IF(AND(E109&lt;AVERAGE(E108,E110)*($L$19/100),$D$23:D108=""),H109,""))</f>
        <v/>
      </c>
      <c r="E109" s="78">
        <f t="shared" si="2"/>
        <v>2.9965013178326623E-2</v>
      </c>
      <c r="F109" s="79"/>
      <c r="H109" s="1">
        <v>87</v>
      </c>
      <c r="I109" s="75">
        <v>4.4084986821673382E-2</v>
      </c>
      <c r="J109" s="75"/>
      <c r="K109">
        <v>4.188300296664238E-2</v>
      </c>
      <c r="L109">
        <v>4.7963321208953857E-2</v>
      </c>
      <c r="M109">
        <v>4.2496915906667709E-2</v>
      </c>
      <c r="N109">
        <v>4.320225864648819E-2</v>
      </c>
      <c r="O109">
        <v>5.5545758455991745E-2</v>
      </c>
      <c r="P109">
        <v>3.9499208331108093E-2</v>
      </c>
      <c r="Q109">
        <v>4.6376299113035202E-2</v>
      </c>
      <c r="R109">
        <v>4.6728972345590591E-2</v>
      </c>
      <c r="S109">
        <v>3.9146535098552704E-2</v>
      </c>
      <c r="T109">
        <v>4.320225864648819E-2</v>
      </c>
      <c r="U109">
        <v>4.4083934277296066E-2</v>
      </c>
      <c r="V109">
        <v>3.9499208331108093E-2</v>
      </c>
      <c r="W109">
        <v>4.0733557194471359E-2</v>
      </c>
      <c r="X109">
        <v>4.0733557194471359E-2</v>
      </c>
      <c r="Y109">
        <v>4.6023629605770111E-2</v>
      </c>
      <c r="Z109">
        <v>3.8970198482275009E-2</v>
      </c>
      <c r="AA109">
        <v>4.5847292989492416E-2</v>
      </c>
      <c r="AB109">
        <v>4.2320579290390015E-2</v>
      </c>
      <c r="AC109">
        <v>4.143889993429184E-2</v>
      </c>
      <c r="AD109">
        <v>4.4965613633394241E-2</v>
      </c>
      <c r="AE109">
        <v>4.320225864648819E-2</v>
      </c>
      <c r="AF109">
        <v>3.9146535098552704E-2</v>
      </c>
      <c r="AG109">
        <v>5.6074764579534531E-2</v>
      </c>
      <c r="AH109">
        <v>4.4083934277296066E-2</v>
      </c>
      <c r="AI109">
        <v>4.4436607509851456E-2</v>
      </c>
      <c r="AJ109">
        <v>5.3253393620252609E-2</v>
      </c>
      <c r="AK109">
        <v>3.9146535098552704E-2</v>
      </c>
      <c r="AL109">
        <v>4.461294412612915E-2</v>
      </c>
      <c r="AM109">
        <v>5.572209507226944E-2</v>
      </c>
      <c r="AN109">
        <v>4.5141950249671936E-2</v>
      </c>
      <c r="AO109">
        <v>4.390760138630867E-2</v>
      </c>
      <c r="AP109">
        <v>4.9021337181329727E-2</v>
      </c>
      <c r="AQ109">
        <v>3.9322871714830399E-2</v>
      </c>
      <c r="AR109">
        <v>3.6677833646535873E-2</v>
      </c>
      <c r="AS109">
        <v>4.4083934277296066E-2</v>
      </c>
      <c r="AT109">
        <v>3.9851877838373184E-2</v>
      </c>
      <c r="AU109">
        <v>4.0204551070928574E-2</v>
      </c>
      <c r="AV109">
        <v>4.8315994441509247E-2</v>
      </c>
      <c r="AW109">
        <v>4.1791569441556931E-2</v>
      </c>
      <c r="AX109">
        <v>3.6677833646535873E-2</v>
      </c>
      <c r="AY109">
        <v>4.6199966222047806E-2</v>
      </c>
      <c r="AZ109">
        <v>5.0255686044692993E-2</v>
      </c>
      <c r="BA109">
        <v>3.8264855742454529E-2</v>
      </c>
      <c r="BB109">
        <v>4.108622670173645E-2</v>
      </c>
      <c r="BC109">
        <v>4.2320579290390015E-2</v>
      </c>
      <c r="BD109">
        <v>3.9851877838373184E-2</v>
      </c>
      <c r="BE109">
        <v>4.5318286865949631E-2</v>
      </c>
      <c r="BF109">
        <v>4.1967906057834625E-2</v>
      </c>
      <c r="BG109">
        <v>4.320225864648819E-2</v>
      </c>
      <c r="BH109">
        <v>5.3077057003974915E-2</v>
      </c>
      <c r="BI109">
        <v>4.2496915906667709E-2</v>
      </c>
      <c r="BJ109">
        <v>4.1791569441556931E-2</v>
      </c>
      <c r="BK109">
        <v>4.3025922030210495E-2</v>
      </c>
      <c r="BL109">
        <v>3.9146535098552704E-2</v>
      </c>
      <c r="BM109">
        <v>3.967554122209549E-2</v>
      </c>
      <c r="BN109">
        <v>4.6199966222047806E-2</v>
      </c>
      <c r="BO109">
        <v>4.1615236550569534E-2</v>
      </c>
      <c r="BP109">
        <v>4.3378591537475586E-2</v>
      </c>
      <c r="BQ109">
        <v>4.8315994441509247E-2</v>
      </c>
      <c r="BR109">
        <v>4.4965613633394241E-2</v>
      </c>
      <c r="BS109">
        <v>4.6376299113035202E-2</v>
      </c>
      <c r="BT109">
        <v>4.2496915906667709E-2</v>
      </c>
      <c r="BU109">
        <v>5.2195381373167038E-2</v>
      </c>
      <c r="BV109">
        <v>4.5847292989492416E-2</v>
      </c>
      <c r="BW109">
        <v>4.3554928153753281E-2</v>
      </c>
      <c r="BX109">
        <v>3.967554122209549E-2</v>
      </c>
      <c r="BY109">
        <v>4.4436607509851456E-2</v>
      </c>
      <c r="BZ109">
        <v>4.9021337181329727E-2</v>
      </c>
      <c r="CA109">
        <v>3.8617528975009918E-2</v>
      </c>
      <c r="CB109">
        <v>4.390760138630867E-2</v>
      </c>
      <c r="CC109">
        <v>5.2019044756889343E-2</v>
      </c>
      <c r="CD109">
        <v>4.108622670173645E-2</v>
      </c>
      <c r="CE109">
        <v>4.2673248797655106E-2</v>
      </c>
      <c r="CF109">
        <v>4.3378591537475586E-2</v>
      </c>
      <c r="CG109">
        <v>4.1791569441556931E-2</v>
      </c>
      <c r="CH109">
        <v>4.0733557194471359E-2</v>
      </c>
      <c r="CI109">
        <v>4.7610651701688766E-2</v>
      </c>
      <c r="CJ109">
        <v>4.6199966222047806E-2</v>
      </c>
      <c r="CK109">
        <v>4.1791569441556931E-2</v>
      </c>
      <c r="CL109">
        <v>4.8139657825231552E-2</v>
      </c>
      <c r="CM109">
        <v>3.8970198482275009E-2</v>
      </c>
      <c r="CN109">
        <v>4.6376299113035202E-2</v>
      </c>
      <c r="CO109">
        <v>4.7610651701688766E-2</v>
      </c>
      <c r="CP109">
        <v>4.8845000565052032E-2</v>
      </c>
      <c r="CQ109">
        <v>4.0204551070928574E-2</v>
      </c>
      <c r="CR109">
        <v>5.2900724112987518E-2</v>
      </c>
      <c r="CS109">
        <v>4.143889993429184E-2</v>
      </c>
    </row>
    <row r="110" spans="2:100" x14ac:dyDescent="0.25">
      <c r="B110" s="2"/>
      <c r="C110" s="2"/>
      <c r="D110" s="41" t="str" cm="1">
        <f t="array" ref="D110">IF(H110="","",IF(AND(E110&lt;AVERAGE(E109,E111)*($L$19/100),$D$23:D109=""),H110,""))</f>
        <v/>
      </c>
      <c r="E110" s="78">
        <f t="shared" si="2"/>
        <v>3.3882580802454196E-2</v>
      </c>
      <c r="F110" s="79"/>
      <c r="H110" s="1">
        <v>88</v>
      </c>
      <c r="I110" s="75">
        <v>4.0167419197545809E-2</v>
      </c>
      <c r="J110" s="75"/>
      <c r="K110">
        <v>3.7556152790784836E-2</v>
      </c>
      <c r="L110">
        <v>3.6118596792221069E-2</v>
      </c>
      <c r="M110">
        <v>4.2587600648403168E-2</v>
      </c>
      <c r="N110">
        <v>4.0071878582239151E-2</v>
      </c>
      <c r="O110">
        <v>3.9892181754112244E-2</v>
      </c>
      <c r="P110">
        <v>4.2767293751239777E-2</v>
      </c>
      <c r="Q110">
        <v>4.1150044649839401E-2</v>
      </c>
      <c r="R110">
        <v>3.8095239549875259E-2</v>
      </c>
      <c r="S110">
        <v>4.9056604504585266E-2</v>
      </c>
      <c r="T110">
        <v>3.8454625755548477E-2</v>
      </c>
      <c r="U110">
        <v>4.0431268513202667E-2</v>
      </c>
      <c r="V110">
        <v>4.2228210717439651E-2</v>
      </c>
      <c r="W110">
        <v>4.132973775267601E-2</v>
      </c>
      <c r="X110">
        <v>4.132973775267601E-2</v>
      </c>
      <c r="Y110">
        <v>3.7556152790784836E-2</v>
      </c>
      <c r="Z110">
        <v>4.5462712645530701E-2</v>
      </c>
      <c r="AA110">
        <v>3.7735849618911743E-2</v>
      </c>
      <c r="AB110">
        <v>4.1150044649839401E-2</v>
      </c>
      <c r="AC110">
        <v>3.5399820655584335E-2</v>
      </c>
      <c r="AD110">
        <v>4.0610961616039276E-2</v>
      </c>
      <c r="AE110">
        <v>3.8814015686511993E-2</v>
      </c>
      <c r="AF110">
        <v>3.5040430724620819E-2</v>
      </c>
      <c r="AG110">
        <v>3.9712488651275635E-2</v>
      </c>
      <c r="AH110">
        <v>3.486073762178421E-2</v>
      </c>
      <c r="AI110">
        <v>3.8634322583675385E-2</v>
      </c>
      <c r="AJ110">
        <v>3.8814015686511993E-2</v>
      </c>
      <c r="AK110">
        <v>4.0970351547002792E-2</v>
      </c>
      <c r="AL110">
        <v>3.7915542721748352E-2</v>
      </c>
      <c r="AM110">
        <v>4.0071878582239151E-2</v>
      </c>
      <c r="AN110">
        <v>3.7196766585111618E-2</v>
      </c>
      <c r="AO110">
        <v>3.7017069756984711E-2</v>
      </c>
      <c r="AP110">
        <v>4.8337824642658234E-2</v>
      </c>
      <c r="AQ110">
        <v>3.6118596792221069E-2</v>
      </c>
      <c r="AR110">
        <v>3.7376459687948227E-2</v>
      </c>
      <c r="AS110">
        <v>4.132973775267601E-2</v>
      </c>
      <c r="AT110">
        <v>3.9353098720312119E-2</v>
      </c>
      <c r="AU110">
        <v>4.0610961616039276E-2</v>
      </c>
      <c r="AV110">
        <v>4.0970351547002792E-2</v>
      </c>
      <c r="AW110">
        <v>4.132973775267601E-2</v>
      </c>
      <c r="AX110">
        <v>4.2946990579366684E-2</v>
      </c>
      <c r="AY110">
        <v>3.7376459687948227E-2</v>
      </c>
      <c r="AZ110">
        <v>4.6181492507457733E-2</v>
      </c>
      <c r="BA110">
        <v>4.3486073613166809E-2</v>
      </c>
      <c r="BB110">
        <v>3.7017069756984711E-2</v>
      </c>
      <c r="BC110">
        <v>3.7915542721748352E-2</v>
      </c>
      <c r="BD110">
        <v>3.7915542721748352E-2</v>
      </c>
      <c r="BE110">
        <v>4.3126683682203293E-2</v>
      </c>
      <c r="BF110">
        <v>4.3665766716003418E-2</v>
      </c>
      <c r="BG110">
        <v>4.2228210717439651E-2</v>
      </c>
      <c r="BH110">
        <v>4.0071878582239151E-2</v>
      </c>
      <c r="BI110">
        <v>4.1509434580802917E-2</v>
      </c>
      <c r="BJ110">
        <v>3.8993712514638901E-2</v>
      </c>
      <c r="BK110">
        <v>4.0610961616039276E-2</v>
      </c>
      <c r="BL110">
        <v>4.5283019542694092E-2</v>
      </c>
      <c r="BM110">
        <v>3.7196766585111618E-2</v>
      </c>
      <c r="BN110">
        <v>4.2946990579366684E-2</v>
      </c>
      <c r="BO110">
        <v>4.4025156646966934E-2</v>
      </c>
      <c r="BP110">
        <v>4.869721457362175E-2</v>
      </c>
      <c r="BQ110">
        <v>3.8634322583675385E-2</v>
      </c>
      <c r="BR110">
        <v>4.1150044649839401E-2</v>
      </c>
      <c r="BS110">
        <v>4.0431268513202667E-2</v>
      </c>
      <c r="BT110">
        <v>3.8095239549875259E-2</v>
      </c>
      <c r="BU110">
        <v>3.7376459687948227E-2</v>
      </c>
      <c r="BV110">
        <v>4.3665766716003418E-2</v>
      </c>
      <c r="BW110">
        <v>3.9712488651275635E-2</v>
      </c>
      <c r="BX110">
        <v>4.6361185610294342E-2</v>
      </c>
      <c r="BY110">
        <v>3.5399820655584335E-2</v>
      </c>
      <c r="BZ110">
        <v>3.7376459687948227E-2</v>
      </c>
      <c r="CA110">
        <v>4.0431268513202667E-2</v>
      </c>
      <c r="CB110">
        <v>3.917340561747551E-2</v>
      </c>
      <c r="CC110">
        <v>3.9743591099977493E-2</v>
      </c>
      <c r="CD110">
        <v>4.5787546783685684E-2</v>
      </c>
      <c r="CE110">
        <v>3.8644690066576004E-2</v>
      </c>
      <c r="CF110">
        <v>3.8644690066576004E-2</v>
      </c>
      <c r="CG110">
        <v>4.3772894889116287E-2</v>
      </c>
      <c r="CH110">
        <v>3.937729075551033E-2</v>
      </c>
      <c r="CI110">
        <v>3.937729075551033E-2</v>
      </c>
      <c r="CJ110">
        <v>3.461538627743721E-2</v>
      </c>
      <c r="CK110">
        <v>4.1575092822313309E-2</v>
      </c>
      <c r="CL110">
        <v>3.6446887999773026E-2</v>
      </c>
      <c r="CM110">
        <v>4.0659341961145401E-2</v>
      </c>
      <c r="CN110">
        <v>3.8095239549875259E-2</v>
      </c>
      <c r="CO110">
        <v>4.175824299454689E-2</v>
      </c>
      <c r="CP110">
        <v>3.7912089377641678E-2</v>
      </c>
      <c r="CQ110">
        <v>3.9010990411043167E-2</v>
      </c>
      <c r="CR110">
        <v>3.7728939205408096E-2</v>
      </c>
      <c r="CS110">
        <v>4.1025642305612564E-2</v>
      </c>
      <c r="CT110">
        <v>3.8095239549875259E-2</v>
      </c>
    </row>
    <row r="111" spans="2:100" x14ac:dyDescent="0.25">
      <c r="B111" s="2"/>
      <c r="C111" s="2"/>
      <c r="D111" s="41" t="str" cm="1">
        <f t="array" ref="D111">IF(H111="","",IF(AND(E111&lt;AVERAGE(E110,E112)*($L$19/100),$D$23:D110=""),H111,""))</f>
        <v/>
      </c>
      <c r="E111" s="78">
        <f t="shared" si="2"/>
        <v>3.3899690955676395E-2</v>
      </c>
      <c r="F111" s="79"/>
      <c r="H111" s="1">
        <v>89</v>
      </c>
      <c r="I111" s="75">
        <v>4.0150309044323609E-2</v>
      </c>
      <c r="J111" s="75"/>
      <c r="K111">
        <v>4.7985348850488663E-2</v>
      </c>
      <c r="L111">
        <v>4.1208792477846146E-2</v>
      </c>
      <c r="M111">
        <v>3.9560440927743912E-2</v>
      </c>
      <c r="N111">
        <v>3.7912089377641678E-2</v>
      </c>
      <c r="O111">
        <v>4.1025642305612564E-2</v>
      </c>
      <c r="P111">
        <v>3.8827840238809586E-2</v>
      </c>
      <c r="Q111">
        <v>4.2673993855714798E-2</v>
      </c>
      <c r="R111">
        <v>3.8827840238809586E-2</v>
      </c>
      <c r="S111">
        <v>3.8095239549875259E-2</v>
      </c>
      <c r="T111">
        <v>4.1208792477846146E-2</v>
      </c>
      <c r="U111">
        <v>3.4249085932970047E-2</v>
      </c>
      <c r="V111">
        <v>4.0659341961145401E-2</v>
      </c>
      <c r="W111">
        <v>3.5347986966371536E-2</v>
      </c>
      <c r="X111">
        <v>3.6630038172006607E-2</v>
      </c>
      <c r="Y111">
        <v>4.2673993855714798E-2</v>
      </c>
      <c r="Z111">
        <v>4.0293041616678238E-2</v>
      </c>
      <c r="AA111">
        <v>4.3406594544649124E-2</v>
      </c>
      <c r="AB111">
        <v>3.8827840238809586E-2</v>
      </c>
      <c r="AC111">
        <v>4.1941393166780472E-2</v>
      </c>
      <c r="AD111">
        <v>4.0842492133378983E-2</v>
      </c>
      <c r="AE111">
        <v>4.1391942650079727E-2</v>
      </c>
      <c r="AF111">
        <v>4.1391942650079727E-2</v>
      </c>
      <c r="AG111">
        <v>3.8461539894342422E-2</v>
      </c>
      <c r="AH111">
        <v>4.2673993855714798E-2</v>
      </c>
      <c r="AI111">
        <v>4.2124543339014053E-2</v>
      </c>
      <c r="AJ111">
        <v>4.0293041616678238E-2</v>
      </c>
      <c r="AK111">
        <v>3.937729075551033E-2</v>
      </c>
      <c r="AL111">
        <v>3.9194140583276749E-2</v>
      </c>
      <c r="AM111">
        <v>3.7545789033174515E-2</v>
      </c>
      <c r="AN111">
        <v>4.2124543339014053E-2</v>
      </c>
      <c r="AO111">
        <v>3.937729075551033E-2</v>
      </c>
      <c r="AP111">
        <v>4.0293041616678238E-2</v>
      </c>
      <c r="AQ111">
        <v>4.1025642305612564E-2</v>
      </c>
      <c r="AR111">
        <v>3.8644690066576004E-2</v>
      </c>
      <c r="AS111">
        <v>3.8095239549875259E-2</v>
      </c>
      <c r="AT111">
        <v>3.9194140583276749E-2</v>
      </c>
      <c r="AU111">
        <v>3.7179488688707352E-2</v>
      </c>
      <c r="AV111">
        <v>3.5347986966371536E-2</v>
      </c>
      <c r="AW111">
        <v>4.0293041616678238E-2</v>
      </c>
      <c r="AX111">
        <v>4.3040294200181961E-2</v>
      </c>
      <c r="AY111">
        <v>3.6080587655305862E-2</v>
      </c>
      <c r="AZ111">
        <v>4.0476191788911819E-2</v>
      </c>
      <c r="BA111">
        <v>4.0293041616678238E-2</v>
      </c>
      <c r="BB111">
        <v>3.937729075551033E-2</v>
      </c>
      <c r="BC111">
        <v>3.9560440927743912E-2</v>
      </c>
      <c r="BD111">
        <v>4.0659341961145401E-2</v>
      </c>
      <c r="BE111">
        <v>3.8644690066576004E-2</v>
      </c>
      <c r="BF111">
        <v>4.3589744716882706E-2</v>
      </c>
      <c r="BG111">
        <v>3.7728939205408096E-2</v>
      </c>
      <c r="BH111">
        <v>3.9743591099977493E-2</v>
      </c>
      <c r="BI111">
        <v>4.1391942650079727E-2</v>
      </c>
      <c r="BJ111">
        <v>3.6263737827539444E-2</v>
      </c>
      <c r="BK111">
        <v>3.4432236105203629E-2</v>
      </c>
      <c r="BL111">
        <v>3.6630038172006607E-2</v>
      </c>
      <c r="BM111">
        <v>3.9208363741636276E-2</v>
      </c>
      <c r="BN111">
        <v>4.406273365020752E-2</v>
      </c>
      <c r="BO111">
        <v>3.771471232175827E-2</v>
      </c>
      <c r="BP111">
        <v>3.7154592573642731E-2</v>
      </c>
      <c r="BQ111">
        <v>5.5265124887228012E-2</v>
      </c>
      <c r="BR111">
        <v>4.5929796993732452E-2</v>
      </c>
      <c r="BS111">
        <v>4.0888722985982895E-2</v>
      </c>
      <c r="BT111">
        <v>3.9768483489751816E-2</v>
      </c>
      <c r="BU111">
        <v>4.1262134909629822E-2</v>
      </c>
      <c r="BV111">
        <v>3.771471232175827E-2</v>
      </c>
      <c r="BW111">
        <v>3.8461539894342422E-2</v>
      </c>
      <c r="BX111">
        <v>3.7528004497289658E-2</v>
      </c>
      <c r="BY111">
        <v>4.0515311062335968E-2</v>
      </c>
      <c r="BZ111">
        <v>4.3129201978445053E-2</v>
      </c>
      <c r="CA111">
        <v>3.6594472825527191E-2</v>
      </c>
      <c r="CB111">
        <v>4.406273365020752E-2</v>
      </c>
      <c r="CC111">
        <v>3.8834951817989349E-2</v>
      </c>
      <c r="CD111">
        <v>3.6967884749174118E-2</v>
      </c>
      <c r="CE111">
        <v>3.8461539894342422E-2</v>
      </c>
      <c r="CF111">
        <v>3.7528004497289658E-2</v>
      </c>
      <c r="CG111">
        <v>4.3129201978445053E-2</v>
      </c>
      <c r="CH111">
        <v>4.873039573431015E-2</v>
      </c>
      <c r="CI111">
        <v>4.4809561222791672E-2</v>
      </c>
      <c r="CJ111">
        <v>4.1448842734098434E-2</v>
      </c>
      <c r="CK111">
        <v>4.0702015161514282E-2</v>
      </c>
      <c r="CL111">
        <v>3.7528004497289658E-2</v>
      </c>
      <c r="CM111">
        <v>3.6221060901880264E-2</v>
      </c>
      <c r="CN111">
        <v>4.2382374405860901E-2</v>
      </c>
      <c r="CO111">
        <v>3.9768483489751816E-2</v>
      </c>
      <c r="CP111">
        <v>3.8461539894342422E-2</v>
      </c>
      <c r="CQ111">
        <v>4.0702015161514282E-2</v>
      </c>
      <c r="CR111">
        <v>3.5847648978233337E-2</v>
      </c>
      <c r="CS111">
        <v>4.0328603237867355E-2</v>
      </c>
      <c r="CT111">
        <v>4.0515311062335968E-2</v>
      </c>
      <c r="CU111">
        <v>4.7610156238079071E-2</v>
      </c>
    </row>
    <row r="112" spans="2:100" x14ac:dyDescent="0.25">
      <c r="B112" s="2"/>
      <c r="C112" s="2"/>
      <c r="D112" s="41" t="str" cm="1">
        <f t="array" ref="D112">IF(H112="","",IF(AND(E112&lt;AVERAGE(E111,E113)*($L$19/100),$D$23:D111=""),H112,""))</f>
        <v/>
      </c>
      <c r="E112" s="78">
        <f t="shared" si="2"/>
        <v>2.9888381250699363E-2</v>
      </c>
      <c r="F112" s="79"/>
      <c r="H112" s="1">
        <v>90</v>
      </c>
      <c r="I112" s="75">
        <v>4.4161618749300642E-2</v>
      </c>
      <c r="J112" s="75"/>
      <c r="K112">
        <v>3.8088124245405197E-2</v>
      </c>
      <c r="L112">
        <v>4.6116504818201065E-2</v>
      </c>
      <c r="M112">
        <v>4.4622853398323059E-2</v>
      </c>
      <c r="N112">
        <v>4.2755786329507828E-2</v>
      </c>
      <c r="O112">
        <v>5.6945480406284332E-2</v>
      </c>
      <c r="P112">
        <v>4.0515311062335968E-2</v>
      </c>
      <c r="Q112">
        <v>4.2569082230329514E-2</v>
      </c>
      <c r="R112">
        <v>4.5556385070085526E-2</v>
      </c>
      <c r="S112">
        <v>4.1822254657745361E-2</v>
      </c>
      <c r="T112">
        <v>4.3876025825738907E-2</v>
      </c>
      <c r="U112">
        <v>5.7318896055221558E-2</v>
      </c>
      <c r="V112">
        <v>3.9021659642457962E-2</v>
      </c>
      <c r="W112">
        <v>4.1635550558567047E-2</v>
      </c>
      <c r="X112">
        <v>4.6303212642669678E-2</v>
      </c>
      <c r="Y112">
        <v>4.1262134909629822E-2</v>
      </c>
      <c r="Z112">
        <v>4.1822254657745361E-2</v>
      </c>
      <c r="AA112">
        <v>5.4144885390996933E-2</v>
      </c>
      <c r="AB112">
        <v>4.1635550558567047E-2</v>
      </c>
      <c r="AC112">
        <v>4.2382374405860901E-2</v>
      </c>
      <c r="AD112">
        <v>4.9663927406072617E-2</v>
      </c>
      <c r="AE112">
        <v>4.6303212642669678E-2</v>
      </c>
      <c r="AF112">
        <v>4.5556385070085526E-2</v>
      </c>
      <c r="AG112">
        <v>5.0784166902303696E-2</v>
      </c>
      <c r="AH112">
        <v>3.9581775665283203E-2</v>
      </c>
      <c r="AI112">
        <v>4.2382374405860901E-2</v>
      </c>
      <c r="AJ112">
        <v>4.8543687909841537E-2</v>
      </c>
      <c r="AK112">
        <v>4.3876025825738907E-2</v>
      </c>
      <c r="AL112">
        <v>4.1635550558567047E-2</v>
      </c>
      <c r="AM112">
        <v>4.7796864062547684E-2</v>
      </c>
      <c r="AN112">
        <v>4.4436145573854446E-2</v>
      </c>
      <c r="AO112">
        <v>4.7050036489963531E-2</v>
      </c>
      <c r="AP112">
        <v>4.0515311062335968E-2</v>
      </c>
      <c r="AQ112">
        <v>4.5743092894554138E-2</v>
      </c>
      <c r="AR112">
        <v>4.6676624566316605E-2</v>
      </c>
      <c r="AS112">
        <v>4.0888722985982895E-2</v>
      </c>
      <c r="AT112">
        <v>4.1822254657745361E-2</v>
      </c>
      <c r="AU112">
        <v>3.8461539894342422E-2</v>
      </c>
      <c r="AV112">
        <v>4.6489916741847992E-2</v>
      </c>
      <c r="AW112">
        <v>4.7796864062547684E-2</v>
      </c>
      <c r="AX112">
        <v>4.8917103558778763E-2</v>
      </c>
      <c r="AY112">
        <v>5.2351038902997971E-2</v>
      </c>
      <c r="AZ112">
        <v>4.4165238738059998E-2</v>
      </c>
      <c r="BA112">
        <v>4.0738627314567566E-2</v>
      </c>
      <c r="BB112">
        <v>4.8734057694673538E-2</v>
      </c>
      <c r="BC112">
        <v>4.111935943365097E-2</v>
      </c>
      <c r="BD112">
        <v>3.997715562582016E-2</v>
      </c>
      <c r="BE112">
        <v>5.4825812578201294E-2</v>
      </c>
      <c r="BF112">
        <v>4.5688178390264511E-2</v>
      </c>
      <c r="BG112">
        <v>4.6640016138553619E-2</v>
      </c>
      <c r="BH112">
        <v>4.7972586005926132E-2</v>
      </c>
      <c r="BI112">
        <v>3.4456502646207809E-2</v>
      </c>
      <c r="BJ112">
        <v>4.4545974582433701E-2</v>
      </c>
      <c r="BK112">
        <v>4.6449646353721619E-2</v>
      </c>
      <c r="BL112">
        <v>3.9215687662363052E-2</v>
      </c>
      <c r="BM112">
        <v>3.7121646106243134E-2</v>
      </c>
      <c r="BN112">
        <v>4.3594136834144592E-2</v>
      </c>
      <c r="BO112">
        <v>3.9215687662363052E-2</v>
      </c>
      <c r="BP112">
        <v>4.3213400989770889E-2</v>
      </c>
      <c r="BQ112">
        <v>3.9786789566278458E-2</v>
      </c>
      <c r="BR112">
        <v>4.1500095278024673E-2</v>
      </c>
      <c r="BS112">
        <v>3.9025317877531052E-2</v>
      </c>
      <c r="BT112">
        <v>4.6068914234638214E-2</v>
      </c>
      <c r="BU112">
        <v>4.0357891470193863E-2</v>
      </c>
      <c r="BV112">
        <v>3.9596419781446457E-2</v>
      </c>
      <c r="BW112">
        <v>4.1500095278024673E-2</v>
      </c>
      <c r="BX112">
        <v>4.3594136834144592E-2</v>
      </c>
      <c r="BY112">
        <v>4.5688178390264511E-2</v>
      </c>
      <c r="BZ112">
        <v>4.3784502893686295E-2</v>
      </c>
      <c r="CA112">
        <v>4.1309729218482971E-2</v>
      </c>
      <c r="CB112">
        <v>4.1880831122398376E-2</v>
      </c>
      <c r="CC112">
        <v>4.5878544449806213E-2</v>
      </c>
      <c r="CD112">
        <v>3.8834951817989349E-2</v>
      </c>
      <c r="CE112">
        <v>4.8543687909841537E-2</v>
      </c>
      <c r="CF112">
        <v>4.5497812330722809E-2</v>
      </c>
      <c r="CG112">
        <v>3.8454215973615646E-2</v>
      </c>
      <c r="CH112">
        <v>4.7211118042469025E-2</v>
      </c>
      <c r="CI112">
        <v>4.8734057694673538E-2</v>
      </c>
      <c r="CJ112">
        <v>4.111935943365097E-2</v>
      </c>
      <c r="CK112">
        <v>3.8834951817989349E-2</v>
      </c>
      <c r="CL112">
        <v>5.0256997346878052E-2</v>
      </c>
      <c r="CM112">
        <v>4.1880831122398376E-2</v>
      </c>
      <c r="CN112">
        <v>3.9025317877531052E-2</v>
      </c>
      <c r="CO112">
        <v>4.7972586005926132E-2</v>
      </c>
      <c r="CP112">
        <v>4.1690461337566376E-2</v>
      </c>
      <c r="CQ112">
        <v>4.7020748257637024E-2</v>
      </c>
      <c r="CR112">
        <v>4.340377077460289E-2</v>
      </c>
      <c r="CS112">
        <v>5.0447363406419754E-2</v>
      </c>
      <c r="CT112">
        <v>4.3213400989770889E-2</v>
      </c>
      <c r="CU112">
        <v>3.9596419781446457E-2</v>
      </c>
      <c r="CV112">
        <v>4.9495525658130646E-2</v>
      </c>
    </row>
    <row r="113" spans="2:110" x14ac:dyDescent="0.25">
      <c r="B113" s="2"/>
      <c r="C113" s="2"/>
      <c r="D113" s="41" t="str" cm="1">
        <f t="array" ref="D113">IF(H113="","",IF(AND(E113&lt;AVERAGE(E112,E114)*($L$19/100),$D$23:D112=""),H113,""))</f>
        <v/>
      </c>
      <c r="E113" s="78">
        <f t="shared" si="2"/>
        <v>2.307766074289333E-2</v>
      </c>
      <c r="F113" s="79"/>
      <c r="H113" s="1">
        <v>91</v>
      </c>
      <c r="I113" s="75">
        <v>5.0972339257106675E-2</v>
      </c>
      <c r="J113" s="75"/>
      <c r="K113">
        <v>5.0447363406419754E-2</v>
      </c>
      <c r="L113">
        <v>6.0727205127477646E-2</v>
      </c>
      <c r="M113">
        <v>4.8734057694673538E-2</v>
      </c>
      <c r="N113">
        <v>5.4825812578201294E-2</v>
      </c>
      <c r="O113">
        <v>4.4165238738059998E-2</v>
      </c>
      <c r="P113">
        <v>4.7591853886842728E-2</v>
      </c>
      <c r="Q113">
        <v>4.892442375421524E-2</v>
      </c>
      <c r="R113">
        <v>4.5878544449806213E-2</v>
      </c>
      <c r="S113">
        <v>5.4635446518659592E-2</v>
      </c>
      <c r="T113">
        <v>4.340377077460289E-2</v>
      </c>
      <c r="U113">
        <v>5.8252427726984024E-2</v>
      </c>
      <c r="V113">
        <v>4.5117076486349106E-2</v>
      </c>
      <c r="W113">
        <v>5.4825812578201294E-2</v>
      </c>
      <c r="X113">
        <v>4.340377077460289E-2</v>
      </c>
      <c r="Y113">
        <v>4.5688178390264511E-2</v>
      </c>
      <c r="Z113">
        <v>5.2351038902997971E-2</v>
      </c>
      <c r="AA113">
        <v>4.2832668870687485E-2</v>
      </c>
      <c r="AB113">
        <v>5.7300589978694916E-2</v>
      </c>
      <c r="AC113">
        <v>4.3023034930229187E-2</v>
      </c>
      <c r="AD113">
        <v>5.7490956038236618E-2</v>
      </c>
      <c r="AE113">
        <v>4.9876261502504349E-2</v>
      </c>
      <c r="AF113">
        <v>4.4736340641975403E-2</v>
      </c>
      <c r="AG113">
        <v>6.1298307031393051E-2</v>
      </c>
      <c r="AH113">
        <v>4.7972586005926132E-2</v>
      </c>
      <c r="AI113">
        <v>4.4926706701517105E-2</v>
      </c>
      <c r="AJ113">
        <v>4.7401484102010727E-2</v>
      </c>
      <c r="AK113">
        <v>5.5396914482116699E-2</v>
      </c>
      <c r="AL113">
        <v>4.2642299085855484E-2</v>
      </c>
      <c r="AM113">
        <v>4.7757718712091446E-2</v>
      </c>
      <c r="AN113">
        <v>6.6977284848690033E-2</v>
      </c>
      <c r="AO113">
        <v>4.4651523232460022E-2</v>
      </c>
      <c r="AP113">
        <v>5.6105609983205795E-2</v>
      </c>
      <c r="AQ113">
        <v>5.299941822886467E-2</v>
      </c>
      <c r="AR113">
        <v>4.2516015470027924E-2</v>
      </c>
      <c r="AS113">
        <v>4.5816347002983093E-2</v>
      </c>
      <c r="AT113">
        <v>4.4651523232460022E-2</v>
      </c>
      <c r="AU113">
        <v>5.9794213622808456E-2</v>
      </c>
      <c r="AV113">
        <v>4.9310814589262009E-2</v>
      </c>
      <c r="AW113">
        <v>5.1640458405017853E-2</v>
      </c>
      <c r="AX113">
        <v>4.7563578933477402E-2</v>
      </c>
      <c r="AY113">
        <v>4.6592894941568375E-2</v>
      </c>
      <c r="AZ113">
        <v>5.0863910466432571E-2</v>
      </c>
      <c r="BA113">
        <v>4.8145990818738937E-2</v>
      </c>
      <c r="BB113">
        <v>5.7270433753728867E-2</v>
      </c>
      <c r="BC113">
        <v>5.1058046519756317E-2</v>
      </c>
      <c r="BD113">
        <v>4.8728402704000473E-2</v>
      </c>
      <c r="BE113">
        <v>5.6105609983205795E-2</v>
      </c>
      <c r="BF113">
        <v>5.1834594458341599E-2</v>
      </c>
      <c r="BG113">
        <v>4.6981167048215866E-2</v>
      </c>
      <c r="BH113">
        <v>4.8534266650676727E-2</v>
      </c>
      <c r="BI113">
        <v>8.2119978964328766E-2</v>
      </c>
      <c r="BJ113">
        <v>4.7563578933477402E-2</v>
      </c>
      <c r="BK113">
        <v>5.6688021868467331E-2</v>
      </c>
      <c r="BL113">
        <v>5.8046981692314148E-2</v>
      </c>
      <c r="BM113">
        <v>5.1058046519756317E-2</v>
      </c>
      <c r="BN113">
        <v>5.261114239692688E-2</v>
      </c>
      <c r="BO113">
        <v>5.8241117745637894E-2</v>
      </c>
      <c r="BP113">
        <v>4.96990866959095E-2</v>
      </c>
      <c r="BQ113">
        <v>5.2417006343603134E-2</v>
      </c>
      <c r="BR113">
        <v>4.5233935117721558E-2</v>
      </c>
      <c r="BS113">
        <v>4.1545331478118896E-2</v>
      </c>
      <c r="BT113">
        <v>5.3387690335512161E-2</v>
      </c>
      <c r="BU113">
        <v>4.9310814589262009E-2</v>
      </c>
      <c r="BV113">
        <v>5.8435253798961639E-2</v>
      </c>
      <c r="BW113">
        <v>5.7076297700405121E-2</v>
      </c>
      <c r="BX113">
        <v>4.5622210949659348E-2</v>
      </c>
      <c r="BY113">
        <v>3.9215687662363052E-2</v>
      </c>
      <c r="BZ113">
        <v>4.6981167048215866E-2</v>
      </c>
      <c r="CA113">
        <v>5.8046981692314148E-2</v>
      </c>
      <c r="CB113">
        <v>4.6398758888244629E-2</v>
      </c>
      <c r="CC113">
        <v>5.2805282175540924E-2</v>
      </c>
      <c r="CD113">
        <v>8.5808582603931427E-2</v>
      </c>
      <c r="CE113">
        <v>4.5428071171045303E-2</v>
      </c>
      <c r="CF113">
        <v>4.5622210949659348E-2</v>
      </c>
      <c r="CG113">
        <v>4.0962919592857361E-2</v>
      </c>
      <c r="CH113">
        <v>6.1929721385240555E-2</v>
      </c>
      <c r="CI113">
        <v>5.1058046519756317E-2</v>
      </c>
      <c r="CJ113">
        <v>4.8534266650676727E-2</v>
      </c>
      <c r="CK113">
        <v>5.8046981692314148E-2</v>
      </c>
      <c r="CL113">
        <v>5.3581830114126205E-2</v>
      </c>
      <c r="CM113">
        <v>4.8145990818738937E-2</v>
      </c>
      <c r="CN113">
        <v>4.3680839240550995E-2</v>
      </c>
      <c r="CO113">
        <v>5.4164238274097443E-2</v>
      </c>
      <c r="CP113">
        <v>4.3680839240550995E-2</v>
      </c>
      <c r="CQ113">
        <v>4.2127743363380432E-2</v>
      </c>
      <c r="CR113">
        <v>6.542418897151947E-2</v>
      </c>
      <c r="CS113">
        <v>4.0186371654272079E-2</v>
      </c>
      <c r="CT113">
        <v>4.8340126872062683E-2</v>
      </c>
      <c r="CU113">
        <v>3.9409823715686798E-2</v>
      </c>
      <c r="CV113">
        <v>6.4259365200996399E-2</v>
      </c>
      <c r="CW113">
        <v>4.5816347002983093E-2</v>
      </c>
    </row>
    <row r="114" spans="2:110" x14ac:dyDescent="0.25">
      <c r="B114" s="2"/>
      <c r="C114" s="2"/>
      <c r="D114" s="41" t="str" cm="1">
        <f t="array" ref="D114">IF(H114="","",IF(AND(E114&lt;AVERAGE(E113,E115)*($L$19/100),$D$23:D113=""),H114,""))</f>
        <v/>
      </c>
      <c r="E114" s="78">
        <f t="shared" si="2"/>
        <v>3.4346523109402352E-2</v>
      </c>
      <c r="F114" s="79"/>
      <c r="H114" s="1">
        <v>92</v>
      </c>
      <c r="I114" s="75">
        <v>3.9703476890597653E-2</v>
      </c>
      <c r="J114" s="75"/>
      <c r="K114">
        <v>3.8439139723777771E-2</v>
      </c>
      <c r="L114">
        <v>3.8439139723777771E-2</v>
      </c>
      <c r="M114">
        <v>3.7468452006578445E-2</v>
      </c>
      <c r="N114">
        <v>4.0380507707595825E-2</v>
      </c>
      <c r="O114">
        <v>3.9215687662363052E-2</v>
      </c>
      <c r="P114">
        <v>4.0768783539533615E-2</v>
      </c>
      <c r="Q114">
        <v>3.5721220076084137E-2</v>
      </c>
      <c r="R114">
        <v>3.6497768014669418E-2</v>
      </c>
      <c r="S114">
        <v>3.397398442029953E-2</v>
      </c>
      <c r="T114">
        <v>4.3486703187227249E-2</v>
      </c>
      <c r="U114">
        <v>3.8050863891839981E-2</v>
      </c>
      <c r="V114">
        <v>3.8633275777101517E-2</v>
      </c>
      <c r="W114">
        <v>4.2710151523351669E-2</v>
      </c>
      <c r="X114">
        <v>4.2127743363380432E-2</v>
      </c>
      <c r="Y114">
        <v>3.5721220076084137E-2</v>
      </c>
      <c r="Z114">
        <v>4.3486703187227249E-2</v>
      </c>
      <c r="AA114">
        <v>3.6691904067993164E-2</v>
      </c>
      <c r="AB114">
        <v>3.8827411830425262E-2</v>
      </c>
      <c r="AC114">
        <v>3.7623763084411621E-2</v>
      </c>
      <c r="AD114">
        <v>3.841584175825119E-2</v>
      </c>
      <c r="AE114">
        <v>4.1386138647794724E-2</v>
      </c>
      <c r="AF114">
        <v>3.9009902626276016E-2</v>
      </c>
      <c r="AG114">
        <v>3.9009902626276016E-2</v>
      </c>
      <c r="AH114">
        <v>3.8613859564065933E-2</v>
      </c>
      <c r="AI114">
        <v>3.841584175825119E-2</v>
      </c>
      <c r="AJ114">
        <v>4.7128714621067047E-2</v>
      </c>
      <c r="AK114">
        <v>4.0792077779769897E-2</v>
      </c>
      <c r="AL114">
        <v>4.2574256658554077E-2</v>
      </c>
      <c r="AM114">
        <v>4.2772278189659119E-2</v>
      </c>
      <c r="AN114">
        <v>4.0396038442850113E-2</v>
      </c>
      <c r="AO114">
        <v>3.9603959769010544E-2</v>
      </c>
      <c r="AP114">
        <v>3.6039605736732483E-2</v>
      </c>
      <c r="AQ114">
        <v>3.9405941963195801E-2</v>
      </c>
      <c r="AR114">
        <v>3.6435645073652267E-2</v>
      </c>
      <c r="AS114">
        <v>4.6138614416122437E-2</v>
      </c>
      <c r="AT114">
        <v>4.0594059973955154E-2</v>
      </c>
      <c r="AU114">
        <v>4.2178217321634293E-2</v>
      </c>
      <c r="AV114">
        <v>3.8811881095170975E-2</v>
      </c>
      <c r="AW114">
        <v>4.1188117116689682E-2</v>
      </c>
      <c r="AX114">
        <v>3.9603959769010544E-2</v>
      </c>
      <c r="AY114">
        <v>3.9405941963195801E-2</v>
      </c>
      <c r="AZ114">
        <v>3.9207920432090759E-2</v>
      </c>
      <c r="BA114">
        <v>3.9999999105930328E-2</v>
      </c>
      <c r="BB114">
        <v>3.742574155330658E-2</v>
      </c>
      <c r="BC114">
        <v>3.841584175825119E-2</v>
      </c>
      <c r="BD114">
        <v>3.8811881095170975E-2</v>
      </c>
      <c r="BE114">
        <v>3.8811881095170975E-2</v>
      </c>
      <c r="BF114">
        <v>4.7920793294906616E-2</v>
      </c>
      <c r="BG114">
        <v>3.742574155330658E-2</v>
      </c>
      <c r="BH114">
        <v>4.4356435537338257E-2</v>
      </c>
      <c r="BI114">
        <v>4.5346535742282867E-2</v>
      </c>
      <c r="BJ114">
        <v>4.4356435537338257E-2</v>
      </c>
      <c r="BK114">
        <v>4.2772278189659119E-2</v>
      </c>
      <c r="BL114">
        <v>4.0792077779769897E-2</v>
      </c>
      <c r="BM114">
        <v>4.1782177984714508E-2</v>
      </c>
      <c r="BN114">
        <v>3.6039605736732483E-2</v>
      </c>
      <c r="BO114">
        <v>3.742574155330658E-2</v>
      </c>
      <c r="BP114">
        <v>3.5445544868707657E-2</v>
      </c>
      <c r="BQ114">
        <v>3.3861387521028519E-2</v>
      </c>
      <c r="BR114">
        <v>4.1782177984714508E-2</v>
      </c>
      <c r="BS114">
        <v>3.56435626745224E-2</v>
      </c>
      <c r="BT114">
        <v>3.9207920432090759E-2</v>
      </c>
      <c r="BU114">
        <v>4.8910889774560928E-2</v>
      </c>
      <c r="BV114">
        <v>3.9207920432090759E-2</v>
      </c>
      <c r="BW114">
        <v>3.9999999105930328E-2</v>
      </c>
      <c r="BX114">
        <v>3.8811881095170975E-2</v>
      </c>
      <c r="BY114">
        <v>4.6534653753042221E-2</v>
      </c>
      <c r="BZ114">
        <v>3.9009902626276016E-2</v>
      </c>
      <c r="CA114">
        <v>3.4059405326843262E-2</v>
      </c>
      <c r="CB114">
        <v>4.2772278189659119E-2</v>
      </c>
      <c r="CC114">
        <v>3.7623763084411621E-2</v>
      </c>
      <c r="CD114">
        <v>4.0990099310874939E-2</v>
      </c>
      <c r="CE114">
        <v>4.4356435537338257E-2</v>
      </c>
      <c r="CF114">
        <v>3.9405941963195801E-2</v>
      </c>
      <c r="CG114">
        <v>4.8118811100721359E-2</v>
      </c>
      <c r="CH114">
        <v>4.1188117116689682E-2</v>
      </c>
      <c r="CI114">
        <v>3.663366287946701E-2</v>
      </c>
      <c r="CJ114">
        <v>4.0990099310874939E-2</v>
      </c>
      <c r="CK114">
        <v>3.9801981300115585E-2</v>
      </c>
      <c r="CL114">
        <v>3.8019802421331406E-2</v>
      </c>
      <c r="CM114">
        <v>3.7227723747491837E-2</v>
      </c>
      <c r="CN114">
        <v>3.8811881095170975E-2</v>
      </c>
      <c r="CO114">
        <v>4.1188117116689682E-2</v>
      </c>
      <c r="CP114">
        <v>3.6237623542547226E-2</v>
      </c>
      <c r="CQ114">
        <v>3.7821780890226364E-2</v>
      </c>
      <c r="CR114">
        <v>3.7029702216386795E-2</v>
      </c>
      <c r="CS114">
        <v>3.6831684410572052E-2</v>
      </c>
      <c r="CT114">
        <v>3.663366287946701E-2</v>
      </c>
      <c r="CU114">
        <v>3.6831684410572052E-2</v>
      </c>
      <c r="CV114">
        <v>3.6435645073652267E-2</v>
      </c>
      <c r="CW114">
        <v>4.1584160178899765E-2</v>
      </c>
      <c r="CX114">
        <v>3.663366287946701E-2</v>
      </c>
    </row>
    <row r="115" spans="2:110" x14ac:dyDescent="0.25">
      <c r="B115" s="2"/>
      <c r="C115" s="2"/>
      <c r="D115" s="41" t="str" cm="1">
        <f t="array" ref="D115">IF(H115="","",IF(AND(E115&lt;AVERAGE(E114,E116)*($L$19/100),$D$23:D114=""),H115,""))</f>
        <v/>
      </c>
      <c r="E115" s="78">
        <f t="shared" si="2"/>
        <v>2.9754065139896133E-2</v>
      </c>
      <c r="F115" s="79"/>
      <c r="H115" s="1">
        <v>93</v>
      </c>
      <c r="I115" s="75">
        <v>4.4295934860103872E-2</v>
      </c>
      <c r="J115" s="75"/>
      <c r="K115">
        <v>4.3960396200418472E-2</v>
      </c>
      <c r="L115">
        <v>4.4356435537338257E-2</v>
      </c>
      <c r="M115">
        <v>4.633663222193718E-2</v>
      </c>
      <c r="N115">
        <v>3.8217820227146149E-2</v>
      </c>
      <c r="O115">
        <v>4.2178217321634293E-2</v>
      </c>
      <c r="P115">
        <v>3.9009902626276016E-2</v>
      </c>
      <c r="Q115">
        <v>5.2079208195209503E-2</v>
      </c>
      <c r="R115">
        <v>4.8712871968746185E-2</v>
      </c>
      <c r="S115">
        <v>3.9405941963195801E-2</v>
      </c>
      <c r="T115">
        <v>3.9405941963195801E-2</v>
      </c>
      <c r="U115">
        <v>4.8484846949577332E-2</v>
      </c>
      <c r="V115">
        <v>3.9393939077854156E-2</v>
      </c>
      <c r="W115">
        <v>3.7373736500740051E-2</v>
      </c>
      <c r="X115">
        <v>4.4040404260158539E-2</v>
      </c>
      <c r="Y115">
        <v>3.9393939077854156E-2</v>
      </c>
      <c r="Z115">
        <v>4.5252524316310883E-2</v>
      </c>
      <c r="AA115">
        <v>4.6666666865348816E-2</v>
      </c>
      <c r="AB115">
        <v>4.8888888210058212E-2</v>
      </c>
      <c r="AC115">
        <v>3.9595957845449448E-2</v>
      </c>
      <c r="AD115">
        <v>5.0505049526691437E-2</v>
      </c>
      <c r="AE115">
        <v>4.2020201683044434E-2</v>
      </c>
      <c r="AF115">
        <v>4.8484846949577332E-2</v>
      </c>
      <c r="AG115">
        <v>5.6363634765148163E-2</v>
      </c>
      <c r="AH115">
        <v>4.3636362999677658E-2</v>
      </c>
      <c r="AI115">
        <v>4.1616160422563553E-2</v>
      </c>
      <c r="AJ115">
        <v>4.8888888210058212E-2</v>
      </c>
      <c r="AK115">
        <v>4.1616160422563553E-2</v>
      </c>
      <c r="AL115">
        <v>3.8181819021701813E-2</v>
      </c>
      <c r="AM115">
        <v>5.6565657258033752E-2</v>
      </c>
      <c r="AN115">
        <v>4.0404040366411209E-2</v>
      </c>
      <c r="AO115">
        <v>3.8787879049777985E-2</v>
      </c>
      <c r="AP115">
        <v>4.6464648097753525E-2</v>
      </c>
      <c r="AQ115">
        <v>4.9898989498615265E-2</v>
      </c>
      <c r="AR115">
        <v>4.1818182915449142E-2</v>
      </c>
      <c r="AS115">
        <v>3.9797980338335037E-2</v>
      </c>
      <c r="AT115">
        <v>4.2424242943525314E-2</v>
      </c>
      <c r="AU115">
        <v>3.7979796528816223E-2</v>
      </c>
      <c r="AV115">
        <v>4.1212122887372971E-2</v>
      </c>
      <c r="AW115">
        <v>4.9292929470539093E-2</v>
      </c>
      <c r="AX115">
        <v>4.3434344232082367E-2</v>
      </c>
      <c r="AY115">
        <v>4.4848483055830002E-2</v>
      </c>
      <c r="AZ115">
        <v>4.1414141654968262E-2</v>
      </c>
      <c r="BA115">
        <v>4.1010100394487381E-2</v>
      </c>
      <c r="BB115">
        <v>4.8686869442462921E-2</v>
      </c>
      <c r="BC115">
        <v>5.0505049526691437E-2</v>
      </c>
      <c r="BD115">
        <v>4.3030302971601486E-2</v>
      </c>
      <c r="BE115">
        <v>5.4545454680919647E-2</v>
      </c>
      <c r="BF115">
        <v>4.787878692150116E-2</v>
      </c>
      <c r="BG115">
        <v>4.2424242943525314E-2</v>
      </c>
      <c r="BH115">
        <v>4.7676768153905869E-2</v>
      </c>
      <c r="BI115">
        <v>4.424242302775383E-2</v>
      </c>
      <c r="BJ115">
        <v>4.5050505548715591E-2</v>
      </c>
      <c r="BK115">
        <v>4.1616160422563553E-2</v>
      </c>
      <c r="BL115">
        <v>3.8787879049777985E-2</v>
      </c>
      <c r="BM115">
        <v>3.8585860282182693E-2</v>
      </c>
      <c r="BN115">
        <v>4.9292929470539093E-2</v>
      </c>
      <c r="BO115">
        <v>4.1616160422563553E-2</v>
      </c>
      <c r="BP115">
        <v>4.2626261711120605E-2</v>
      </c>
      <c r="BQ115">
        <v>4.5050505548715591E-2</v>
      </c>
      <c r="BR115">
        <v>4.787878692150116E-2</v>
      </c>
      <c r="BS115">
        <v>4.0404040366411209E-2</v>
      </c>
      <c r="BT115">
        <v>4.787878692150116E-2</v>
      </c>
      <c r="BU115">
        <v>4.1212122887372971E-2</v>
      </c>
      <c r="BV115">
        <v>4.1414141654968262E-2</v>
      </c>
      <c r="BW115">
        <v>4.5454546809196472E-2</v>
      </c>
      <c r="BX115">
        <v>3.9393939077854156E-2</v>
      </c>
      <c r="BY115">
        <v>4.2828284204006195E-2</v>
      </c>
      <c r="BZ115">
        <v>4.5252524316310883E-2</v>
      </c>
      <c r="CA115">
        <v>3.8989897817373276E-2</v>
      </c>
      <c r="CB115">
        <v>4.080808162689209E-2</v>
      </c>
      <c r="CC115">
        <v>4.8484846949577332E-2</v>
      </c>
      <c r="CD115">
        <v>4.6060606837272644E-2</v>
      </c>
      <c r="CE115">
        <v>3.8989897817373276E-2</v>
      </c>
      <c r="CF115">
        <v>5.2323233336210251E-2</v>
      </c>
      <c r="CG115">
        <v>4.6060606837272644E-2</v>
      </c>
      <c r="CH115">
        <v>4.2424242943525314E-2</v>
      </c>
      <c r="CI115">
        <v>4.06060591340065E-2</v>
      </c>
      <c r="CJ115">
        <v>4.3636362999677658E-2</v>
      </c>
      <c r="CK115">
        <v>4.1414141654968262E-2</v>
      </c>
      <c r="CL115">
        <v>6.1212122440338135E-2</v>
      </c>
      <c r="CM115">
        <v>4.3030302971601486E-2</v>
      </c>
      <c r="CN115">
        <v>4.5050505548715591E-2</v>
      </c>
      <c r="CO115">
        <v>4.6868685632944107E-2</v>
      </c>
      <c r="CP115">
        <v>4.9898989498615265E-2</v>
      </c>
      <c r="CQ115">
        <v>4.3030302971601486E-2</v>
      </c>
      <c r="CR115">
        <v>4.2626261711120605E-2</v>
      </c>
      <c r="CS115">
        <v>3.6565657705068588E-2</v>
      </c>
      <c r="CT115">
        <v>4.1010100394487381E-2</v>
      </c>
      <c r="CU115">
        <v>4.1212122887372971E-2</v>
      </c>
      <c r="CV115">
        <v>4.4646464288234711E-2</v>
      </c>
      <c r="CW115">
        <v>4.3030302971601486E-2</v>
      </c>
      <c r="CX115">
        <v>5.2929293364286423E-2</v>
      </c>
      <c r="CY115">
        <v>4.5858584344387054E-2</v>
      </c>
    </row>
    <row r="116" spans="2:110" x14ac:dyDescent="0.25">
      <c r="B116" s="2"/>
      <c r="C116" s="2"/>
      <c r="D116" s="41" t="str" cm="1">
        <f t="array" ref="D116">IF(H116="","",IF(AND(E116&lt;AVERAGE(E115,E117)*($L$19/100),$D$23:D115=""),H116,""))</f>
        <v/>
      </c>
      <c r="E116" s="78">
        <f t="shared" si="2"/>
        <v>3.4677288815188917E-2</v>
      </c>
      <c r="F116" s="79"/>
      <c r="H116" s="1">
        <v>94</v>
      </c>
      <c r="I116" s="75">
        <v>3.9372711184811088E-2</v>
      </c>
      <c r="J116" s="75"/>
      <c r="K116">
        <v>3.8585860282182693E-2</v>
      </c>
      <c r="L116">
        <v>3.9797980338335037E-2</v>
      </c>
      <c r="M116">
        <v>4.06060591340065E-2</v>
      </c>
      <c r="N116">
        <v>3.5353533923625946E-2</v>
      </c>
      <c r="O116">
        <v>3.8961037993431091E-2</v>
      </c>
      <c r="P116">
        <v>4.1022468358278275E-2</v>
      </c>
      <c r="Q116">
        <v>3.916718065738678E-2</v>
      </c>
      <c r="R116">
        <v>3.545660525560379E-2</v>
      </c>
      <c r="S116">
        <v>4.0404040366411209E-2</v>
      </c>
      <c r="T116">
        <v>4.0610183030366898E-2</v>
      </c>
      <c r="U116">
        <v>4.2053185403347015E-2</v>
      </c>
      <c r="V116">
        <v>3.5662751644849777E-2</v>
      </c>
      <c r="W116">
        <v>3.8548752665519714E-2</v>
      </c>
      <c r="X116">
        <v>3.5250462591648102E-2</v>
      </c>
      <c r="Y116">
        <v>4.1640900075435638E-2</v>
      </c>
      <c r="Z116">
        <v>3.4013606607913971E-2</v>
      </c>
      <c r="AA116">
        <v>4.2053185403347015E-2</v>
      </c>
      <c r="AB116">
        <v>4.0197897702455521E-2</v>
      </c>
      <c r="AC116">
        <v>3.5868894308805466E-2</v>
      </c>
      <c r="AD116">
        <v>4.0197897702455521E-2</v>
      </c>
      <c r="AE116">
        <v>3.6281179636716843E-2</v>
      </c>
      <c r="AF116">
        <v>4.4114615768194199E-2</v>
      </c>
      <c r="AG116">
        <v>3.9373323321342468E-2</v>
      </c>
      <c r="AH116">
        <v>4.3702330440282822E-2</v>
      </c>
      <c r="AI116">
        <v>4.0404040366411209E-2</v>
      </c>
      <c r="AJ116">
        <v>4.0197897702455521E-2</v>
      </c>
      <c r="AK116">
        <v>3.8548752665519714E-2</v>
      </c>
      <c r="AL116">
        <v>4.2053185403347015E-2</v>
      </c>
      <c r="AM116">
        <v>4.1847042739391327E-2</v>
      </c>
      <c r="AN116">
        <v>4.2671613395214081E-2</v>
      </c>
      <c r="AO116">
        <v>4.1640900075435638E-2</v>
      </c>
      <c r="AP116">
        <v>3.3395174890756607E-2</v>
      </c>
      <c r="AQ116">
        <v>4.2671613395214081E-2</v>
      </c>
      <c r="AR116">
        <v>3.4425891935825348E-2</v>
      </c>
      <c r="AS116">
        <v>3.8548752665519714E-2</v>
      </c>
      <c r="AT116">
        <v>4.143475741147995E-2</v>
      </c>
      <c r="AU116">
        <v>3.8342610001564026E-2</v>
      </c>
      <c r="AV116">
        <v>3.9785612374544144E-2</v>
      </c>
      <c r="AW116">
        <v>4.5557618141174316E-2</v>
      </c>
      <c r="AX116">
        <v>3.669346496462822E-2</v>
      </c>
      <c r="AY116">
        <v>3.7518039345741272E-2</v>
      </c>
      <c r="AZ116">
        <v>3.8342610001564026E-2</v>
      </c>
      <c r="BA116">
        <v>3.9991755038499832E-2</v>
      </c>
      <c r="BB116">
        <v>4.2465470731258392E-2</v>
      </c>
      <c r="BC116">
        <v>4.1022468358278275E-2</v>
      </c>
      <c r="BD116">
        <v>3.669346496462822E-2</v>
      </c>
      <c r="BE116">
        <v>3.4632034599781036E-2</v>
      </c>
      <c r="BF116">
        <v>3.772418200969696E-2</v>
      </c>
      <c r="BG116">
        <v>4.3083898723125458E-2</v>
      </c>
      <c r="BH116">
        <v>3.5662751644849777E-2</v>
      </c>
      <c r="BI116">
        <v>3.9785612374544144E-2</v>
      </c>
      <c r="BJ116">
        <v>4.3290045112371445E-2</v>
      </c>
      <c r="BK116">
        <v>4.0197897702455521E-2</v>
      </c>
      <c r="BL116">
        <v>4.1022468358278275E-2</v>
      </c>
      <c r="BM116">
        <v>4.2465470731258392E-2</v>
      </c>
      <c r="BN116">
        <v>3.669346496462822E-2</v>
      </c>
      <c r="BO116">
        <v>4.8237476497888565E-2</v>
      </c>
      <c r="BP116">
        <v>3.669346496462822E-2</v>
      </c>
      <c r="BQ116">
        <v>3.7930324673652649E-2</v>
      </c>
      <c r="BR116">
        <v>4.5351475477218628E-2</v>
      </c>
      <c r="BS116">
        <v>4.2053185403347015E-2</v>
      </c>
      <c r="BT116">
        <v>4.0197897702455521E-2</v>
      </c>
      <c r="BU116">
        <v>3.5044319927692413E-2</v>
      </c>
      <c r="BV116">
        <v>4.1022468358278275E-2</v>
      </c>
      <c r="BW116">
        <v>4.1640900075435638E-2</v>
      </c>
      <c r="BX116">
        <v>4.1228611022233963E-2</v>
      </c>
      <c r="BY116">
        <v>3.9785612374544144E-2</v>
      </c>
      <c r="BZ116">
        <v>3.7930324673652649E-2</v>
      </c>
      <c r="CA116">
        <v>3.4632034599781036E-2</v>
      </c>
      <c r="CB116">
        <v>3.7105750292539597E-2</v>
      </c>
      <c r="CC116">
        <v>3.916718065738678E-2</v>
      </c>
      <c r="CD116">
        <v>3.8961037993431091E-2</v>
      </c>
      <c r="CE116">
        <v>3.9785612374544144E-2</v>
      </c>
      <c r="CF116">
        <v>3.8548752665519714E-2</v>
      </c>
      <c r="CG116">
        <v>4.3496187776327133E-2</v>
      </c>
      <c r="CH116">
        <v>4.1228611022233963E-2</v>
      </c>
      <c r="CI116">
        <v>3.7518039345741272E-2</v>
      </c>
      <c r="CJ116">
        <v>3.5250462591648102E-2</v>
      </c>
      <c r="CK116">
        <v>3.8961037993431091E-2</v>
      </c>
      <c r="CL116">
        <v>3.9579469710588455E-2</v>
      </c>
      <c r="CM116">
        <v>4.0404040366411209E-2</v>
      </c>
      <c r="CN116">
        <v>3.6281179636716843E-2</v>
      </c>
      <c r="CO116">
        <v>3.8754895329475403E-2</v>
      </c>
      <c r="CP116">
        <v>3.6075036972761154E-2</v>
      </c>
      <c r="CQ116">
        <v>3.669346496462822E-2</v>
      </c>
      <c r="CR116">
        <v>4.2877756059169769E-2</v>
      </c>
      <c r="CS116">
        <v>3.9991755038499832E-2</v>
      </c>
      <c r="CT116">
        <v>4.143475741147995E-2</v>
      </c>
      <c r="CU116">
        <v>3.9991755038499832E-2</v>
      </c>
      <c r="CV116">
        <v>3.7930324673652649E-2</v>
      </c>
      <c r="CW116">
        <v>3.5662751644849777E-2</v>
      </c>
      <c r="CX116">
        <v>3.7930324673652649E-2</v>
      </c>
      <c r="CY116">
        <v>3.8548752665519714E-2</v>
      </c>
      <c r="CZ116">
        <v>3.9373323321342468E-2</v>
      </c>
    </row>
    <row r="117" spans="2:110" x14ac:dyDescent="0.25">
      <c r="B117" s="2"/>
      <c r="C117" s="2"/>
      <c r="D117" s="41" t="str" cm="1">
        <f t="array" ref="D117">IF(H117="","",IF(AND(E117&lt;AVERAGE(E116,E118)*($L$19/100),$D$23:D116=""),H117,""))</f>
        <v/>
      </c>
      <c r="E117" s="78">
        <f t="shared" si="2"/>
        <v>3.4077461891111577E-2</v>
      </c>
      <c r="F117" s="79"/>
      <c r="H117" s="1">
        <v>95</v>
      </c>
      <c r="I117" s="75">
        <v>3.9972538108888428E-2</v>
      </c>
      <c r="J117" s="75"/>
      <c r="K117">
        <v>3.8922786712646484E-2</v>
      </c>
      <c r="L117">
        <v>4.0605932474136353E-2</v>
      </c>
      <c r="M117">
        <v>3.7870816886425018E-2</v>
      </c>
      <c r="N117">
        <v>4.102671891450882E-2</v>
      </c>
      <c r="O117">
        <v>3.8502000272274017E-2</v>
      </c>
      <c r="P117">
        <v>3.6398064345121384E-2</v>
      </c>
      <c r="Q117">
        <v>4.0185146033763885E-2</v>
      </c>
      <c r="R117">
        <v>3.7029244005680084E-2</v>
      </c>
      <c r="S117">
        <v>3.8502000272274017E-2</v>
      </c>
      <c r="T117">
        <v>4.102671891450882E-2</v>
      </c>
      <c r="U117">
        <v>3.9343573153018951E-2</v>
      </c>
      <c r="V117">
        <v>3.555649146437645E-2</v>
      </c>
      <c r="W117">
        <v>3.9974752813577652E-2</v>
      </c>
      <c r="X117">
        <v>3.4083735197782516E-2</v>
      </c>
      <c r="Y117">
        <v>3.8081210106611252E-2</v>
      </c>
      <c r="Z117">
        <v>3.3452555537223816E-2</v>
      </c>
      <c r="AA117">
        <v>4.165789857506752E-2</v>
      </c>
      <c r="AB117">
        <v>4.3341048061847687E-2</v>
      </c>
      <c r="AC117">
        <v>3.8922786712646484E-2</v>
      </c>
      <c r="AD117">
        <v>4.4813800603151321E-2</v>
      </c>
      <c r="AE117">
        <v>4.0185146033763885E-2</v>
      </c>
      <c r="AF117">
        <v>3.555649146437645E-2</v>
      </c>
      <c r="AG117">
        <v>3.8502000272274017E-2</v>
      </c>
      <c r="AH117">
        <v>3.8291607052087784E-2</v>
      </c>
      <c r="AI117">
        <v>4.6286556869745255E-2</v>
      </c>
      <c r="AJ117">
        <v>3.9764359593391418E-2</v>
      </c>
      <c r="AK117">
        <v>3.7239637225866318E-2</v>
      </c>
      <c r="AL117">
        <v>4.2709868401288986E-2</v>
      </c>
      <c r="AM117">
        <v>4.5024193823337555E-2</v>
      </c>
      <c r="AN117">
        <v>3.9553966373205185E-2</v>
      </c>
      <c r="AO117">
        <v>4.102671891450882E-2</v>
      </c>
      <c r="AP117">
        <v>4.1868295520544052E-2</v>
      </c>
      <c r="AQ117">
        <v>3.9764359593391418E-2</v>
      </c>
      <c r="AR117">
        <v>3.7029244005680084E-2</v>
      </c>
      <c r="AS117">
        <v>3.7450030446052551E-2</v>
      </c>
      <c r="AT117">
        <v>3.8712393492460251E-2</v>
      </c>
      <c r="AU117">
        <v>3.9764359593391418E-2</v>
      </c>
      <c r="AV117">
        <v>3.618767112493515E-2</v>
      </c>
      <c r="AW117">
        <v>3.8502000272274017E-2</v>
      </c>
      <c r="AX117">
        <v>3.5977277904748917E-2</v>
      </c>
      <c r="AY117">
        <v>4.2289081960916519E-2</v>
      </c>
      <c r="AZ117">
        <v>4.0605932474136353E-2</v>
      </c>
      <c r="BA117">
        <v>5.0073638558387756E-2</v>
      </c>
      <c r="BB117">
        <v>4.102671891450882E-2</v>
      </c>
      <c r="BC117">
        <v>4.102671891450882E-2</v>
      </c>
      <c r="BD117">
        <v>4.5655377209186554E-2</v>
      </c>
      <c r="BE117">
        <v>4.0185146033763885E-2</v>
      </c>
      <c r="BF117">
        <v>3.9974752813577652E-2</v>
      </c>
      <c r="BG117">
        <v>4.292026162147522E-2</v>
      </c>
      <c r="BH117">
        <v>3.9974752813577652E-2</v>
      </c>
      <c r="BI117">
        <v>4.4813800603151321E-2</v>
      </c>
      <c r="BJ117">
        <v>3.4714918583631516E-2</v>
      </c>
      <c r="BK117">
        <v>3.6818850785493851E-2</v>
      </c>
      <c r="BL117">
        <v>4.0605932474136353E-2</v>
      </c>
      <c r="BM117">
        <v>4.0816325694322586E-2</v>
      </c>
      <c r="BN117">
        <v>3.5977277904748917E-2</v>
      </c>
      <c r="BO117">
        <v>4.7759309411048889E-2</v>
      </c>
      <c r="BP117">
        <v>4.102671891450882E-2</v>
      </c>
      <c r="BQ117">
        <v>3.7870816886425018E-2</v>
      </c>
      <c r="BR117">
        <v>3.9974752813577652E-2</v>
      </c>
      <c r="BS117">
        <v>3.8081210106611252E-2</v>
      </c>
      <c r="BT117">
        <v>3.7239637225866318E-2</v>
      </c>
      <c r="BU117">
        <v>3.555649146437645E-2</v>
      </c>
      <c r="BV117">
        <v>4.2078688740730286E-2</v>
      </c>
      <c r="BW117">
        <v>4.0605932474136353E-2</v>
      </c>
      <c r="BX117">
        <v>4.2709868401288986E-2</v>
      </c>
      <c r="BY117">
        <v>3.9764359593391418E-2</v>
      </c>
      <c r="BZ117">
        <v>3.7870816886425018E-2</v>
      </c>
      <c r="CA117">
        <v>4.7548916190862656E-2</v>
      </c>
      <c r="CB117">
        <v>3.7450030446052551E-2</v>
      </c>
      <c r="CC117">
        <v>3.8922786712646484E-2</v>
      </c>
      <c r="CD117">
        <v>4.2289081960916519E-2</v>
      </c>
      <c r="CE117">
        <v>3.8081210106611252E-2</v>
      </c>
      <c r="CF117">
        <v>4.5655377209186554E-2</v>
      </c>
      <c r="CG117">
        <v>4.0185146033763885E-2</v>
      </c>
      <c r="CH117">
        <v>4.7759309411048889E-2</v>
      </c>
      <c r="CI117">
        <v>4.2078688740730286E-2</v>
      </c>
      <c r="CJ117">
        <v>3.429412841796875E-2</v>
      </c>
      <c r="CK117">
        <v>3.5346098244190216E-2</v>
      </c>
      <c r="CL117">
        <v>3.9133179932832718E-2</v>
      </c>
      <c r="CM117">
        <v>3.7660423666238785E-2</v>
      </c>
      <c r="CN117">
        <v>3.5766884684562683E-2</v>
      </c>
      <c r="CO117">
        <v>4.3972227722406387E-2</v>
      </c>
      <c r="CP117">
        <v>3.7450030446052551E-2</v>
      </c>
      <c r="CQ117">
        <v>4.2078688740730286E-2</v>
      </c>
      <c r="CR117">
        <v>4.102671891450882E-2</v>
      </c>
      <c r="CS117">
        <v>3.7870816886425018E-2</v>
      </c>
      <c r="CT117">
        <v>3.9553966373205185E-2</v>
      </c>
      <c r="CU117">
        <v>3.8081210106611252E-2</v>
      </c>
      <c r="CV117">
        <v>4.6076163649559021E-2</v>
      </c>
      <c r="CW117">
        <v>4.0395539253950119E-2</v>
      </c>
      <c r="CX117">
        <v>3.9343573153018951E-2</v>
      </c>
      <c r="CY117">
        <v>4.1868295520544052E-2</v>
      </c>
      <c r="CZ117">
        <v>3.9764359593391418E-2</v>
      </c>
      <c r="DA117">
        <v>4.102671891450882E-2</v>
      </c>
    </row>
    <row r="118" spans="2:110" x14ac:dyDescent="0.25">
      <c r="B118" s="2"/>
      <c r="C118" s="2"/>
      <c r="D118" s="41" t="str" cm="1">
        <f t="array" ref="D118">IF(H118="","",IF(AND(E118&lt;AVERAGE(E117,E119)*($L$19/100),$D$23:D117=""),H118,""))</f>
        <v/>
      </c>
      <c r="E118" s="78">
        <f t="shared" si="2"/>
        <v>2.9956569298046333E-2</v>
      </c>
      <c r="F118" s="79"/>
      <c r="H118" s="1">
        <v>96</v>
      </c>
      <c r="I118" s="75">
        <v>4.4093430701953672E-2</v>
      </c>
      <c r="J118" s="75"/>
      <c r="K118">
        <v>4.1666667908430099E-2</v>
      </c>
      <c r="L118">
        <v>4.7036081552505493E-2</v>
      </c>
      <c r="M118">
        <v>4.1451890021562576E-2</v>
      </c>
      <c r="N118">
        <v>4.510309174656868E-2</v>
      </c>
      <c r="O118">
        <v>5.5627148598432541E-2</v>
      </c>
      <c r="P118">
        <v>3.8445018231868744E-2</v>
      </c>
      <c r="Q118">
        <v>4.0378008037805557E-2</v>
      </c>
      <c r="R118">
        <v>4.7680411487817764E-2</v>
      </c>
      <c r="S118">
        <v>4.4673539698123932E-2</v>
      </c>
      <c r="T118">
        <v>4.0378008037805557E-2</v>
      </c>
      <c r="U118">
        <v>4.5747421681880951E-2</v>
      </c>
      <c r="V118">
        <v>3.9733678102493286E-2</v>
      </c>
      <c r="W118">
        <v>4.2525772005319595E-2</v>
      </c>
      <c r="X118">
        <v>4.3170101940631866E-2</v>
      </c>
      <c r="Y118">
        <v>3.9948452264070511E-2</v>
      </c>
      <c r="Z118">
        <v>4.5317869633436203E-2</v>
      </c>
      <c r="AA118">
        <v>4.6821307390928268E-2</v>
      </c>
      <c r="AB118">
        <v>4.3599657714366913E-2</v>
      </c>
      <c r="AC118">
        <v>3.8874570280313492E-2</v>
      </c>
      <c r="AD118">
        <v>4.6606529504060745E-2</v>
      </c>
      <c r="AE118">
        <v>3.7800688296556473E-2</v>
      </c>
      <c r="AF118">
        <v>4.2096219956874847E-2</v>
      </c>
      <c r="AG118">
        <v>4.7036081552505493E-2</v>
      </c>
      <c r="AH118">
        <v>4.5317869633436203E-2</v>
      </c>
      <c r="AI118">
        <v>3.9948452264070511E-2</v>
      </c>
      <c r="AJ118">
        <v>4.2955327779054642E-2</v>
      </c>
      <c r="AK118">
        <v>4.4029209762811661E-2</v>
      </c>
      <c r="AL118">
        <v>4.4888317584991455E-2</v>
      </c>
      <c r="AM118">
        <v>4.7680411487817764E-2</v>
      </c>
      <c r="AN118">
        <v>3.930412232875824E-2</v>
      </c>
      <c r="AO118">
        <v>4.7895189374685287E-2</v>
      </c>
      <c r="AP118">
        <v>4.338487982749939E-2</v>
      </c>
      <c r="AQ118">
        <v>4.4888317584991455E-2</v>
      </c>
      <c r="AR118">
        <v>4.4888317584991455E-2</v>
      </c>
      <c r="AS118">
        <v>4.4673539698123932E-2</v>
      </c>
      <c r="AT118">
        <v>3.6082472652196884E-2</v>
      </c>
      <c r="AU118">
        <v>4.4673539698123932E-2</v>
      </c>
      <c r="AV118">
        <v>4.1666667908430099E-2</v>
      </c>
      <c r="AW118">
        <v>4.1022337973117828E-2</v>
      </c>
      <c r="AX118">
        <v>4.5747421681880951E-2</v>
      </c>
      <c r="AY118">
        <v>4.8324741423130035E-2</v>
      </c>
      <c r="AZ118">
        <v>3.8445018231868744E-2</v>
      </c>
      <c r="BA118">
        <v>4.0592782199382782E-2</v>
      </c>
      <c r="BB118">
        <v>4.7680411487817764E-2</v>
      </c>
      <c r="BC118">
        <v>4.1666667908430099E-2</v>
      </c>
      <c r="BD118">
        <v>3.9518900215625763E-2</v>
      </c>
      <c r="BE118">
        <v>4.2096219956874847E-2</v>
      </c>
      <c r="BF118">
        <v>3.9733678102493286E-2</v>
      </c>
      <c r="BG118">
        <v>3.7156358361244202E-2</v>
      </c>
      <c r="BH118">
        <v>4.1237112134695053E-2</v>
      </c>
      <c r="BI118">
        <v>4.7895189374685287E-2</v>
      </c>
      <c r="BJ118">
        <v>4.510309174656868E-2</v>
      </c>
      <c r="BK118">
        <v>4.746563732624054E-2</v>
      </c>
      <c r="BL118">
        <v>4.1451890021562576E-2</v>
      </c>
      <c r="BM118">
        <v>4.8754297196865082E-2</v>
      </c>
      <c r="BN118">
        <v>5.0257731229066849E-2</v>
      </c>
      <c r="BO118">
        <v>4.1881442070007324E-2</v>
      </c>
      <c r="BP118">
        <v>4.1666667908430099E-2</v>
      </c>
      <c r="BQ118">
        <v>4.6606529504060745E-2</v>
      </c>
      <c r="BR118">
        <v>4.2310997843742371E-2</v>
      </c>
      <c r="BS118">
        <v>3.9089348167181015E-2</v>
      </c>
      <c r="BT118">
        <v>4.5747421681880951E-2</v>
      </c>
      <c r="BU118">
        <v>3.7371132522821426E-2</v>
      </c>
      <c r="BV118">
        <v>4.3814431875944138E-2</v>
      </c>
      <c r="BW118">
        <v>4.918384924530983E-2</v>
      </c>
      <c r="BX118">
        <v>4.3170101940631866E-2</v>
      </c>
      <c r="BY118">
        <v>4.8969071358442307E-2</v>
      </c>
      <c r="BZ118">
        <v>5.1116839051246643E-2</v>
      </c>
      <c r="CA118">
        <v>4.7680411487817764E-2</v>
      </c>
      <c r="CB118">
        <v>4.1451890021562576E-2</v>
      </c>
      <c r="CC118">
        <v>4.2096219956874847E-2</v>
      </c>
      <c r="CD118">
        <v>4.0163230150938034E-2</v>
      </c>
      <c r="CE118">
        <v>4.5747421681880951E-2</v>
      </c>
      <c r="CF118">
        <v>4.338487982749939E-2</v>
      </c>
      <c r="CG118">
        <v>4.0592782199382782E-2</v>
      </c>
      <c r="CH118">
        <v>3.8659792393445969E-2</v>
      </c>
      <c r="CI118">
        <v>4.9398627132177353E-2</v>
      </c>
      <c r="CJ118">
        <v>3.8445018231868744E-2</v>
      </c>
      <c r="CK118">
        <v>4.4458761811256409E-2</v>
      </c>
      <c r="CL118">
        <v>5.7345360517501831E-2</v>
      </c>
      <c r="CM118">
        <v>4.1881442070007324E-2</v>
      </c>
      <c r="CN118">
        <v>4.3170101940631866E-2</v>
      </c>
      <c r="CO118">
        <v>4.746563732624054E-2</v>
      </c>
      <c r="CP118">
        <v>4.2310997843742371E-2</v>
      </c>
      <c r="CQ118">
        <v>3.9733678102493286E-2</v>
      </c>
      <c r="CR118">
        <v>4.918384924530983E-2</v>
      </c>
      <c r="CS118">
        <v>3.7156358361244202E-2</v>
      </c>
      <c r="CT118">
        <v>4.3814431875944138E-2</v>
      </c>
      <c r="CU118">
        <v>5.3049828857183456E-2</v>
      </c>
      <c r="CV118">
        <v>5.2190721035003662E-2</v>
      </c>
      <c r="CW118">
        <v>4.1666667908430099E-2</v>
      </c>
      <c r="CX118">
        <v>5.4123710840940475E-2</v>
      </c>
      <c r="CY118">
        <v>4.3170101940631866E-2</v>
      </c>
      <c r="CZ118">
        <v>4.4458761811256409E-2</v>
      </c>
      <c r="DA118">
        <v>6.5570175647735596E-2</v>
      </c>
      <c r="DB118">
        <v>3.5526316612958908E-2</v>
      </c>
    </row>
    <row r="119" spans="2:110" x14ac:dyDescent="0.25">
      <c r="B119" s="2"/>
      <c r="C119" s="2"/>
      <c r="D119" s="41" t="str" cm="1">
        <f t="array" ref="D119">IF(H119="","",IF(AND(E119&lt;AVERAGE(E118,E120)*($L$19/100),$D$23:D118=""),H119,""))</f>
        <v/>
      </c>
      <c r="E119" s="78">
        <f t="shared" si="2"/>
        <v>3.4373660912894718E-2</v>
      </c>
      <c r="F119" s="79"/>
      <c r="H119" s="1">
        <v>97</v>
      </c>
      <c r="I119" s="75">
        <v>3.9676339087105286E-2</v>
      </c>
      <c r="J119" s="75"/>
      <c r="K119">
        <v>3.7719298154115677E-2</v>
      </c>
      <c r="L119">
        <v>4.0789473801851273E-2</v>
      </c>
      <c r="M119">
        <v>4.100877046585083E-2</v>
      </c>
      <c r="N119">
        <v>3.7719298154115677E-2</v>
      </c>
      <c r="O119">
        <v>3.8596492260694504E-2</v>
      </c>
      <c r="P119">
        <v>3.8377191871404648E-2</v>
      </c>
      <c r="Q119">
        <v>3.9692983031272888E-2</v>
      </c>
      <c r="R119">
        <v>3.7719298154115677E-2</v>
      </c>
      <c r="S119">
        <v>4.4736843556165695E-2</v>
      </c>
      <c r="T119">
        <v>3.7719298154115677E-2</v>
      </c>
      <c r="U119">
        <v>4.2982455343008041E-2</v>
      </c>
      <c r="V119">
        <v>4.1228070855140686E-2</v>
      </c>
      <c r="W119">
        <v>4.1666667908430099E-2</v>
      </c>
      <c r="X119">
        <v>3.8596492260694504E-2</v>
      </c>
      <c r="Y119">
        <v>3.9473682641983032E-2</v>
      </c>
      <c r="Z119">
        <v>3.7061404436826706E-2</v>
      </c>
      <c r="AA119">
        <v>4.2543858289718628E-2</v>
      </c>
      <c r="AB119">
        <v>3.9692983031272888E-2</v>
      </c>
      <c r="AC119">
        <v>3.5307016223669052E-2</v>
      </c>
      <c r="AD119">
        <v>3.5745613276958466E-2</v>
      </c>
      <c r="AE119">
        <v>4.8464912921190262E-2</v>
      </c>
      <c r="AF119">
        <v>3.9035089313983917E-2</v>
      </c>
      <c r="AG119">
        <v>4.2982455343008041E-2</v>
      </c>
      <c r="AH119">
        <v>4.4078946113586426E-2</v>
      </c>
      <c r="AI119">
        <v>3.6622807383537292E-2</v>
      </c>
      <c r="AJ119">
        <v>4.4078946113586426E-2</v>
      </c>
      <c r="AK119">
        <v>3.5307016223669052E-2</v>
      </c>
      <c r="AL119">
        <v>3.7061404436826706E-2</v>
      </c>
      <c r="AM119">
        <v>4.0350876748561859E-2</v>
      </c>
      <c r="AN119">
        <v>3.7061404436826706E-2</v>
      </c>
      <c r="AO119">
        <v>3.9254385977983475E-2</v>
      </c>
      <c r="AP119">
        <v>4.0789473801851273E-2</v>
      </c>
      <c r="AQ119">
        <v>4.0131580084562302E-2</v>
      </c>
      <c r="AR119">
        <v>4.583333432674408E-2</v>
      </c>
      <c r="AS119">
        <v>3.4649122506380081E-2</v>
      </c>
      <c r="AT119">
        <v>3.815789520740509E-2</v>
      </c>
      <c r="AU119">
        <v>3.7500001490116119E-2</v>
      </c>
      <c r="AV119">
        <v>3.9254385977983475E-2</v>
      </c>
      <c r="AW119">
        <v>4.9561403691768646E-2</v>
      </c>
      <c r="AX119">
        <v>3.8596492260694504E-2</v>
      </c>
      <c r="AY119">
        <v>3.6403506994247437E-2</v>
      </c>
      <c r="AZ119">
        <v>3.9473682641983032E-2</v>
      </c>
      <c r="BA119">
        <v>3.9473682641983032E-2</v>
      </c>
      <c r="BB119">
        <v>3.5745613276958466E-2</v>
      </c>
      <c r="BC119">
        <v>3.9035089313983917E-2</v>
      </c>
      <c r="BD119">
        <v>3.7938594818115234E-2</v>
      </c>
      <c r="BE119">
        <v>4.8026315867900848E-2</v>
      </c>
      <c r="BF119">
        <v>3.7280701100826263E-2</v>
      </c>
      <c r="BG119">
        <v>4.0350876748561859E-2</v>
      </c>
      <c r="BH119">
        <v>4.4078946113586426E-2</v>
      </c>
      <c r="BI119">
        <v>3.684210404753685E-2</v>
      </c>
      <c r="BJ119">
        <v>4.4298246502876282E-2</v>
      </c>
      <c r="BK119">
        <v>4.0131580084562302E-2</v>
      </c>
      <c r="BL119">
        <v>4.6271931380033493E-2</v>
      </c>
      <c r="BM119">
        <v>4.0570177137851715E-2</v>
      </c>
      <c r="BN119">
        <v>3.8815788924694061E-2</v>
      </c>
      <c r="BO119">
        <v>3.815789520740509E-2</v>
      </c>
      <c r="BP119">
        <v>3.815789520740509E-2</v>
      </c>
      <c r="BQ119">
        <v>3.9912279695272446E-2</v>
      </c>
      <c r="BR119">
        <v>4.0131580084562302E-2</v>
      </c>
      <c r="BS119">
        <v>4.3859649449586868E-2</v>
      </c>
      <c r="BT119">
        <v>4.3859649449586868E-2</v>
      </c>
      <c r="BU119">
        <v>4.1228070855140686E-2</v>
      </c>
      <c r="BV119">
        <v>3.5745613276958466E-2</v>
      </c>
      <c r="BW119">
        <v>3.815789520740509E-2</v>
      </c>
      <c r="BX119">
        <v>3.7500001490116119E-2</v>
      </c>
      <c r="BY119">
        <v>3.9912279695272446E-2</v>
      </c>
      <c r="BZ119">
        <v>3.9035089313983917E-2</v>
      </c>
      <c r="CA119">
        <v>3.8815788924694061E-2</v>
      </c>
      <c r="CB119">
        <v>3.8596492260694504E-2</v>
      </c>
      <c r="CC119">
        <v>4.2763158679008484E-2</v>
      </c>
      <c r="CD119">
        <v>4.0570177137851715E-2</v>
      </c>
      <c r="CE119">
        <v>3.684210404753685E-2</v>
      </c>
      <c r="CF119">
        <v>3.9692983031272888E-2</v>
      </c>
      <c r="CG119">
        <v>3.7280701100826263E-2</v>
      </c>
      <c r="CH119">
        <v>3.9912279695272446E-2</v>
      </c>
      <c r="CI119">
        <v>3.7280701100826263E-2</v>
      </c>
      <c r="CJ119">
        <v>4.0131580084562302E-2</v>
      </c>
      <c r="CK119">
        <v>3.684210404753685E-2</v>
      </c>
      <c r="CL119">
        <v>3.8377191871404648E-2</v>
      </c>
      <c r="CM119">
        <v>3.8377191871404648E-2</v>
      </c>
      <c r="CN119">
        <v>3.7500001490116119E-2</v>
      </c>
      <c r="CO119">
        <v>3.4210525453090668E-2</v>
      </c>
      <c r="CP119">
        <v>4.2543858289718628E-2</v>
      </c>
      <c r="CQ119">
        <v>4.1228070855140686E-2</v>
      </c>
      <c r="CR119">
        <v>4.0789473801851273E-2</v>
      </c>
      <c r="CS119">
        <v>3.684210404753685E-2</v>
      </c>
      <c r="CT119">
        <v>3.8596492260694504E-2</v>
      </c>
      <c r="CU119">
        <v>3.8377191871404648E-2</v>
      </c>
      <c r="CV119">
        <v>4.2763158679008484E-2</v>
      </c>
      <c r="CW119">
        <v>3.8596492260694504E-2</v>
      </c>
      <c r="CX119">
        <v>3.7280701100826263E-2</v>
      </c>
      <c r="CY119">
        <v>3.8815788924694061E-2</v>
      </c>
      <c r="CZ119">
        <v>4.100877046585083E-2</v>
      </c>
      <c r="DA119">
        <v>3.6622807383537292E-2</v>
      </c>
      <c r="DB119">
        <v>4.1209407150745392E-2</v>
      </c>
      <c r="DC119">
        <v>3.9193730801343918E-2</v>
      </c>
    </row>
    <row r="120" spans="2:110" x14ac:dyDescent="0.25">
      <c r="B120" s="2"/>
      <c r="C120" s="2"/>
      <c r="D120" s="41" t="str" cm="1">
        <f t="array" ref="D120">IF(H120="","",IF(AND(E120&lt;AVERAGE(E119,E121)*($L$19/100),$D$23:D119=""),H120,""))</f>
        <v/>
      </c>
      <c r="E120" s="78">
        <f t="shared" si="2"/>
        <v>2.3084440236128108E-2</v>
      </c>
      <c r="F120" s="79"/>
      <c r="H120" s="1">
        <v>98</v>
      </c>
      <c r="I120" s="75">
        <v>5.0965559763871897E-2</v>
      </c>
      <c r="J120" s="75"/>
      <c r="K120">
        <v>4.6584546566009521E-2</v>
      </c>
      <c r="L120">
        <v>6.0022395104169846E-2</v>
      </c>
      <c r="M120">
        <v>6.0246359556913376E-2</v>
      </c>
      <c r="N120">
        <v>6.1814110726118088E-2</v>
      </c>
      <c r="O120">
        <v>4.6360582113265991E-2</v>
      </c>
      <c r="P120">
        <v>5.5095184594392776E-2</v>
      </c>
      <c r="Q120">
        <v>4.524075984954834E-2</v>
      </c>
      <c r="R120">
        <v>4.6360582113265991E-2</v>
      </c>
      <c r="S120">
        <v>6.0470324009656906E-2</v>
      </c>
      <c r="T120">
        <v>5.0615902990102768E-2</v>
      </c>
      <c r="U120">
        <v>5.0167974084615707E-2</v>
      </c>
      <c r="V120">
        <v>4.7256439924240112E-2</v>
      </c>
      <c r="W120">
        <v>5.4199326783418655E-2</v>
      </c>
      <c r="X120">
        <v>4.1881300508975983E-2</v>
      </c>
      <c r="Y120">
        <v>5.1959685981273651E-2</v>
      </c>
      <c r="Z120">
        <v>5.9126541018486023E-2</v>
      </c>
      <c r="AA120">
        <v>5.5319149047136307E-2</v>
      </c>
      <c r="AB120">
        <v>4.9272116273641586E-2</v>
      </c>
      <c r="AC120">
        <v>5.0391938537359238E-2</v>
      </c>
      <c r="AD120">
        <v>5.9798430651426315E-2</v>
      </c>
      <c r="AE120">
        <v>4.56886887550354E-2</v>
      </c>
      <c r="AF120">
        <v>4.9272116273641586E-2</v>
      </c>
      <c r="AG120">
        <v>5.5319149047136307E-2</v>
      </c>
      <c r="AH120">
        <v>4.1433371603488922E-2</v>
      </c>
      <c r="AI120">
        <v>6.4501680433750153E-2</v>
      </c>
      <c r="AJ120">
        <v>4.2105264961719513E-2</v>
      </c>
      <c r="AK120">
        <v>4.4792834669351578E-2</v>
      </c>
      <c r="AL120">
        <v>4.6360582113265991E-2</v>
      </c>
      <c r="AM120">
        <v>4.56886887550354E-2</v>
      </c>
      <c r="AN120">
        <v>5.8006718754768372E-2</v>
      </c>
      <c r="AO120">
        <v>4.4344905763864517E-2</v>
      </c>
      <c r="AP120">
        <v>4.7928333282470703E-2</v>
      </c>
      <c r="AQ120">
        <v>4.6136617660522461E-2</v>
      </c>
      <c r="AR120">
        <v>5.0391938537359238E-2</v>
      </c>
      <c r="AS120">
        <v>4.2329225689172745E-2</v>
      </c>
      <c r="AT120">
        <v>4.3225083500146866E-2</v>
      </c>
      <c r="AU120">
        <v>6.0918252915143967E-2</v>
      </c>
      <c r="AV120">
        <v>5.3303472697734833E-2</v>
      </c>
      <c r="AW120">
        <v>6.3381858170032501E-2</v>
      </c>
      <c r="AX120">
        <v>4.4120941311120987E-2</v>
      </c>
      <c r="AY120">
        <v>5.5319149047136307E-2</v>
      </c>
      <c r="AZ120">
        <v>4.3673012405633926E-2</v>
      </c>
      <c r="BA120">
        <v>4.9944009631872177E-2</v>
      </c>
      <c r="BB120">
        <v>6.5845467150211334E-2</v>
      </c>
      <c r="BC120">
        <v>4.2777154594659805E-2</v>
      </c>
      <c r="BD120">
        <v>5.0167974084615707E-2</v>
      </c>
      <c r="BE120">
        <v>4.4568870216608047E-2</v>
      </c>
      <c r="BF120">
        <v>5.4423291236162186E-2</v>
      </c>
      <c r="BG120">
        <v>5.711086094379425E-2</v>
      </c>
      <c r="BH120">
        <v>5.3527437150478363E-2</v>
      </c>
      <c r="BI120">
        <v>5.2855543792247772E-2</v>
      </c>
      <c r="BJ120">
        <v>4.8824187368154526E-2</v>
      </c>
      <c r="BK120">
        <v>4.8376258462667465E-2</v>
      </c>
      <c r="BL120">
        <v>4.2105264961719513E-2</v>
      </c>
      <c r="BM120">
        <v>6.2038075178861618E-2</v>
      </c>
      <c r="BN120">
        <v>4.6360582113265991E-2</v>
      </c>
      <c r="BO120">
        <v>5.1959685981273651E-2</v>
      </c>
      <c r="BP120">
        <v>5.9798430651426315E-2</v>
      </c>
      <c r="BQ120">
        <v>5.4423291236162186E-2</v>
      </c>
      <c r="BR120">
        <v>5.4871220141649246E-2</v>
      </c>
      <c r="BS120">
        <v>4.9496080726385117E-2</v>
      </c>
      <c r="BT120">
        <v>5.1735721528530121E-2</v>
      </c>
      <c r="BU120">
        <v>5.9798430651426315E-2</v>
      </c>
      <c r="BV120">
        <v>5.6438971310853958E-2</v>
      </c>
      <c r="BW120">
        <v>6.1590146273374557E-2</v>
      </c>
      <c r="BX120">
        <v>4.56886887550354E-2</v>
      </c>
      <c r="BY120">
        <v>4.56886887550354E-2</v>
      </c>
      <c r="BZ120">
        <v>4.9496080726385117E-2</v>
      </c>
      <c r="CA120">
        <v>4.9048151820898056E-2</v>
      </c>
      <c r="CB120">
        <v>4.9720045179128647E-2</v>
      </c>
      <c r="CC120">
        <v>4.7928333282470703E-2</v>
      </c>
      <c r="CD120">
        <v>5.3079508244991302E-2</v>
      </c>
      <c r="CE120">
        <v>4.0537513792514801E-2</v>
      </c>
      <c r="CF120">
        <v>4.8600222915410995E-2</v>
      </c>
      <c r="CG120">
        <v>4.3896976858377457E-2</v>
      </c>
      <c r="CH120">
        <v>4.6360582113265991E-2</v>
      </c>
      <c r="CI120">
        <v>5.6662935763597488E-2</v>
      </c>
      <c r="CJ120">
        <v>5.0391938537359238E-2</v>
      </c>
      <c r="CK120">
        <v>6.0246359556913376E-2</v>
      </c>
      <c r="CL120">
        <v>3.964165598154068E-2</v>
      </c>
      <c r="CM120">
        <v>4.6808511018753052E-2</v>
      </c>
      <c r="CN120">
        <v>4.2553190141916275E-2</v>
      </c>
      <c r="CO120">
        <v>4.9496080726385117E-2</v>
      </c>
      <c r="CP120">
        <v>5.2183650434017181E-2</v>
      </c>
      <c r="CQ120">
        <v>4.3449047952890396E-2</v>
      </c>
      <c r="CR120">
        <v>5.8902576565742493E-2</v>
      </c>
      <c r="CS120">
        <v>5.8006718754768372E-2</v>
      </c>
      <c r="CT120">
        <v>4.6360582113265991E-2</v>
      </c>
      <c r="CU120">
        <v>4.3673012405633926E-2</v>
      </c>
      <c r="CV120">
        <v>7.2788350284099579E-2</v>
      </c>
      <c r="CW120">
        <v>4.8152294009923935E-2</v>
      </c>
      <c r="CX120">
        <v>5.128779262304306E-2</v>
      </c>
      <c r="CY120">
        <v>5.711086094379425E-2</v>
      </c>
      <c r="CZ120">
        <v>4.56886887550354E-2</v>
      </c>
      <c r="DA120">
        <v>4.3449047952890396E-2</v>
      </c>
      <c r="DB120">
        <v>4.6360582113265991E-2</v>
      </c>
      <c r="DC120">
        <v>5.5767077952623367E-2</v>
      </c>
      <c r="DD120">
        <v>4.6136617660522461E-2</v>
      </c>
    </row>
    <row r="121" spans="2:110" x14ac:dyDescent="0.25">
      <c r="B121" s="2"/>
      <c r="C121" s="2"/>
      <c r="D121" s="41" t="str" cm="1">
        <f t="array" ref="D121">IF(H121="","",IF(AND(E121&lt;AVERAGE(E120,E122)*($L$19/100),$D$23:D120=""),H121,""))</f>
        <v/>
      </c>
      <c r="E121" s="78">
        <f t="shared" si="2"/>
        <v>2.9824995225547546E-2</v>
      </c>
      <c r="F121" s="79"/>
      <c r="H121" s="1">
        <v>99</v>
      </c>
      <c r="I121" s="75">
        <v>4.4225004774452459E-2</v>
      </c>
      <c r="J121" s="75"/>
      <c r="K121">
        <v>3.2474804669618607E-2</v>
      </c>
      <c r="L121">
        <v>4.3449047952890396E-2</v>
      </c>
      <c r="M121">
        <v>4.56886887550354E-2</v>
      </c>
      <c r="N121">
        <v>4.3896976858377457E-2</v>
      </c>
      <c r="O121">
        <v>4.7815144062042236E-2</v>
      </c>
      <c r="P121">
        <v>4.6671241521835327E-2</v>
      </c>
      <c r="Q121">
        <v>4.1409287601709366E-2</v>
      </c>
      <c r="R121">
        <v>4.6442460268735886E-2</v>
      </c>
      <c r="S121">
        <v>4.0036603808403015E-2</v>
      </c>
      <c r="T121">
        <v>4.5984901487827301E-2</v>
      </c>
      <c r="U121">
        <v>4.8959046602249146E-2</v>
      </c>
      <c r="V121">
        <v>3.8435142487287521E-2</v>
      </c>
      <c r="W121">
        <v>4.1638068854808807E-2</v>
      </c>
      <c r="X121">
        <v>4.7586366534233093E-2</v>
      </c>
      <c r="Y121">
        <v>4.8043925315141678E-2</v>
      </c>
      <c r="Z121">
        <v>3.820636123418808E-2</v>
      </c>
      <c r="AA121">
        <v>4.0036603808403015E-2</v>
      </c>
      <c r="AB121">
        <v>4.0494166314601898E-2</v>
      </c>
      <c r="AC121">
        <v>4.0036603808403015E-2</v>
      </c>
      <c r="AD121">
        <v>4.712880402803421E-2</v>
      </c>
      <c r="AE121">
        <v>4.2553190141916275E-2</v>
      </c>
      <c r="AF121">
        <v>4.5527338981628418E-2</v>
      </c>
      <c r="AG121">
        <v>4.6442460268735886E-2</v>
      </c>
      <c r="AH121">
        <v>4.0036603808403015E-2</v>
      </c>
      <c r="AI121">
        <v>4.2553190141916275E-2</v>
      </c>
      <c r="AJ121">
        <v>5.6508809328079224E-2</v>
      </c>
      <c r="AK121">
        <v>4.9874171614646912E-2</v>
      </c>
      <c r="AL121">
        <v>4.8043925315141678E-2</v>
      </c>
      <c r="AM121">
        <v>5.216197669506073E-2</v>
      </c>
      <c r="AN121">
        <v>4.0265385061502457E-2</v>
      </c>
      <c r="AO121">
        <v>3.8892701268196106E-2</v>
      </c>
      <c r="AP121">
        <v>5.0102952867746353E-2</v>
      </c>
      <c r="AQ121">
        <v>4.7586366534233093E-2</v>
      </c>
      <c r="AR121">
        <v>4.8730269074440002E-2</v>
      </c>
      <c r="AS121">
        <v>4.5298557728528976E-2</v>
      </c>
      <c r="AT121">
        <v>4.1638068854808807E-2</v>
      </c>
      <c r="AU121">
        <v>4.6213682740926743E-2</v>
      </c>
      <c r="AV121">
        <v>4.8959046602249146E-2</v>
      </c>
      <c r="AW121">
        <v>4.4154655188322067E-2</v>
      </c>
      <c r="AX121">
        <v>4.461221769452095E-2</v>
      </c>
      <c r="AY121">
        <v>4.8043925315141678E-2</v>
      </c>
      <c r="AZ121">
        <v>4.0494166314601898E-2</v>
      </c>
      <c r="BA121">
        <v>4.461221769452095E-2</v>
      </c>
      <c r="BB121">
        <v>4.1866850107908249E-2</v>
      </c>
      <c r="BC121">
        <v>3.8663920015096664E-2</v>
      </c>
      <c r="BD121">
        <v>4.5756120234727859E-2</v>
      </c>
      <c r="BE121">
        <v>4.4154655188322067E-2</v>
      </c>
      <c r="BF121">
        <v>4.2553190141916275E-2</v>
      </c>
      <c r="BG121">
        <v>4.3925873935222626E-2</v>
      </c>
      <c r="BH121">
        <v>4.2781971395015717E-2</v>
      </c>
      <c r="BI121">
        <v>4.6213682740926743E-2</v>
      </c>
      <c r="BJ121">
        <v>3.7062458693981171E-2</v>
      </c>
      <c r="BK121">
        <v>4.5984901487827301E-2</v>
      </c>
      <c r="BL121">
        <v>4.3468315154314041E-2</v>
      </c>
      <c r="BM121">
        <v>4.5984901487827301E-2</v>
      </c>
      <c r="BN121">
        <v>4.3697092682123184E-2</v>
      </c>
      <c r="BO121">
        <v>3.7062458693981171E-2</v>
      </c>
      <c r="BP121">
        <v>4.3010752648115158E-2</v>
      </c>
      <c r="BQ121">
        <v>4.3010752648115158E-2</v>
      </c>
      <c r="BR121">
        <v>4.461221769452095E-2</v>
      </c>
      <c r="BS121">
        <v>3.6376114934682846E-2</v>
      </c>
      <c r="BT121">
        <v>4.2553190141916275E-2</v>
      </c>
      <c r="BU121">
        <v>4.209563136100769E-2</v>
      </c>
      <c r="BV121">
        <v>3.7520017474889755E-2</v>
      </c>
      <c r="BW121">
        <v>4.8043925315141678E-2</v>
      </c>
      <c r="BX121">
        <v>3.9579045027494431E-2</v>
      </c>
      <c r="BY121">
        <v>4.4154655188322067E-2</v>
      </c>
      <c r="BZ121">
        <v>5.0102952867746353E-2</v>
      </c>
      <c r="CA121">
        <v>4.4383436441421509E-2</v>
      </c>
      <c r="CB121">
        <v>4.0265385061502457E-2</v>
      </c>
      <c r="CC121">
        <v>4.8043925315141678E-2</v>
      </c>
      <c r="CD121">
        <v>3.820636123418808E-2</v>
      </c>
      <c r="CE121">
        <v>3.7520017474889755E-2</v>
      </c>
      <c r="CF121">
        <v>5.1018074154853821E-2</v>
      </c>
      <c r="CG121">
        <v>4.32395339012146E-2</v>
      </c>
      <c r="CH121">
        <v>4.32395339012146E-2</v>
      </c>
      <c r="CI121">
        <v>4.7586366534233093E-2</v>
      </c>
      <c r="CJ121">
        <v>3.8892701268196106E-2</v>
      </c>
      <c r="CK121">
        <v>4.2553190141916275E-2</v>
      </c>
      <c r="CL121">
        <v>4.7357585281133652E-2</v>
      </c>
      <c r="CM121">
        <v>4.1180506348609924E-2</v>
      </c>
      <c r="CN121">
        <v>4.5756120234727859E-2</v>
      </c>
      <c r="CO121">
        <v>5.2390757948160172E-2</v>
      </c>
      <c r="CP121">
        <v>3.7748798727989197E-2</v>
      </c>
      <c r="CQ121">
        <v>4.32395339012146E-2</v>
      </c>
      <c r="CR121">
        <v>4.0951728820800781E-2</v>
      </c>
      <c r="CS121">
        <v>4.2553190141916275E-2</v>
      </c>
      <c r="CT121">
        <v>3.9807822555303574E-2</v>
      </c>
      <c r="CU121">
        <v>5.0331730395555496E-2</v>
      </c>
      <c r="CV121">
        <v>4.6671241521835327E-2</v>
      </c>
      <c r="CW121">
        <v>4.1409287601709366E-2</v>
      </c>
      <c r="CX121">
        <v>5.2848316729068756E-2</v>
      </c>
      <c r="CY121">
        <v>4.5069776475429535E-2</v>
      </c>
      <c r="CZ121">
        <v>4.461221769452095E-2</v>
      </c>
      <c r="DA121">
        <v>5.85678331553936E-2</v>
      </c>
      <c r="DB121">
        <v>3.9121482521295547E-2</v>
      </c>
      <c r="DC121">
        <v>4.712880402803421E-2</v>
      </c>
      <c r="DD121">
        <v>5.0102952867746353E-2</v>
      </c>
      <c r="DE121">
        <v>4.8501487821340561E-2</v>
      </c>
    </row>
    <row r="122" spans="2:110" x14ac:dyDescent="0.25">
      <c r="B122" s="2"/>
      <c r="C122" s="2"/>
      <c r="D122" s="41" t="str" cm="1">
        <f t="array" ref="D122">IF(H122="","",IF(AND(E122&lt;AVERAGE(E121,E123)*($L$19/100),$D$23:D121=""),H122,""))</f>
        <v/>
      </c>
      <c r="E122" s="78">
        <f t="shared" si="2"/>
        <v>3.3740549448132519E-2</v>
      </c>
      <c r="F122" s="79"/>
      <c r="H122" s="1">
        <v>100</v>
      </c>
      <c r="I122" s="75">
        <v>4.0309450551867486E-2</v>
      </c>
      <c r="J122" s="75"/>
      <c r="K122">
        <v>4.9416609108448029E-2</v>
      </c>
      <c r="L122">
        <v>3.2944407314062119E-2</v>
      </c>
      <c r="M122">
        <v>3.8435142487287521E-2</v>
      </c>
      <c r="N122">
        <v>3.7748798727989197E-2</v>
      </c>
      <c r="O122">
        <v>4.2781971395015717E-2</v>
      </c>
      <c r="P122">
        <v>4.0265385061502457E-2</v>
      </c>
      <c r="Q122">
        <v>4.2553190141916275E-2</v>
      </c>
      <c r="R122">
        <v>4.2324412614107132E-2</v>
      </c>
      <c r="S122">
        <v>3.8892701268196106E-2</v>
      </c>
      <c r="T122">
        <v>3.9121482521295547E-2</v>
      </c>
      <c r="U122">
        <v>3.8335669785737991E-2</v>
      </c>
      <c r="V122">
        <v>4.4413276016712189E-2</v>
      </c>
      <c r="W122">
        <v>4.0439456701278687E-2</v>
      </c>
      <c r="X122">
        <v>3.9270687848329544E-2</v>
      </c>
      <c r="Y122">
        <v>3.8335669785737991E-2</v>
      </c>
      <c r="Z122">
        <v>5.1192145794630051E-2</v>
      </c>
      <c r="AA122">
        <v>4.1608229279518127E-2</v>
      </c>
      <c r="AB122">
        <v>3.8803178817033768E-2</v>
      </c>
      <c r="AC122">
        <v>3.6933146417140961E-2</v>
      </c>
      <c r="AD122">
        <v>3.6699391901493073E-2</v>
      </c>
      <c r="AE122">
        <v>3.7166900932788849E-2</v>
      </c>
      <c r="AF122">
        <v>3.6231882870197296E-2</v>
      </c>
      <c r="AG122">
        <v>4.2309489101171494E-2</v>
      </c>
      <c r="AH122">
        <v>3.7868164479732513E-2</v>
      </c>
      <c r="AI122">
        <v>3.6465637385845184E-2</v>
      </c>
      <c r="AJ122">
        <v>3.8803178817033768E-2</v>
      </c>
      <c r="AK122">
        <v>4.0205702185630798E-2</v>
      </c>
      <c r="AL122">
        <v>3.8335669785737991E-2</v>
      </c>
      <c r="AM122">
        <v>4.0673211216926575E-2</v>
      </c>
      <c r="AN122">
        <v>3.997194766998291E-2</v>
      </c>
      <c r="AO122">
        <v>4.2075734585523605E-2</v>
      </c>
      <c r="AP122">
        <v>3.9036933332681656E-2</v>
      </c>
      <c r="AQ122">
        <v>3.6933146417140961E-2</v>
      </c>
      <c r="AR122">
        <v>4.3244507163763046E-2</v>
      </c>
      <c r="AS122">
        <v>4.277699813246727E-2</v>
      </c>
      <c r="AT122">
        <v>4.1140720248222351E-2</v>
      </c>
      <c r="AU122">
        <v>4.3478261679410934E-2</v>
      </c>
      <c r="AV122">
        <v>4.4647030532360077E-2</v>
      </c>
      <c r="AW122">
        <v>3.7868164479732513E-2</v>
      </c>
      <c r="AX122">
        <v>3.7634409964084625E-2</v>
      </c>
      <c r="AY122">
        <v>3.6699391901493073E-2</v>
      </c>
      <c r="AZ122">
        <v>3.3660590648651123E-2</v>
      </c>
      <c r="BA122">
        <v>4.2543243616819382E-2</v>
      </c>
      <c r="BB122">
        <v>3.4595604985952377E-2</v>
      </c>
      <c r="BC122">
        <v>4.1374474763870239E-2</v>
      </c>
      <c r="BD122">
        <v>3.7868164479732513E-2</v>
      </c>
      <c r="BE122">
        <v>3.7634409964084625E-2</v>
      </c>
      <c r="BF122">
        <v>3.9270687848329544E-2</v>
      </c>
      <c r="BG122">
        <v>4.5815803110599518E-2</v>
      </c>
      <c r="BH122">
        <v>4.1140720248222351E-2</v>
      </c>
      <c r="BI122">
        <v>3.9036933332681656E-2</v>
      </c>
      <c r="BJ122">
        <v>4.3478261679410934E-2</v>
      </c>
      <c r="BK122">
        <v>4.6517062932252884E-2</v>
      </c>
      <c r="BL122">
        <v>3.6465637385845184E-2</v>
      </c>
      <c r="BM122">
        <v>4.3010752648115158E-2</v>
      </c>
      <c r="BN122">
        <v>4.3712016195058823E-2</v>
      </c>
      <c r="BO122">
        <v>3.9504442363977432E-2</v>
      </c>
      <c r="BP122">
        <v>4.1140720248222351E-2</v>
      </c>
      <c r="BQ122">
        <v>3.8803178817033768E-2</v>
      </c>
      <c r="BR122">
        <v>4.0439456701278687E-2</v>
      </c>
      <c r="BS122">
        <v>3.856942430138588E-2</v>
      </c>
      <c r="BT122">
        <v>4.3478261679410934E-2</v>
      </c>
      <c r="BU122">
        <v>4.0673211216926575E-2</v>
      </c>
      <c r="BV122">
        <v>3.8101915270090103E-2</v>
      </c>
      <c r="BW122">
        <v>3.997194766998291E-2</v>
      </c>
      <c r="BX122">
        <v>3.856942430138588E-2</v>
      </c>
      <c r="BY122">
        <v>4.3010752648115158E-2</v>
      </c>
      <c r="BZ122">
        <v>4.0906965732574463E-2</v>
      </c>
      <c r="CA122">
        <v>3.9270687848329544E-2</v>
      </c>
      <c r="CB122">
        <v>4.1374474763870239E-2</v>
      </c>
      <c r="CC122">
        <v>3.7634409964084625E-2</v>
      </c>
      <c r="CD122">
        <v>4.1608229279518127E-2</v>
      </c>
      <c r="CE122">
        <v>4.2075734585523605E-2</v>
      </c>
      <c r="CF122">
        <v>3.6465637385845184E-2</v>
      </c>
      <c r="CG122">
        <v>3.8101915270090103E-2</v>
      </c>
      <c r="CH122">
        <v>3.7634409964084625E-2</v>
      </c>
      <c r="CI122">
        <v>4.0439456701278687E-2</v>
      </c>
      <c r="CJ122">
        <v>4.4413276016712189E-2</v>
      </c>
      <c r="CK122">
        <v>3.5296868532896042E-2</v>
      </c>
      <c r="CL122">
        <v>4.1608229279518127E-2</v>
      </c>
      <c r="CM122">
        <v>4.0906965732574463E-2</v>
      </c>
      <c r="CN122">
        <v>3.856942430138588E-2</v>
      </c>
      <c r="CO122">
        <v>3.7166900932788849E-2</v>
      </c>
      <c r="CP122">
        <v>3.6933146417140961E-2</v>
      </c>
      <c r="CQ122">
        <v>4.0439456701278687E-2</v>
      </c>
      <c r="CR122">
        <v>3.5998128354549408E-2</v>
      </c>
      <c r="CS122">
        <v>4.4880785048007965E-2</v>
      </c>
      <c r="CT122">
        <v>3.8803178817033768E-2</v>
      </c>
      <c r="CU122">
        <v>4.277699813246727E-2</v>
      </c>
      <c r="CV122">
        <v>5.0958391278982162E-2</v>
      </c>
      <c r="CW122">
        <v>4.1140720248222351E-2</v>
      </c>
      <c r="CX122">
        <v>4.3244507163763046E-2</v>
      </c>
      <c r="CY122">
        <v>3.8101915270090103E-2</v>
      </c>
      <c r="CZ122">
        <v>3.553062304854393E-2</v>
      </c>
      <c r="DA122">
        <v>4.0439456701278687E-2</v>
      </c>
      <c r="DB122">
        <v>4.6049557626247406E-2</v>
      </c>
      <c r="DC122">
        <v>3.7634409964084625E-2</v>
      </c>
      <c r="DD122">
        <v>4.2075734585523605E-2</v>
      </c>
      <c r="DE122">
        <v>4.3010752648115158E-2</v>
      </c>
      <c r="DF122">
        <v>4.698457196354866E-2</v>
      </c>
    </row>
    <row r="123" spans="2:110" x14ac:dyDescent="0.25">
      <c r="B123" s="2"/>
      <c r="C123" s="2"/>
      <c r="D123" s="41" t="str" cm="1">
        <f t="array" ref="D123">IF(H123="","",IF(AND(E123&lt;AVERAGE(E122,E124)*($L$19/100),$D$23:D122=""),H123,""))</f>
        <v/>
      </c>
      <c r="E123" s="78" t="str">
        <f t="shared" si="2"/>
        <v/>
      </c>
      <c r="F123" s="79"/>
      <c r="H123" s="1"/>
      <c r="I123" s="75"/>
      <c r="J123" s="75"/>
    </row>
    <row r="124" spans="2:110" x14ac:dyDescent="0.25">
      <c r="B124" s="2"/>
      <c r="C124" s="2"/>
      <c r="D124" s="41" t="str" cm="1">
        <f t="array" ref="D124">IF(H124="","",IF(AND(E124&lt;AVERAGE(E123,E125)*($L$19/100),$D$23:D123=""),H124,""))</f>
        <v/>
      </c>
      <c r="E124" s="78" t="str">
        <f t="shared" si="2"/>
        <v/>
      </c>
      <c r="F124" s="79"/>
      <c r="H124" s="1"/>
      <c r="I124" s="75"/>
      <c r="J124" s="75"/>
    </row>
    <row r="125" spans="2:110" x14ac:dyDescent="0.25">
      <c r="B125" s="2"/>
      <c r="C125" s="2"/>
      <c r="D125" s="41" t="str" cm="1">
        <f t="array" ref="D125">IF(H125="","",IF(AND(E125&lt;AVERAGE(E124,E126)*($L$19/100),$D$23:D124=""),H125,""))</f>
        <v/>
      </c>
      <c r="E125" s="78" t="str">
        <f t="shared" si="2"/>
        <v/>
      </c>
      <c r="F125" s="79"/>
      <c r="H125" s="1"/>
      <c r="I125" s="75"/>
      <c r="J125" s="75"/>
    </row>
    <row r="126" spans="2:110" x14ac:dyDescent="0.25">
      <c r="B126" s="2"/>
      <c r="C126" s="2"/>
      <c r="D126" s="41" t="str" cm="1">
        <f t="array" ref="D126">IF(H126="","",IF(AND(E126&lt;AVERAGE(E125,E127)*($L$19/100),$D$23:D125=""),H126,""))</f>
        <v/>
      </c>
      <c r="E126" s="78" t="str">
        <f t="shared" si="2"/>
        <v/>
      </c>
      <c r="F126" s="79"/>
      <c r="H126" s="1"/>
      <c r="I126" s="75"/>
      <c r="J126" s="75"/>
    </row>
    <row r="127" spans="2:110" x14ac:dyDescent="0.25">
      <c r="B127" s="2"/>
      <c r="C127" s="2"/>
      <c r="D127" s="41" t="str" cm="1">
        <f t="array" ref="D127">IF(H127="","",IF(AND(E127&lt;AVERAGE(E126,E128)*($L$19/100),$D$23:D126=""),H127,""))</f>
        <v/>
      </c>
      <c r="E127" s="78" t="str">
        <f t="shared" si="2"/>
        <v/>
      </c>
      <c r="F127" s="79"/>
      <c r="H127" s="1"/>
      <c r="I127" s="75"/>
      <c r="J127" s="75"/>
    </row>
    <row r="128" spans="2:110" x14ac:dyDescent="0.25">
      <c r="B128" s="2"/>
      <c r="C128" s="2"/>
      <c r="D128" s="41" t="str" cm="1">
        <f t="array" ref="D128">IF(H128="","",IF(AND(E128&lt;AVERAGE(E127,E129)*($L$19/100),$D$23:D127=""),H128,""))</f>
        <v/>
      </c>
      <c r="E128" s="78" t="str">
        <f t="shared" si="2"/>
        <v/>
      </c>
      <c r="F128" s="79"/>
      <c r="H128" s="1"/>
      <c r="I128" s="75"/>
      <c r="J128" s="75"/>
    </row>
    <row r="129" spans="2:10" x14ac:dyDescent="0.25">
      <c r="B129" s="2"/>
      <c r="C129" s="2"/>
      <c r="D129" s="41" t="str" cm="1">
        <f t="array" ref="D129">IF(H129="","",IF(AND(E129&lt;AVERAGE(E128,E130)*($L$19/100),$D$23:D128=""),H129,""))</f>
        <v/>
      </c>
      <c r="E129" s="78" t="str">
        <f t="shared" si="2"/>
        <v/>
      </c>
      <c r="F129" s="79"/>
      <c r="H129" s="1"/>
      <c r="I129" s="75"/>
      <c r="J129" s="75"/>
    </row>
    <row r="130" spans="2:10" x14ac:dyDescent="0.25">
      <c r="B130" s="2"/>
      <c r="C130" s="2"/>
      <c r="D130" s="41" t="str" cm="1">
        <f t="array" ref="D130">IF(H130="","",IF(AND(E130&lt;AVERAGE(E129,E131)*($L$19/100),$D$23:D129=""),H130,""))</f>
        <v/>
      </c>
      <c r="E130" s="78" t="str">
        <f t="shared" si="2"/>
        <v/>
      </c>
      <c r="F130" s="79"/>
      <c r="H130" s="1"/>
      <c r="I130" s="75"/>
      <c r="J130" s="75"/>
    </row>
    <row r="131" spans="2:10" x14ac:dyDescent="0.25">
      <c r="B131" s="2"/>
      <c r="C131" s="2"/>
      <c r="D131" s="41" t="str" cm="1">
        <f t="array" ref="D131">IF(H131="","",IF(AND(E131&lt;AVERAGE(E130,E132)*($L$19/100),$D$23:D130=""),H131,""))</f>
        <v/>
      </c>
      <c r="E131" s="78" t="str">
        <f t="shared" si="2"/>
        <v/>
      </c>
      <c r="F131" s="79"/>
      <c r="H131" s="1"/>
      <c r="I131" s="75"/>
      <c r="J131" s="75"/>
    </row>
    <row r="132" spans="2:10" x14ac:dyDescent="0.25">
      <c r="B132" s="2"/>
      <c r="C132" s="2"/>
      <c r="D132" s="41" t="str" cm="1">
        <f t="array" ref="D132">IF(H132="","",IF(AND(E132&lt;AVERAGE(E131,E133)*($L$19/100),$D$23:D131=""),H132,""))</f>
        <v/>
      </c>
      <c r="E132" s="78" t="str">
        <f t="shared" si="2"/>
        <v/>
      </c>
      <c r="F132" s="79"/>
      <c r="H132" s="1"/>
      <c r="I132" s="75"/>
      <c r="J132" s="75"/>
    </row>
    <row r="133" spans="2:10" x14ac:dyDescent="0.25">
      <c r="B133" s="2"/>
      <c r="C133" s="2"/>
      <c r="D133" s="41" t="str" cm="1">
        <f t="array" ref="D133">IF(H133="","",IF(AND(E133&lt;AVERAGE(E132,E134)*($L$19/100),$D$23:D132=""),H133,""))</f>
        <v/>
      </c>
      <c r="E133" s="78" t="str">
        <f t="shared" si="2"/>
        <v/>
      </c>
      <c r="F133" s="79"/>
      <c r="H133" s="1"/>
      <c r="I133" s="75"/>
      <c r="J133" s="75"/>
    </row>
    <row r="134" spans="2:10" x14ac:dyDescent="0.25">
      <c r="B134" s="2"/>
      <c r="C134" s="2"/>
      <c r="D134" s="41" t="str" cm="1">
        <f t="array" ref="D134">IF(H134="","",IF(AND(E134&lt;AVERAGE(E133,E135)*($L$19/100),$D$23:D133=""),H134,""))</f>
        <v/>
      </c>
      <c r="E134" s="78" t="str">
        <f t="shared" si="2"/>
        <v/>
      </c>
      <c r="F134" s="79"/>
      <c r="H134" s="1"/>
      <c r="I134" s="75"/>
      <c r="J134" s="75"/>
    </row>
    <row r="135" spans="2:10" x14ac:dyDescent="0.25">
      <c r="B135" s="2"/>
      <c r="C135" s="2"/>
      <c r="D135" s="41" t="str" cm="1">
        <f t="array" ref="D135">IF(H135="","",IF(AND(E135&lt;AVERAGE(E134,E136)*($L$19/100),$D$23:D134=""),H135,""))</f>
        <v/>
      </c>
      <c r="E135" s="78" t="str">
        <f t="shared" si="2"/>
        <v/>
      </c>
      <c r="F135" s="79"/>
      <c r="H135" s="1"/>
      <c r="I135" s="75"/>
      <c r="J135" s="75"/>
    </row>
    <row r="136" spans="2:10" x14ac:dyDescent="0.25">
      <c r="B136" s="2"/>
      <c r="C136" s="2"/>
      <c r="D136" s="41" t="str" cm="1">
        <f t="array" ref="D136">IF(H136="","",IF(AND(E136&lt;AVERAGE(E135,E137)*($L$19/100),$D$23:D135=""),H136,""))</f>
        <v/>
      </c>
      <c r="E136" s="78" t="str">
        <f t="shared" si="2"/>
        <v/>
      </c>
      <c r="F136" s="79"/>
      <c r="H136" s="1"/>
      <c r="I136" s="75"/>
      <c r="J136" s="75"/>
    </row>
    <row r="137" spans="2:10" x14ac:dyDescent="0.25">
      <c r="B137" s="2"/>
      <c r="C137" s="2"/>
      <c r="D137" s="41" t="str" cm="1">
        <f t="array" ref="D137">IF(H137="","",IF(AND(E137&lt;AVERAGE(E136,E138)*($L$19/100),$D$23:D136=""),H137,""))</f>
        <v/>
      </c>
      <c r="E137" s="78" t="str">
        <f t="shared" si="2"/>
        <v/>
      </c>
      <c r="F137" s="79"/>
      <c r="H137" s="1"/>
      <c r="I137" s="75"/>
      <c r="J137" s="75"/>
    </row>
    <row r="138" spans="2:10" x14ac:dyDescent="0.25">
      <c r="B138" s="2"/>
      <c r="C138" s="2"/>
      <c r="D138" s="41" t="str" cm="1">
        <f t="array" ref="D138">IF(H138="","",IF(AND(E138&lt;AVERAGE(E137,E139)*($L$19/100),$D$23:D137=""),H138,""))</f>
        <v/>
      </c>
      <c r="E138" s="78" t="str">
        <f t="shared" si="2"/>
        <v/>
      </c>
      <c r="F138" s="79"/>
      <c r="H138" s="1"/>
      <c r="I138" s="75"/>
      <c r="J138" s="75"/>
    </row>
    <row r="139" spans="2:10" x14ac:dyDescent="0.25">
      <c r="B139" s="2"/>
      <c r="C139" s="2"/>
      <c r="D139" s="41" t="str" cm="1">
        <f t="array" ref="D139">IF(H139="","",IF(AND(E139&lt;AVERAGE(E138,E140)*($L$19/100),$D$23:D138=""),H139,""))</f>
        <v/>
      </c>
      <c r="E139" s="78" t="str">
        <f t="shared" si="2"/>
        <v/>
      </c>
      <c r="F139" s="79"/>
      <c r="H139" s="1"/>
      <c r="I139" s="75"/>
      <c r="J139" s="75"/>
    </row>
    <row r="140" spans="2:10" x14ac:dyDescent="0.25">
      <c r="B140" s="2"/>
      <c r="C140" s="2"/>
      <c r="D140" s="41" t="str" cm="1">
        <f t="array" ref="D140">IF(H140="","",IF(AND(E140&lt;AVERAGE(E139,E141)*($L$19/100),$D$23:D139=""),H140,""))</f>
        <v/>
      </c>
      <c r="E140" s="78" t="str">
        <f t="shared" si="2"/>
        <v/>
      </c>
      <c r="F140" s="79"/>
      <c r="H140" s="1"/>
      <c r="I140" s="75"/>
      <c r="J140" s="75"/>
    </row>
    <row r="141" spans="2:10" x14ac:dyDescent="0.25">
      <c r="B141" s="2"/>
      <c r="C141" s="2"/>
      <c r="D141" s="41" t="str" cm="1">
        <f t="array" ref="D141">IF(H141="","",IF(AND(E141&lt;AVERAGE(E140,E142)*($L$19/100),$D$23:D140=""),H141,""))</f>
        <v/>
      </c>
      <c r="E141" s="78" t="str">
        <f t="shared" si="2"/>
        <v/>
      </c>
      <c r="F141" s="79"/>
      <c r="H141" s="1"/>
      <c r="I141" s="75"/>
      <c r="J141" s="75"/>
    </row>
    <row r="142" spans="2:10" x14ac:dyDescent="0.25">
      <c r="B142" s="2"/>
      <c r="C142" s="2"/>
      <c r="D142" s="41" t="str" cm="1">
        <f t="array" ref="D142">IF(H142="","",IF(AND(E142&lt;AVERAGE(E141,E143)*($L$19/100),$D$23:D141=""),H142,""))</f>
        <v/>
      </c>
      <c r="E142" s="78" t="str">
        <f t="shared" si="2"/>
        <v/>
      </c>
      <c r="F142" s="79"/>
      <c r="H142" s="1"/>
      <c r="I142" s="75"/>
      <c r="J142" s="75"/>
    </row>
    <row r="143" spans="2:10" x14ac:dyDescent="0.25">
      <c r="B143" s="2"/>
      <c r="C143" s="2"/>
      <c r="D143" s="41" t="str" cm="1">
        <f t="array" ref="D143">IF(H143="","",IF(AND(E143&lt;AVERAGE(E142,E144)*($L$19/100),$D$23:D142=""),H143,""))</f>
        <v/>
      </c>
      <c r="E143" s="78" t="str">
        <f t="shared" si="2"/>
        <v/>
      </c>
      <c r="F143" s="79"/>
      <c r="H143" s="1"/>
      <c r="I143" s="75"/>
      <c r="J143" s="75"/>
    </row>
    <row r="144" spans="2:10" x14ac:dyDescent="0.25">
      <c r="B144" s="2"/>
      <c r="C144" s="2"/>
      <c r="D144" s="41" t="str" cm="1">
        <f t="array" ref="D144">IF(H144="","",IF(AND(E144&lt;AVERAGE(E143,E145)*($L$19/100),$D$23:D143=""),H144,""))</f>
        <v/>
      </c>
      <c r="E144" s="78" t="str">
        <f t="shared" si="2"/>
        <v/>
      </c>
      <c r="F144" s="79"/>
      <c r="H144" s="1"/>
      <c r="I144" s="75"/>
      <c r="J144" s="75"/>
    </row>
    <row r="145" spans="2:10" x14ac:dyDescent="0.25">
      <c r="B145" s="2"/>
      <c r="C145" s="2"/>
      <c r="D145" s="41" t="str" cm="1">
        <f t="array" ref="D145">IF(H145="","",IF(AND(E145&lt;AVERAGE(E144,E146)*($L$19/100),$D$23:D144=""),H145,""))</f>
        <v/>
      </c>
      <c r="E145" s="78" t="str">
        <f t="shared" si="2"/>
        <v/>
      </c>
      <c r="F145" s="79"/>
      <c r="H145" s="1"/>
      <c r="I145" s="75"/>
      <c r="J145" s="75"/>
    </row>
    <row r="146" spans="2:10" x14ac:dyDescent="0.25">
      <c r="B146" s="2"/>
      <c r="C146" s="2"/>
      <c r="D146" s="41" t="str" cm="1">
        <f t="array" ref="D146">IF(H146="","",IF(AND(E146&lt;AVERAGE(E145,E147)*($L$19/100),$D$23:D145=""),H146,""))</f>
        <v/>
      </c>
      <c r="E146" s="78" t="str">
        <f t="shared" si="2"/>
        <v/>
      </c>
      <c r="F146" s="79"/>
      <c r="H146" s="1"/>
      <c r="I146" s="75"/>
      <c r="J146" s="75"/>
    </row>
    <row r="147" spans="2:10" x14ac:dyDescent="0.25">
      <c r="B147" s="2"/>
      <c r="C147" s="2"/>
      <c r="D147" s="41" t="str" cm="1">
        <f t="array" ref="D147">IF(H147="","",IF(AND(E147&lt;AVERAGE(E146,E148)*($L$19/100),$D$23:D146=""),H147,""))</f>
        <v/>
      </c>
      <c r="E147" s="78" t="str">
        <f t="shared" si="2"/>
        <v/>
      </c>
      <c r="F147" s="79"/>
      <c r="H147" s="1"/>
      <c r="I147" s="75"/>
      <c r="J147" s="75"/>
    </row>
    <row r="148" spans="2:10" x14ac:dyDescent="0.25">
      <c r="B148" s="2"/>
      <c r="C148" s="2"/>
      <c r="D148" s="41" t="str" cm="1">
        <f t="array" ref="D148">IF(H148="","",IF(AND(E148&lt;AVERAGE(E147,E149)*($L$19/100),$D$23:D147=""),H148,""))</f>
        <v/>
      </c>
      <c r="E148" s="78" t="str">
        <f t="shared" si="2"/>
        <v/>
      </c>
      <c r="F148" s="79"/>
      <c r="H148" s="1"/>
      <c r="I148" s="75"/>
      <c r="J148" s="75"/>
    </row>
    <row r="149" spans="2:10" x14ac:dyDescent="0.25">
      <c r="B149" s="2"/>
      <c r="C149" s="2"/>
      <c r="D149" s="41" t="str" cm="1">
        <f t="array" ref="D149">IF(H149="","",IF(AND(E149&lt;AVERAGE(E148,E150)*($L$19/100),$D$23:D148=""),H149,""))</f>
        <v/>
      </c>
      <c r="E149" s="78" t="str">
        <f t="shared" si="2"/>
        <v/>
      </c>
      <c r="F149" s="79"/>
      <c r="H149" s="1"/>
      <c r="I149" s="75"/>
      <c r="J149" s="75"/>
    </row>
    <row r="150" spans="2:10" x14ac:dyDescent="0.25">
      <c r="B150" s="2"/>
      <c r="C150" s="2"/>
      <c r="D150" s="41" t="str" cm="1">
        <f t="array" ref="D150">IF(H150="","",IF(AND(E150&lt;AVERAGE(E149,E151)*($L$19/100),$D$23:D149=""),H150,""))</f>
        <v/>
      </c>
      <c r="E150" s="78" t="str">
        <f t="shared" si="2"/>
        <v/>
      </c>
      <c r="F150" s="79"/>
      <c r="H150" s="1"/>
      <c r="I150" s="75"/>
      <c r="J150" s="75"/>
    </row>
    <row r="151" spans="2:10" x14ac:dyDescent="0.25">
      <c r="B151" s="2"/>
      <c r="C151" s="2"/>
      <c r="D151" s="41" t="str" cm="1">
        <f t="array" ref="D151">IF(H151="","",IF(AND(E151&lt;AVERAGE(E150,E152)*($L$19/100),$D$23:D150=""),H151,""))</f>
        <v/>
      </c>
      <c r="E151" s="78" t="str">
        <f t="shared" si="2"/>
        <v/>
      </c>
      <c r="F151" s="79"/>
      <c r="H151" s="1"/>
      <c r="I151" s="75"/>
      <c r="J151" s="75"/>
    </row>
    <row r="152" spans="2:10" x14ac:dyDescent="0.25">
      <c r="B152" s="2"/>
      <c r="C152" s="2"/>
      <c r="D152" s="41" t="str" cm="1">
        <f t="array" ref="D152">IF(H152="","",IF(AND(E152&lt;AVERAGE(E151,E153)*($L$19/100),$D$23:D151=""),H152,""))</f>
        <v/>
      </c>
      <c r="E152" s="78" t="str">
        <f t="shared" si="2"/>
        <v/>
      </c>
      <c r="F152" s="79"/>
      <c r="H152" s="1"/>
      <c r="I152" s="75"/>
      <c r="J152" s="75"/>
    </row>
    <row r="153" spans="2:10" x14ac:dyDescent="0.25">
      <c r="B153" s="2"/>
      <c r="C153" s="2"/>
      <c r="D153" s="41" t="str" cm="1">
        <f t="array" ref="D153">IF(H153="","",IF(AND(E153&lt;AVERAGE(E152,E154)*($L$19/100),$D$23:D152=""),H153,""))</f>
        <v/>
      </c>
      <c r="E153" s="78" t="str">
        <f t="shared" si="2"/>
        <v/>
      </c>
      <c r="F153" s="79"/>
      <c r="H153" s="1"/>
      <c r="I153" s="75"/>
      <c r="J153" s="75"/>
    </row>
    <row r="154" spans="2:10" x14ac:dyDescent="0.25">
      <c r="B154" s="2"/>
      <c r="C154" s="2"/>
      <c r="D154" s="41" t="str" cm="1">
        <f t="array" ref="D154">IF(H154="","",IF(AND(E154&lt;AVERAGE(E153,E155)*($L$19/100),$D$23:D153=""),H154,""))</f>
        <v/>
      </c>
      <c r="E154" s="78" t="str">
        <f t="shared" si="2"/>
        <v/>
      </c>
      <c r="F154" s="79"/>
      <c r="H154" s="1"/>
      <c r="I154" s="75"/>
      <c r="J154" s="75"/>
    </row>
    <row r="155" spans="2:10" x14ac:dyDescent="0.25">
      <c r="B155" s="2"/>
      <c r="C155" s="2"/>
      <c r="D155" s="41" t="str" cm="1">
        <f t="array" ref="D155">IF(H155="","",IF(AND(E155&lt;AVERAGE(E154,E156)*($L$19/100),$D$23:D154=""),H155,""))</f>
        <v/>
      </c>
      <c r="E155" s="78" t="str">
        <f t="shared" si="2"/>
        <v/>
      </c>
      <c r="F155" s="79"/>
      <c r="H155" s="1"/>
      <c r="I155" s="75"/>
      <c r="J155" s="75"/>
    </row>
    <row r="156" spans="2:10" x14ac:dyDescent="0.25">
      <c r="B156" s="2"/>
      <c r="C156" s="2"/>
      <c r="D156" s="41" t="str" cm="1">
        <f t="array" ref="D156">IF(H156="","",IF(AND(E156&lt;AVERAGE(E155,E157)*($L$19/100),$D$23:D155=""),H156,""))</f>
        <v/>
      </c>
      <c r="E156" s="78" t="str">
        <f t="shared" si="2"/>
        <v/>
      </c>
      <c r="F156" s="79"/>
      <c r="H156" s="1"/>
      <c r="I156" s="75"/>
      <c r="J156" s="75"/>
    </row>
    <row r="157" spans="2:10" x14ac:dyDescent="0.25">
      <c r="B157" s="2"/>
      <c r="C157" s="2"/>
      <c r="D157" s="41" t="str" cm="1">
        <f t="array" ref="D157">IF(H157="","",IF(AND(E157&lt;AVERAGE(E156,E158)*($L$19/100),$D$23:D156=""),H157,""))</f>
        <v/>
      </c>
      <c r="E157" s="78" t="str">
        <f t="shared" si="2"/>
        <v/>
      </c>
      <c r="F157" s="79"/>
      <c r="H157" s="1"/>
      <c r="I157" s="75"/>
      <c r="J157" s="75"/>
    </row>
    <row r="158" spans="2:10" x14ac:dyDescent="0.25">
      <c r="B158" s="2"/>
      <c r="C158" s="2"/>
      <c r="D158" s="41" t="str" cm="1">
        <f t="array" ref="D158">IF(H158="","",IF(AND(E158&lt;AVERAGE(E157,E159)*($L$19/100),$D$23:D157=""),H158,""))</f>
        <v/>
      </c>
      <c r="E158" s="78" t="str">
        <f t="shared" si="2"/>
        <v/>
      </c>
      <c r="F158" s="79"/>
      <c r="H158" s="1"/>
      <c r="I158" s="75"/>
      <c r="J158" s="75"/>
    </row>
    <row r="159" spans="2:10" x14ac:dyDescent="0.25">
      <c r="B159" s="2"/>
      <c r="C159" s="2"/>
      <c r="D159" s="41" t="str" cm="1">
        <f t="array" ref="D159">IF(H159="","",IF(AND(E159&lt;AVERAGE(E158,E160)*($L$19/100),$D$23:D158=""),H159,""))</f>
        <v/>
      </c>
      <c r="E159" s="78" t="str">
        <f t="shared" si="2"/>
        <v/>
      </c>
      <c r="F159" s="79"/>
      <c r="H159" s="1"/>
      <c r="I159" s="75"/>
      <c r="J159" s="75"/>
    </row>
    <row r="160" spans="2:10" x14ac:dyDescent="0.25">
      <c r="B160" s="2"/>
      <c r="C160" s="2"/>
      <c r="D160" s="41" t="str" cm="1">
        <f t="array" ref="D160">IF(H160="","",IF(AND(E160&lt;AVERAGE(E159,E161)*($L$19/100),$D$23:D159=""),H160,""))</f>
        <v/>
      </c>
      <c r="E160" s="78" t="str">
        <f t="shared" si="2"/>
        <v/>
      </c>
      <c r="F160" s="79"/>
      <c r="H160" s="1"/>
      <c r="I160" s="75"/>
      <c r="J160" s="75"/>
    </row>
    <row r="161" spans="2:10" x14ac:dyDescent="0.25">
      <c r="B161" s="2"/>
      <c r="C161" s="2"/>
      <c r="D161" s="41" t="str" cm="1">
        <f t="array" ref="D161">IF(H161="","",IF(AND(E161&lt;AVERAGE(E160,E162)*($L$19/100),$D$23:D160=""),H161,""))</f>
        <v/>
      </c>
      <c r="E161" s="78" t="str">
        <f t="shared" si="2"/>
        <v/>
      </c>
      <c r="F161" s="79"/>
      <c r="H161" s="1"/>
      <c r="I161" s="75"/>
      <c r="J161" s="75"/>
    </row>
    <row r="162" spans="2:10" x14ac:dyDescent="0.25">
      <c r="B162" s="2"/>
      <c r="C162" s="2"/>
      <c r="D162" s="41" t="str" cm="1">
        <f t="array" ref="D162">IF(H162="","",IF(AND(E162&lt;AVERAGE(E161,E163)*($L$19/100),$D$23:D161=""),H162,""))</f>
        <v/>
      </c>
      <c r="E162" s="78" t="str">
        <f t="shared" si="2"/>
        <v/>
      </c>
      <c r="F162" s="79"/>
      <c r="H162" s="1"/>
      <c r="I162" s="75"/>
      <c r="J162" s="75"/>
    </row>
    <row r="163" spans="2:10" x14ac:dyDescent="0.25">
      <c r="B163" s="2"/>
      <c r="C163" s="2"/>
      <c r="D163" s="41" t="str" cm="1">
        <f t="array" ref="D163">IF(H163="","",IF(AND(E163&lt;AVERAGE(E162,E164)*($L$19/100),$D$23:D162=""),H163,""))</f>
        <v/>
      </c>
      <c r="E163" s="78" t="str">
        <f t="shared" si="2"/>
        <v/>
      </c>
      <c r="F163" s="79"/>
      <c r="H163" s="1"/>
      <c r="I163" s="75"/>
      <c r="J163" s="75"/>
    </row>
    <row r="164" spans="2:10" x14ac:dyDescent="0.25">
      <c r="B164" s="2"/>
      <c r="C164" s="2"/>
      <c r="D164" s="41" t="str" cm="1">
        <f t="array" ref="D164">IF(H164="","",IF(AND(E164&lt;AVERAGE(E163,E165)*($L$19/100),$D$23:D163=""),H164,""))</f>
        <v/>
      </c>
      <c r="E164" s="78" t="str">
        <f t="shared" si="2"/>
        <v/>
      </c>
      <c r="F164" s="79"/>
      <c r="H164" s="1"/>
      <c r="I164" s="75"/>
      <c r="J164" s="75"/>
    </row>
    <row r="165" spans="2:10" x14ac:dyDescent="0.25">
      <c r="B165" s="2"/>
      <c r="C165" s="2"/>
      <c r="D165" s="41" t="str" cm="1">
        <f t="array" ref="D165">IF(H165="","",IF(AND(E165&lt;AVERAGE(E164,E166)*($L$19/100),$D$23:D164=""),H165,""))</f>
        <v/>
      </c>
      <c r="E165" s="78" t="str">
        <f t="shared" si="2"/>
        <v/>
      </c>
      <c r="F165" s="79"/>
      <c r="H165" s="1"/>
      <c r="I165" s="75"/>
      <c r="J165" s="75"/>
    </row>
    <row r="166" spans="2:10" x14ac:dyDescent="0.25">
      <c r="B166" s="2"/>
      <c r="C166" s="2"/>
      <c r="D166" s="41" t="str" cm="1">
        <f t="array" ref="D166">IF(H166="","",IF(AND(E166&lt;AVERAGE(E165,E167)*($L$19/100),$D$23:D165=""),H166,""))</f>
        <v/>
      </c>
      <c r="E166" s="78" t="str">
        <f t="shared" si="2"/>
        <v/>
      </c>
      <c r="F166" s="79"/>
      <c r="H166" s="1"/>
      <c r="I166" s="75"/>
      <c r="J166" s="75"/>
    </row>
    <row r="167" spans="2:10" x14ac:dyDescent="0.25">
      <c r="B167" s="2"/>
      <c r="C167" s="2"/>
      <c r="D167" s="41" t="str" cm="1">
        <f t="array" ref="D167">IF(H167="","",IF(AND(E167&lt;AVERAGE(E166,E168)*($L$19/100),$D$23:D166=""),H167,""))</f>
        <v/>
      </c>
      <c r="E167" s="78" t="str">
        <f t="shared" si="2"/>
        <v/>
      </c>
      <c r="F167" s="79"/>
      <c r="H167" s="1"/>
      <c r="I167" s="75"/>
      <c r="J167" s="75"/>
    </row>
    <row r="168" spans="2:10" x14ac:dyDescent="0.25">
      <c r="B168" s="2"/>
      <c r="C168" s="2"/>
      <c r="D168" s="41" t="str" cm="1">
        <f t="array" ref="D168">IF(H168="","",IF(AND(E168&lt;AVERAGE(E167,E169)*($L$19/100),$D$23:D167=""),H168,""))</f>
        <v/>
      </c>
      <c r="E168" s="78" t="str">
        <f t="shared" si="2"/>
        <v/>
      </c>
      <c r="F168" s="79"/>
      <c r="H168" s="1"/>
      <c r="I168" s="75"/>
      <c r="J168" s="75"/>
    </row>
    <row r="169" spans="2:10" x14ac:dyDescent="0.25">
      <c r="B169" s="2"/>
      <c r="C169" s="2"/>
      <c r="D169" s="41" t="str" cm="1">
        <f t="array" ref="D169">IF(H169="","",IF(AND(E169&lt;AVERAGE(E168,E170)*($L$19/100),$D$23:D168=""),H169,""))</f>
        <v/>
      </c>
      <c r="E169" s="78" t="str">
        <f t="shared" si="2"/>
        <v/>
      </c>
      <c r="F169" s="79"/>
      <c r="H169" s="1"/>
      <c r="I169" s="75"/>
      <c r="J169" s="75"/>
    </row>
    <row r="170" spans="2:10" x14ac:dyDescent="0.25">
      <c r="B170" s="2"/>
      <c r="C170" s="2"/>
      <c r="D170" s="41" t="str" cm="1">
        <f t="array" ref="D170">IF(H170="","",IF(AND(E170&lt;AVERAGE(E169,E171)*($L$19/100),$D$23:D169=""),H170,""))</f>
        <v/>
      </c>
      <c r="E170" s="78" t="str">
        <f t="shared" si="2"/>
        <v/>
      </c>
      <c r="F170" s="79"/>
      <c r="H170" s="1"/>
      <c r="I170" s="75"/>
      <c r="J170" s="75"/>
    </row>
    <row r="171" spans="2:10" x14ac:dyDescent="0.25">
      <c r="B171" s="2"/>
      <c r="C171" s="2"/>
      <c r="D171" s="41" t="str" cm="1">
        <f t="array" ref="D171">IF(H171="","",IF(AND(E171&lt;AVERAGE(E170,E172)*($L$19/100),$D$23:D170=""),H171,""))</f>
        <v/>
      </c>
      <c r="E171" s="78" t="str">
        <f t="shared" ref="E171:E234" si="3">IF(H171="","",ABS(I171-$G$19))</f>
        <v/>
      </c>
      <c r="F171" s="79"/>
      <c r="H171" s="1"/>
      <c r="I171" s="75"/>
      <c r="J171" s="75"/>
    </row>
    <row r="172" spans="2:10" x14ac:dyDescent="0.25">
      <c r="B172" s="2"/>
      <c r="C172" s="2"/>
      <c r="D172" s="41" t="str" cm="1">
        <f t="array" ref="D172">IF(H172="","",IF(AND(E172&lt;AVERAGE(E171,E173)*($L$19/100),$D$23:D171=""),H172,""))</f>
        <v/>
      </c>
      <c r="E172" s="78" t="str">
        <f t="shared" si="3"/>
        <v/>
      </c>
      <c r="F172" s="79"/>
      <c r="H172" s="1"/>
      <c r="I172" s="75"/>
      <c r="J172" s="75"/>
    </row>
    <row r="173" spans="2:10" x14ac:dyDescent="0.25">
      <c r="B173" s="2"/>
      <c r="C173" s="2"/>
      <c r="D173" s="41" t="str" cm="1">
        <f t="array" ref="D173">IF(H173="","",IF(AND(E173&lt;AVERAGE(E172,E174)*($L$19/100),$D$23:D172=""),H173,""))</f>
        <v/>
      </c>
      <c r="E173" s="78" t="str">
        <f t="shared" si="3"/>
        <v/>
      </c>
      <c r="F173" s="79"/>
      <c r="H173" s="1"/>
      <c r="I173" s="75"/>
      <c r="J173" s="75"/>
    </row>
    <row r="174" spans="2:10" x14ac:dyDescent="0.25">
      <c r="B174" s="2"/>
      <c r="C174" s="2"/>
      <c r="D174" s="41" t="str" cm="1">
        <f t="array" ref="D174">IF(H174="","",IF(AND(E174&lt;AVERAGE(E173,E175)*($L$19/100),$D$23:D173=""),H174,""))</f>
        <v/>
      </c>
      <c r="E174" s="78" t="str">
        <f t="shared" si="3"/>
        <v/>
      </c>
      <c r="F174" s="79"/>
      <c r="H174" s="1"/>
      <c r="I174" s="75"/>
      <c r="J174" s="75"/>
    </row>
    <row r="175" spans="2:10" x14ac:dyDescent="0.25">
      <c r="B175" s="2"/>
      <c r="C175" s="2"/>
      <c r="D175" s="41" t="str" cm="1">
        <f t="array" ref="D175">IF(H175="","",IF(AND(E175&lt;AVERAGE(E174,E176)*($L$19/100),$D$23:D174=""),H175,""))</f>
        <v/>
      </c>
      <c r="E175" s="78" t="str">
        <f t="shared" si="3"/>
        <v/>
      </c>
      <c r="F175" s="79"/>
      <c r="H175" s="1"/>
      <c r="I175" s="75"/>
      <c r="J175" s="75"/>
    </row>
    <row r="176" spans="2:10" x14ac:dyDescent="0.25">
      <c r="B176" s="2"/>
      <c r="C176" s="2"/>
      <c r="D176" s="41" t="str" cm="1">
        <f t="array" ref="D176">IF(H176="","",IF(AND(E176&lt;AVERAGE(E175,E177)*($L$19/100),$D$23:D175=""),H176,""))</f>
        <v/>
      </c>
      <c r="E176" s="78" t="str">
        <f t="shared" si="3"/>
        <v/>
      </c>
      <c r="F176" s="79"/>
      <c r="H176" s="1"/>
      <c r="I176" s="75"/>
      <c r="J176" s="75"/>
    </row>
    <row r="177" spans="2:10" x14ac:dyDescent="0.25">
      <c r="B177" s="2"/>
      <c r="C177" s="2"/>
      <c r="D177" s="41" t="str" cm="1">
        <f t="array" ref="D177">IF(H177="","",IF(AND(E177&lt;AVERAGE(E176,E178)*($L$19/100),$D$23:D176=""),H177,""))</f>
        <v/>
      </c>
      <c r="E177" s="78" t="str">
        <f t="shared" si="3"/>
        <v/>
      </c>
      <c r="F177" s="79"/>
      <c r="H177" s="1"/>
      <c r="I177" s="75"/>
      <c r="J177" s="75"/>
    </row>
    <row r="178" spans="2:10" x14ac:dyDescent="0.25">
      <c r="B178" s="2"/>
      <c r="C178" s="2"/>
      <c r="D178" s="41" t="str" cm="1">
        <f t="array" ref="D178">IF(H178="","",IF(AND(E178&lt;AVERAGE(E177,E179)*($L$19/100),$D$23:D177=""),H178,""))</f>
        <v/>
      </c>
      <c r="E178" s="78" t="str">
        <f t="shared" si="3"/>
        <v/>
      </c>
      <c r="F178" s="79"/>
      <c r="H178" s="1"/>
      <c r="I178" s="75"/>
      <c r="J178" s="75"/>
    </row>
    <row r="179" spans="2:10" x14ac:dyDescent="0.25">
      <c r="B179" s="2"/>
      <c r="C179" s="2"/>
      <c r="D179" s="41" t="str" cm="1">
        <f t="array" ref="D179">IF(H179="","",IF(AND(E179&lt;AVERAGE(E178,E180)*($L$19/100),$D$23:D178=""),H179,""))</f>
        <v/>
      </c>
      <c r="E179" s="78" t="str">
        <f t="shared" si="3"/>
        <v/>
      </c>
      <c r="F179" s="79"/>
      <c r="H179" s="1"/>
      <c r="I179" s="75"/>
      <c r="J179" s="75"/>
    </row>
    <row r="180" spans="2:10" x14ac:dyDescent="0.25">
      <c r="B180" s="2"/>
      <c r="C180" s="2"/>
      <c r="D180" s="41" t="str" cm="1">
        <f t="array" ref="D180">IF(H180="","",IF(AND(E180&lt;AVERAGE(E179,E181)*($L$19/100),$D$23:D179=""),H180,""))</f>
        <v/>
      </c>
      <c r="E180" s="78" t="str">
        <f t="shared" si="3"/>
        <v/>
      </c>
      <c r="F180" s="79"/>
      <c r="H180" s="1"/>
      <c r="I180" s="75"/>
      <c r="J180" s="75"/>
    </row>
    <row r="181" spans="2:10" x14ac:dyDescent="0.25">
      <c r="B181" s="2"/>
      <c r="C181" s="2"/>
      <c r="D181" s="41" t="str" cm="1">
        <f t="array" ref="D181">IF(H181="","",IF(AND(E181&lt;AVERAGE(E180,E182)*($L$19/100),$D$23:D180=""),H181,""))</f>
        <v/>
      </c>
      <c r="E181" s="78" t="str">
        <f t="shared" si="3"/>
        <v/>
      </c>
      <c r="F181" s="79"/>
      <c r="H181" s="1"/>
      <c r="I181" s="75"/>
      <c r="J181" s="75"/>
    </row>
    <row r="182" spans="2:10" x14ac:dyDescent="0.25">
      <c r="B182" s="2"/>
      <c r="C182" s="2"/>
      <c r="D182" s="41" t="str" cm="1">
        <f t="array" ref="D182">IF(H182="","",IF(AND(E182&lt;AVERAGE(E181,E183)*($L$19/100),$D$23:D181=""),H182,""))</f>
        <v/>
      </c>
      <c r="E182" s="78" t="str">
        <f t="shared" si="3"/>
        <v/>
      </c>
      <c r="F182" s="79"/>
      <c r="H182" s="1"/>
      <c r="I182" s="75"/>
      <c r="J182" s="75"/>
    </row>
    <row r="183" spans="2:10" x14ac:dyDescent="0.25">
      <c r="B183" s="2"/>
      <c r="C183" s="2"/>
      <c r="D183" s="41" t="str" cm="1">
        <f t="array" ref="D183">IF(H183="","",IF(AND(E183&lt;AVERAGE(E182,E184)*($L$19/100),$D$23:D182=""),H183,""))</f>
        <v/>
      </c>
      <c r="E183" s="78" t="str">
        <f t="shared" si="3"/>
        <v/>
      </c>
      <c r="F183" s="79"/>
      <c r="H183" s="1"/>
      <c r="I183" s="75"/>
      <c r="J183" s="75"/>
    </row>
    <row r="184" spans="2:10" x14ac:dyDescent="0.25">
      <c r="B184" s="2"/>
      <c r="C184" s="2"/>
      <c r="D184" s="41" t="str" cm="1">
        <f t="array" ref="D184">IF(H184="","",IF(AND(E184&lt;AVERAGE(E183,E185)*($L$19/100),$D$23:D183=""),H184,""))</f>
        <v/>
      </c>
      <c r="E184" s="78" t="str">
        <f t="shared" si="3"/>
        <v/>
      </c>
      <c r="F184" s="79"/>
      <c r="H184" s="1"/>
      <c r="I184" s="75"/>
      <c r="J184" s="75"/>
    </row>
    <row r="185" spans="2:10" x14ac:dyDescent="0.25">
      <c r="B185" s="2"/>
      <c r="C185" s="2"/>
      <c r="D185" s="41" t="str" cm="1">
        <f t="array" ref="D185">IF(H185="","",IF(AND(E185&lt;AVERAGE(E184,E186)*($L$19/100),$D$23:D184=""),H185,""))</f>
        <v/>
      </c>
      <c r="E185" s="78" t="str">
        <f t="shared" si="3"/>
        <v/>
      </c>
      <c r="F185" s="79"/>
      <c r="H185" s="1"/>
      <c r="I185" s="75"/>
      <c r="J185" s="75"/>
    </row>
    <row r="186" spans="2:10" x14ac:dyDescent="0.25">
      <c r="B186" s="2"/>
      <c r="C186" s="2"/>
      <c r="D186" s="41" t="str" cm="1">
        <f t="array" ref="D186">IF(H186="","",IF(AND(E186&lt;AVERAGE(E185,E187)*($L$19/100),$D$23:D185=""),H186,""))</f>
        <v/>
      </c>
      <c r="E186" s="78" t="str">
        <f t="shared" si="3"/>
        <v/>
      </c>
      <c r="F186" s="79"/>
      <c r="H186" s="1"/>
      <c r="I186" s="75"/>
      <c r="J186" s="75"/>
    </row>
    <row r="187" spans="2:10" x14ac:dyDescent="0.25">
      <c r="B187" s="2"/>
      <c r="C187" s="2"/>
      <c r="D187" s="41" t="str" cm="1">
        <f t="array" ref="D187">IF(H187="","",IF(AND(E187&lt;AVERAGE(E186,E188)*($L$19/100),$D$23:D186=""),H187,""))</f>
        <v/>
      </c>
      <c r="E187" s="78" t="str">
        <f t="shared" si="3"/>
        <v/>
      </c>
      <c r="F187" s="79"/>
      <c r="H187" s="1"/>
      <c r="I187" s="75"/>
      <c r="J187" s="75"/>
    </row>
    <row r="188" spans="2:10" x14ac:dyDescent="0.25">
      <c r="B188" s="2"/>
      <c r="C188" s="2"/>
      <c r="D188" s="41" t="str" cm="1">
        <f t="array" ref="D188">IF(H188="","",IF(AND(E188&lt;AVERAGE(E187,E189)*($L$19/100),$D$23:D187=""),H188,""))</f>
        <v/>
      </c>
      <c r="E188" s="78" t="str">
        <f t="shared" si="3"/>
        <v/>
      </c>
      <c r="F188" s="79"/>
      <c r="H188" s="1"/>
      <c r="I188" s="75"/>
      <c r="J188" s="75"/>
    </row>
    <row r="189" spans="2:10" x14ac:dyDescent="0.25">
      <c r="B189" s="2"/>
      <c r="C189" s="2"/>
      <c r="D189" s="41" t="str" cm="1">
        <f t="array" ref="D189">IF(H189="","",IF(AND(E189&lt;AVERAGE(E188,E190)*($L$19/100),$D$23:D188=""),H189,""))</f>
        <v/>
      </c>
      <c r="E189" s="78" t="str">
        <f t="shared" si="3"/>
        <v/>
      </c>
      <c r="F189" s="79"/>
      <c r="H189" s="1"/>
      <c r="I189" s="75"/>
      <c r="J189" s="75"/>
    </row>
    <row r="190" spans="2:10" x14ac:dyDescent="0.25">
      <c r="B190" s="2"/>
      <c r="C190" s="2"/>
      <c r="D190" s="41" t="str" cm="1">
        <f t="array" ref="D190">IF(H190="","",IF(AND(E190&lt;AVERAGE(E189,E191)*($L$19/100),$D$23:D189=""),H190,""))</f>
        <v/>
      </c>
      <c r="E190" s="78" t="str">
        <f t="shared" si="3"/>
        <v/>
      </c>
      <c r="F190" s="79"/>
      <c r="H190" s="1"/>
      <c r="I190" s="75"/>
      <c r="J190" s="75"/>
    </row>
    <row r="191" spans="2:10" x14ac:dyDescent="0.25">
      <c r="B191" s="2"/>
      <c r="C191" s="2"/>
      <c r="D191" s="41" t="str" cm="1">
        <f t="array" ref="D191">IF(H191="","",IF(AND(E191&lt;AVERAGE(E190,E192)*($L$19/100),$D$23:D190=""),H191,""))</f>
        <v/>
      </c>
      <c r="E191" s="78" t="str">
        <f t="shared" si="3"/>
        <v/>
      </c>
      <c r="F191" s="79"/>
      <c r="H191" s="1"/>
      <c r="I191" s="75"/>
      <c r="J191" s="75"/>
    </row>
    <row r="192" spans="2:10" x14ac:dyDescent="0.25">
      <c r="B192" s="2"/>
      <c r="C192" s="2"/>
      <c r="D192" s="41" t="str" cm="1">
        <f t="array" ref="D192">IF(H192="","",IF(AND(E192&lt;AVERAGE(E191,E193)*($L$19/100),$D$23:D191=""),H192,""))</f>
        <v/>
      </c>
      <c r="E192" s="78" t="str">
        <f t="shared" si="3"/>
        <v/>
      </c>
      <c r="F192" s="79"/>
      <c r="H192" s="1"/>
      <c r="I192" s="75"/>
      <c r="J192" s="75"/>
    </row>
    <row r="193" spans="2:10" x14ac:dyDescent="0.25">
      <c r="B193" s="2"/>
      <c r="C193" s="2"/>
      <c r="D193" s="41" t="str" cm="1">
        <f t="array" ref="D193">IF(H193="","",IF(AND(E193&lt;AVERAGE(E192,E194)*($L$19/100),$D$23:D192=""),H193,""))</f>
        <v/>
      </c>
      <c r="E193" s="78" t="str">
        <f t="shared" si="3"/>
        <v/>
      </c>
      <c r="F193" s="79"/>
      <c r="H193" s="1"/>
      <c r="I193" s="75"/>
      <c r="J193" s="75"/>
    </row>
    <row r="194" spans="2:10" x14ac:dyDescent="0.25">
      <c r="B194" s="2"/>
      <c r="C194" s="2"/>
      <c r="D194" s="41" t="str" cm="1">
        <f t="array" ref="D194">IF(H194="","",IF(AND(E194&lt;AVERAGE(E193,E195)*($L$19/100),$D$23:D193=""),H194,""))</f>
        <v/>
      </c>
      <c r="E194" s="78" t="str">
        <f t="shared" si="3"/>
        <v/>
      </c>
      <c r="F194" s="79"/>
      <c r="H194" s="1"/>
      <c r="I194" s="75"/>
      <c r="J194" s="75"/>
    </row>
    <row r="195" spans="2:10" x14ac:dyDescent="0.25">
      <c r="B195" s="2"/>
      <c r="C195" s="2"/>
      <c r="D195" s="41" t="str" cm="1">
        <f t="array" ref="D195">IF(H195="","",IF(AND(E195&lt;AVERAGE(E194,E196)*($L$19/100),$D$23:D194=""),H195,""))</f>
        <v/>
      </c>
      <c r="E195" s="78" t="str">
        <f t="shared" si="3"/>
        <v/>
      </c>
      <c r="F195" s="79"/>
      <c r="H195" s="1"/>
      <c r="I195" s="75"/>
      <c r="J195" s="75"/>
    </row>
    <row r="196" spans="2:10" x14ac:dyDescent="0.25">
      <c r="B196" s="2"/>
      <c r="C196" s="2"/>
      <c r="D196" s="41" t="str" cm="1">
        <f t="array" ref="D196">IF(H196="","",IF(AND(E196&lt;AVERAGE(E195,E197)*($L$19/100),$D$23:D195=""),H196,""))</f>
        <v/>
      </c>
      <c r="E196" s="78" t="str">
        <f t="shared" si="3"/>
        <v/>
      </c>
      <c r="F196" s="79"/>
      <c r="H196" s="1"/>
      <c r="I196" s="75"/>
      <c r="J196" s="75"/>
    </row>
    <row r="197" spans="2:10" x14ac:dyDescent="0.25">
      <c r="B197" s="2"/>
      <c r="C197" s="2"/>
      <c r="D197" s="41" t="str" cm="1">
        <f t="array" ref="D197">IF(H197="","",IF(AND(E197&lt;AVERAGE(E196,E198)*($L$19/100),$D$23:D196=""),H197,""))</f>
        <v/>
      </c>
      <c r="E197" s="78" t="str">
        <f t="shared" si="3"/>
        <v/>
      </c>
      <c r="F197" s="79"/>
      <c r="H197" s="1"/>
      <c r="I197" s="75"/>
      <c r="J197" s="75"/>
    </row>
    <row r="198" spans="2:10" x14ac:dyDescent="0.25">
      <c r="B198" s="2"/>
      <c r="C198" s="2"/>
      <c r="D198" s="41" t="str" cm="1">
        <f t="array" ref="D198">IF(H198="","",IF(AND(E198&lt;AVERAGE(E197,E199)*($L$19/100),$D$23:D197=""),H198,""))</f>
        <v/>
      </c>
      <c r="E198" s="78" t="str">
        <f t="shared" si="3"/>
        <v/>
      </c>
      <c r="F198" s="79"/>
      <c r="H198" s="1"/>
      <c r="I198" s="75"/>
      <c r="J198" s="75"/>
    </row>
    <row r="199" spans="2:10" x14ac:dyDescent="0.25">
      <c r="B199" s="2"/>
      <c r="C199" s="2"/>
      <c r="D199" s="41" t="str" cm="1">
        <f t="array" ref="D199">IF(H199="","",IF(AND(E199&lt;AVERAGE(E198,E200)*($L$19/100),$D$23:D198=""),H199,""))</f>
        <v/>
      </c>
      <c r="E199" s="78" t="str">
        <f t="shared" si="3"/>
        <v/>
      </c>
      <c r="F199" s="79"/>
      <c r="H199" s="1"/>
      <c r="I199" s="75"/>
      <c r="J199" s="75"/>
    </row>
    <row r="200" spans="2:10" x14ac:dyDescent="0.25">
      <c r="B200" s="2"/>
      <c r="C200" s="2"/>
      <c r="D200" s="41" t="str" cm="1">
        <f t="array" ref="D200">IF(H200="","",IF(AND(E200&lt;AVERAGE(E199,E201)*($L$19/100),$D$23:D199=""),H200,""))</f>
        <v/>
      </c>
      <c r="E200" s="78" t="str">
        <f t="shared" si="3"/>
        <v/>
      </c>
      <c r="F200" s="79"/>
      <c r="H200" s="1"/>
      <c r="I200" s="75"/>
      <c r="J200" s="75"/>
    </row>
    <row r="201" spans="2:10" x14ac:dyDescent="0.25">
      <c r="B201" s="2"/>
      <c r="C201" s="2"/>
      <c r="D201" s="41" t="str" cm="1">
        <f t="array" ref="D201">IF(H201="","",IF(AND(E201&lt;AVERAGE(E200,E202)*($L$19/100),$D$23:D200=""),H201,""))</f>
        <v/>
      </c>
      <c r="E201" s="78" t="str">
        <f t="shared" si="3"/>
        <v/>
      </c>
      <c r="F201" s="79"/>
      <c r="H201" s="1"/>
      <c r="I201" s="75"/>
      <c r="J201" s="75"/>
    </row>
    <row r="202" spans="2:10" x14ac:dyDescent="0.25">
      <c r="B202" s="2"/>
      <c r="C202" s="2"/>
      <c r="D202" s="41" t="str" cm="1">
        <f t="array" ref="D202">IF(H202="","",IF(AND(E202&lt;AVERAGE(E201,E203)*($L$19/100),$D$23:D201=""),H202,""))</f>
        <v/>
      </c>
      <c r="E202" s="78" t="str">
        <f t="shared" si="3"/>
        <v/>
      </c>
      <c r="F202" s="79"/>
      <c r="H202" s="1"/>
      <c r="I202" s="75"/>
      <c r="J202" s="75"/>
    </row>
    <row r="203" spans="2:10" x14ac:dyDescent="0.25">
      <c r="B203" s="2"/>
      <c r="C203" s="2"/>
      <c r="D203" s="41" t="str" cm="1">
        <f t="array" ref="D203">IF(H203="","",IF(AND(E203&lt;AVERAGE(E202,E204)*($L$19/100),$D$23:D202=""),H203,""))</f>
        <v/>
      </c>
      <c r="E203" s="78" t="str">
        <f t="shared" si="3"/>
        <v/>
      </c>
      <c r="F203" s="79"/>
      <c r="H203" s="1"/>
      <c r="I203" s="75"/>
      <c r="J203" s="75"/>
    </row>
    <row r="204" spans="2:10" x14ac:dyDescent="0.25">
      <c r="B204" s="2"/>
      <c r="C204" s="2"/>
      <c r="D204" s="41" t="str" cm="1">
        <f t="array" ref="D204">IF(H204="","",IF(AND(E204&lt;AVERAGE(E203,E205)*($L$19/100),$D$23:D203=""),H204,""))</f>
        <v/>
      </c>
      <c r="E204" s="78" t="str">
        <f t="shared" si="3"/>
        <v/>
      </c>
      <c r="F204" s="79"/>
      <c r="H204" s="1"/>
      <c r="I204" s="75"/>
      <c r="J204" s="75"/>
    </row>
    <row r="205" spans="2:10" x14ac:dyDescent="0.25">
      <c r="B205" s="2"/>
      <c r="C205" s="2"/>
      <c r="D205" s="41" t="str" cm="1">
        <f t="array" ref="D205">IF(H205="","",IF(AND(E205&lt;AVERAGE(E204,E206)*($L$19/100),$D$23:D204=""),H205,""))</f>
        <v/>
      </c>
      <c r="E205" s="78" t="str">
        <f t="shared" si="3"/>
        <v/>
      </c>
      <c r="F205" s="79"/>
      <c r="H205" s="1"/>
      <c r="I205" s="75"/>
      <c r="J205" s="75"/>
    </row>
    <row r="206" spans="2:10" x14ac:dyDescent="0.25">
      <c r="B206" s="2"/>
      <c r="C206" s="2"/>
      <c r="D206" s="41" t="str" cm="1">
        <f t="array" ref="D206">IF(H206="","",IF(AND(E206&lt;AVERAGE(E205,E207)*($L$19/100),$D$23:D205=""),H206,""))</f>
        <v/>
      </c>
      <c r="E206" s="78" t="str">
        <f t="shared" si="3"/>
        <v/>
      </c>
      <c r="F206" s="79"/>
      <c r="H206" s="1"/>
      <c r="I206" s="75"/>
      <c r="J206" s="75"/>
    </row>
    <row r="207" spans="2:10" x14ac:dyDescent="0.25">
      <c r="B207" s="2"/>
      <c r="C207" s="2"/>
      <c r="D207" s="41" t="str" cm="1">
        <f t="array" ref="D207">IF(H207="","",IF(AND(E207&lt;AVERAGE(E206,E208)*($L$19/100),$D$23:D206=""),H207,""))</f>
        <v/>
      </c>
      <c r="E207" s="78" t="str">
        <f t="shared" si="3"/>
        <v/>
      </c>
      <c r="F207" s="79"/>
      <c r="H207" s="1"/>
      <c r="I207" s="75"/>
      <c r="J207" s="75"/>
    </row>
    <row r="208" spans="2:10" x14ac:dyDescent="0.25">
      <c r="B208" s="2"/>
      <c r="C208" s="2"/>
      <c r="D208" s="41" t="str" cm="1">
        <f t="array" ref="D208">IF(H208="","",IF(AND(E208&lt;AVERAGE(E207,E209)*($L$19/100),$D$23:D207=""),H208,""))</f>
        <v/>
      </c>
      <c r="E208" s="78" t="str">
        <f t="shared" si="3"/>
        <v/>
      </c>
      <c r="F208" s="79"/>
      <c r="H208" s="1"/>
      <c r="I208" s="75"/>
      <c r="J208" s="75"/>
    </row>
    <row r="209" spans="2:212" x14ac:dyDescent="0.25">
      <c r="B209" s="2"/>
      <c r="C209" s="2"/>
      <c r="D209" s="41" t="str" cm="1">
        <f t="array" ref="D209">IF(H209="","",IF(AND(E209&lt;AVERAGE(E208,E210)*($L$19/100),$D$23:D208=""),H209,""))</f>
        <v/>
      </c>
      <c r="E209" s="78" t="str">
        <f t="shared" si="3"/>
        <v/>
      </c>
      <c r="F209" s="79"/>
      <c r="H209" s="1"/>
      <c r="I209" s="75"/>
      <c r="J209" s="75"/>
    </row>
    <row r="210" spans="2:212" x14ac:dyDescent="0.25">
      <c r="B210" s="2"/>
      <c r="C210" s="2"/>
      <c r="D210" s="41" t="str" cm="1">
        <f t="array" ref="D210">IF(H210="","",IF(AND(E210&lt;AVERAGE(E209,E211)*($L$19/100),$D$23:D209=""),H210,""))</f>
        <v/>
      </c>
      <c r="E210" s="78" t="str">
        <f t="shared" si="3"/>
        <v/>
      </c>
      <c r="F210" s="79"/>
      <c r="H210" s="1"/>
      <c r="I210" s="75"/>
      <c r="J210" s="75"/>
    </row>
    <row r="211" spans="2:212" x14ac:dyDescent="0.25">
      <c r="B211" s="2"/>
      <c r="C211" s="2"/>
      <c r="D211" s="41" t="str" cm="1">
        <f t="array" ref="D211">IF(H211="","",IF(AND(E211&lt;AVERAGE(E210,E212)*($L$19/100),$D$23:D210=""),H211,""))</f>
        <v/>
      </c>
      <c r="E211" s="78" t="str">
        <f t="shared" si="3"/>
        <v/>
      </c>
      <c r="F211" s="79"/>
      <c r="H211" s="1"/>
      <c r="I211" s="75"/>
      <c r="J211" s="75"/>
    </row>
    <row r="212" spans="2:212" x14ac:dyDescent="0.25">
      <c r="B212" s="2"/>
      <c r="C212" s="2"/>
      <c r="D212" s="41" t="str" cm="1">
        <f t="array" ref="D212">IF(H212="","",IF(AND(E212&lt;AVERAGE(E211,E213)*($L$19/100),$D$23:D211=""),H212,""))</f>
        <v/>
      </c>
      <c r="E212" s="78" t="str">
        <f t="shared" si="3"/>
        <v/>
      </c>
      <c r="F212" s="79"/>
      <c r="H212" s="1"/>
      <c r="I212" s="75"/>
      <c r="J212" s="75"/>
    </row>
    <row r="213" spans="2:212" x14ac:dyDescent="0.25">
      <c r="B213" s="2"/>
      <c r="C213" s="2"/>
      <c r="D213" s="41" t="str" cm="1">
        <f t="array" ref="D213">IF(H213="","",IF(AND(E213&lt;AVERAGE(E212,E214)*($L$19/100),$D$23:D212=""),H213,""))</f>
        <v/>
      </c>
      <c r="E213" s="78" t="str">
        <f t="shared" si="3"/>
        <v/>
      </c>
      <c r="F213" s="79"/>
      <c r="H213" s="1"/>
      <c r="I213" s="75"/>
      <c r="J213" s="75"/>
    </row>
    <row r="214" spans="2:212" x14ac:dyDescent="0.25">
      <c r="B214" s="2"/>
      <c r="C214" s="2"/>
      <c r="D214" s="41" t="str" cm="1">
        <f t="array" ref="D214">IF(H214="","",IF(AND(E214&lt;AVERAGE(E213,E215)*($L$19/100),$D$23:D213=""),H214,""))</f>
        <v/>
      </c>
      <c r="E214" s="78" t="str">
        <f t="shared" si="3"/>
        <v/>
      </c>
      <c r="F214" s="79"/>
      <c r="H214" s="1"/>
      <c r="I214" s="75"/>
      <c r="J214" s="75"/>
    </row>
    <row r="215" spans="2:212" x14ac:dyDescent="0.25">
      <c r="B215" s="2"/>
      <c r="C215" s="2"/>
      <c r="D215" s="41" t="str" cm="1">
        <f t="array" ref="D215">IF(H215="","",IF(AND(E215&lt;AVERAGE(E214,E216)*($L$19/100),$D$23:D214=""),H215,""))</f>
        <v/>
      </c>
      <c r="E215" s="78" t="str">
        <f t="shared" si="3"/>
        <v/>
      </c>
      <c r="F215" s="79"/>
      <c r="H215" s="1"/>
      <c r="I215" s="75"/>
      <c r="J215" s="75"/>
    </row>
    <row r="216" spans="2:212" x14ac:dyDescent="0.25">
      <c r="B216" s="2"/>
      <c r="C216" s="2"/>
      <c r="D216" s="41" t="str" cm="1">
        <f t="array" ref="D216">IF(H216="","",IF(AND(E216&lt;AVERAGE(E215,E217)*($L$19/100),$D$23:D215=""),H216,""))</f>
        <v/>
      </c>
      <c r="E216" s="78" t="str">
        <f t="shared" si="3"/>
        <v/>
      </c>
      <c r="F216" s="79"/>
      <c r="H216" s="1"/>
      <c r="I216" s="75"/>
      <c r="J216" s="75"/>
    </row>
    <row r="217" spans="2:212" x14ac:dyDescent="0.25">
      <c r="B217" s="2"/>
      <c r="C217" s="2"/>
      <c r="D217" s="41" t="str" cm="1">
        <f t="array" ref="D217">IF(H217="","",IF(AND(E217&lt;AVERAGE(E216,E218)*($L$19/100),$D$23:D216=""),H217,""))</f>
        <v/>
      </c>
      <c r="E217" s="78" t="str">
        <f t="shared" si="3"/>
        <v/>
      </c>
      <c r="F217" s="79"/>
      <c r="H217" s="1"/>
      <c r="I217" s="75"/>
      <c r="J217" s="75"/>
    </row>
    <row r="218" spans="2:212" x14ac:dyDescent="0.25">
      <c r="B218" s="2"/>
      <c r="C218" s="2"/>
      <c r="D218" s="41" t="str" cm="1">
        <f t="array" ref="D218">IF(H218="","",IF(AND(E218&lt;AVERAGE(E217,E219)*($L$19/100),$D$23:D217=""),H218,""))</f>
        <v/>
      </c>
      <c r="E218" s="78" t="str">
        <f t="shared" si="3"/>
        <v/>
      </c>
      <c r="F218" s="79"/>
      <c r="H218" s="1"/>
      <c r="I218" s="75"/>
      <c r="J218" s="75"/>
    </row>
    <row r="219" spans="2:212" x14ac:dyDescent="0.25">
      <c r="B219" s="2"/>
      <c r="C219" s="2"/>
      <c r="D219" s="41" t="str" cm="1">
        <f t="array" ref="D219">IF(H219="","",IF(AND(E219&lt;AVERAGE(E218,E220)*($L$19/100),$D$23:D218=""),H219,""))</f>
        <v/>
      </c>
      <c r="E219" s="78" t="str">
        <f t="shared" si="3"/>
        <v/>
      </c>
      <c r="F219" s="79"/>
      <c r="H219" s="1"/>
      <c r="I219" s="75"/>
      <c r="J219" s="75"/>
    </row>
    <row r="220" spans="2:212" x14ac:dyDescent="0.25">
      <c r="B220" s="2"/>
      <c r="C220" s="2"/>
      <c r="D220" s="41" t="str" cm="1">
        <f t="array" ref="D220">IF(H220="","",IF(AND(E220&lt;AVERAGE(E219,E221)*($L$19/100),$D$23:D219=""),H220,""))</f>
        <v/>
      </c>
      <c r="E220" s="78" t="str">
        <f t="shared" si="3"/>
        <v/>
      </c>
      <c r="F220" s="79"/>
      <c r="H220" s="1"/>
      <c r="I220" s="75"/>
      <c r="J220" s="75"/>
    </row>
    <row r="221" spans="2:212" x14ac:dyDescent="0.25">
      <c r="B221" s="2"/>
      <c r="C221" s="2"/>
      <c r="D221" s="41" t="str" cm="1">
        <f t="array" ref="D221">IF(H221="","",IF(AND(E221&lt;AVERAGE(E220,E222)*($L$19/100),$D$23:D220=""),H221,""))</f>
        <v/>
      </c>
      <c r="E221" s="78" t="str">
        <f t="shared" si="3"/>
        <v/>
      </c>
      <c r="F221" s="79"/>
      <c r="H221" s="1"/>
      <c r="I221" s="75"/>
      <c r="J221" s="75"/>
    </row>
    <row r="222" spans="2:212" x14ac:dyDescent="0.25">
      <c r="B222" s="2"/>
      <c r="C222" s="2"/>
      <c r="D222" s="41" t="str" cm="1">
        <f t="array" ref="D222">IF(H222="","",IF(AND(E222&lt;AVERAGE(E221,E223)*($L$19/100),$D$23:D221=""),H222,""))</f>
        <v/>
      </c>
      <c r="E222" s="78" t="str">
        <f t="shared" si="3"/>
        <v/>
      </c>
      <c r="F222" s="79"/>
      <c r="H222" s="1"/>
      <c r="I222" s="75"/>
      <c r="J222" s="75"/>
    </row>
    <row r="223" spans="2:212" x14ac:dyDescent="0.25">
      <c r="B223" s="2"/>
      <c r="C223" s="2"/>
      <c r="D223" s="41" t="str" cm="1">
        <f t="array" ref="D223">IF(H223="","",IF(AND(E223&lt;AVERAGE(E222,E224)*($L$19/100),$D$23:D222=""),H223,""))</f>
        <v/>
      </c>
      <c r="E223" s="78">
        <f t="shared" si="3"/>
        <v>3.9680706387728581E-3</v>
      </c>
      <c r="F223" s="79"/>
      <c r="H223" s="1">
        <v>201</v>
      </c>
      <c r="I223" s="75">
        <v>7.8018070638772863E-2</v>
      </c>
      <c r="J223" s="75"/>
      <c r="K223">
        <v>7.3080480098724365E-2</v>
      </c>
      <c r="L223">
        <v>7.8630894422531128E-2</v>
      </c>
      <c r="M223">
        <v>6.105457991361618E-2</v>
      </c>
      <c r="N223">
        <v>8.6031451821327209E-2</v>
      </c>
      <c r="O223">
        <v>8.6956523358821869E-2</v>
      </c>
      <c r="P223">
        <v>8.1406109035015106E-2</v>
      </c>
      <c r="Q223">
        <v>6.9380201399326324E-2</v>
      </c>
      <c r="R223">
        <v>9.8057352006435394E-2</v>
      </c>
      <c r="S223">
        <v>8.2331173121929169E-2</v>
      </c>
      <c r="T223">
        <v>5.6429233402013779E-2</v>
      </c>
      <c r="U223">
        <v>6.4754858613014221E-2</v>
      </c>
      <c r="V223">
        <v>7.8630894422531128E-2</v>
      </c>
      <c r="W223">
        <v>7.2155408561229706E-2</v>
      </c>
      <c r="X223">
        <v>5.1803886890411377E-2</v>
      </c>
      <c r="Y223">
        <v>9.1581866145133972E-2</v>
      </c>
      <c r="Z223">
        <v>7.1230344474315643E-2</v>
      </c>
      <c r="AA223">
        <v>6.4754858613014221E-2</v>
      </c>
      <c r="AB223">
        <v>9.5282144844532013E-2</v>
      </c>
      <c r="AC223">
        <v>0.10268270224332809</v>
      </c>
      <c r="AD223">
        <v>6.8455137312412262E-2</v>
      </c>
      <c r="AE223">
        <v>7.1230344474315643E-2</v>
      </c>
      <c r="AF223">
        <v>9.7132287919521332E-2</v>
      </c>
      <c r="AG223">
        <v>8.2331173121929169E-2</v>
      </c>
      <c r="AH223">
        <v>7.5855687260627747E-2</v>
      </c>
      <c r="AI223">
        <v>6.1979647725820541E-2</v>
      </c>
      <c r="AJ223">
        <v>7.2155408561229706E-2</v>
      </c>
      <c r="AK223">
        <v>7.6780758798122406E-2</v>
      </c>
      <c r="AL223">
        <v>7.5855687260627747E-2</v>
      </c>
      <c r="AM223">
        <v>6.5679922699928284E-2</v>
      </c>
      <c r="AN223">
        <v>8.6956523358821869E-2</v>
      </c>
      <c r="AO223">
        <v>0.10915818810462952</v>
      </c>
      <c r="AP223">
        <v>9.1581866145133972E-2</v>
      </c>
      <c r="AQ223">
        <v>7.3080480098724365E-2</v>
      </c>
      <c r="AR223">
        <v>8.8806658983230591E-2</v>
      </c>
      <c r="AS223">
        <v>7.9555965960025787E-2</v>
      </c>
      <c r="AT223">
        <v>9.3432009220123291E-2</v>
      </c>
      <c r="AU223">
        <v>5.6429233402013779E-2</v>
      </c>
      <c r="AV223">
        <v>0.11008325964212418</v>
      </c>
      <c r="AW223">
        <v>7.2155408561229706E-2</v>
      </c>
      <c r="AX223">
        <v>7.7705830335617065E-2</v>
      </c>
      <c r="AY223">
        <v>6.0129508376121521E-2</v>
      </c>
      <c r="AZ223">
        <v>7.3080480098724365E-2</v>
      </c>
      <c r="BA223">
        <v>8.0481037497520447E-2</v>
      </c>
      <c r="BB223">
        <v>0.12673451006412506</v>
      </c>
      <c r="BC223">
        <v>6.3829787075519562E-2</v>
      </c>
      <c r="BD223">
        <v>0.10268270224332809</v>
      </c>
      <c r="BE223">
        <v>6.0129508376121521E-2</v>
      </c>
      <c r="BF223">
        <v>0.10175763070583344</v>
      </c>
      <c r="BG223">
        <v>9.2506937682628632E-2</v>
      </c>
      <c r="BH223">
        <v>5.6429233402013779E-2</v>
      </c>
      <c r="BI223">
        <v>7.5855687260627747E-2</v>
      </c>
      <c r="BJ223">
        <v>5.2728954702615738E-2</v>
      </c>
      <c r="BK223">
        <v>8.510638028383255E-2</v>
      </c>
      <c r="BL223">
        <v>6.3829787075519562E-2</v>
      </c>
      <c r="BM223">
        <v>9.5282144844532013E-2</v>
      </c>
      <c r="BN223">
        <v>7.6780758798122406E-2</v>
      </c>
      <c r="BO223">
        <v>6.5679922699928284E-2</v>
      </c>
      <c r="BP223">
        <v>7.1230344474315643E-2</v>
      </c>
      <c r="BQ223">
        <v>8.510638028383255E-2</v>
      </c>
      <c r="BR223">
        <v>0.12303422391414642</v>
      </c>
      <c r="BS223">
        <v>7.0305272936820984E-2</v>
      </c>
      <c r="BT223">
        <v>9.3432009220123291E-2</v>
      </c>
      <c r="BU223">
        <v>6.105457991361618E-2</v>
      </c>
      <c r="BV223">
        <v>6.4754858613014221E-2</v>
      </c>
      <c r="BW223">
        <v>9.0821258723735809E-2</v>
      </c>
      <c r="BX223">
        <v>8.8888891041278839E-2</v>
      </c>
      <c r="BY223">
        <v>5.8937199413776398E-2</v>
      </c>
      <c r="BZ223">
        <v>7.8260868787765503E-2</v>
      </c>
      <c r="CA223">
        <v>6.0869563370943069E-2</v>
      </c>
      <c r="CB223">
        <v>9.275362640619278E-2</v>
      </c>
      <c r="CC223">
        <v>6.6666670143604279E-2</v>
      </c>
      <c r="CD223">
        <v>5.8937199413776398E-2</v>
      </c>
      <c r="CE223">
        <v>8.4057971835136414E-2</v>
      </c>
      <c r="CF223">
        <v>7.3429949581623077E-2</v>
      </c>
      <c r="CG223">
        <v>0.11400966346263885</v>
      </c>
      <c r="CH223">
        <v>7.8260868787765503E-2</v>
      </c>
      <c r="CI223">
        <v>7.0531398057937622E-2</v>
      </c>
      <c r="CJ223">
        <v>8.0193236470222473E-2</v>
      </c>
      <c r="CK223">
        <v>7.4396133422851563E-2</v>
      </c>
      <c r="CL223">
        <v>7.2463765740394592E-2</v>
      </c>
      <c r="CM223">
        <v>8.4057971835136414E-2</v>
      </c>
      <c r="CN223">
        <v>7.3429949581623077E-2</v>
      </c>
      <c r="CO223">
        <v>6.7632846534252167E-2</v>
      </c>
      <c r="CP223">
        <v>6.3768118619918823E-2</v>
      </c>
      <c r="CQ223">
        <v>0.11497584730386734</v>
      </c>
      <c r="CR223">
        <v>6.1835747212171555E-2</v>
      </c>
      <c r="CS223">
        <v>9.0821258723735809E-2</v>
      </c>
      <c r="CT223">
        <v>5.7971015572547913E-2</v>
      </c>
      <c r="CU223">
        <v>8.9855074882507324E-2</v>
      </c>
      <c r="CV223">
        <v>0.10821256041526794</v>
      </c>
      <c r="CW223">
        <v>8.2125604152679443E-2</v>
      </c>
      <c r="CX223">
        <v>6.9565214216709137E-2</v>
      </c>
      <c r="CY223">
        <v>0.10144927352666855</v>
      </c>
      <c r="CZ223">
        <v>6.3768118619918823E-2</v>
      </c>
      <c r="DA223">
        <v>8.5990339517593384E-2</v>
      </c>
      <c r="DB223">
        <v>8.9855074882507324E-2</v>
      </c>
      <c r="DC223">
        <v>6.9565214216709137E-2</v>
      </c>
      <c r="DD223">
        <v>6.0869563370943069E-2</v>
      </c>
      <c r="DE223">
        <v>6.9565214216709137E-2</v>
      </c>
      <c r="DF223">
        <v>6.0869563370943069E-2</v>
      </c>
      <c r="DG223">
        <v>8.5990339517593384E-2</v>
      </c>
      <c r="DH223">
        <v>0.11497584730386734</v>
      </c>
      <c r="DI223">
        <v>7.0531398057937622E-2</v>
      </c>
      <c r="DJ223">
        <v>0.11980676651000977</v>
      </c>
      <c r="DK223">
        <v>6.1835747212171555E-2</v>
      </c>
      <c r="DL223">
        <v>8.7922707200050354E-2</v>
      </c>
      <c r="DM223">
        <v>6.6666670143604279E-2</v>
      </c>
      <c r="DN223">
        <v>6.6666670143604279E-2</v>
      </c>
      <c r="DO223">
        <v>7.9227052628993988E-2</v>
      </c>
      <c r="DP223">
        <v>7.2463765740394592E-2</v>
      </c>
      <c r="DQ223">
        <v>7.1497581899166107E-2</v>
      </c>
      <c r="DR223">
        <v>6.2801934778690338E-2</v>
      </c>
      <c r="DS223">
        <v>9.1787442564964294E-2</v>
      </c>
      <c r="DT223">
        <v>5.5072464048862457E-2</v>
      </c>
      <c r="DU223">
        <v>7.0531398057937622E-2</v>
      </c>
      <c r="DV223">
        <v>6.2801934778690338E-2</v>
      </c>
      <c r="DW223">
        <v>7.5362317264080048E-2</v>
      </c>
      <c r="DX223">
        <v>5.9903383255004883E-2</v>
      </c>
      <c r="DY223">
        <v>7.0531398057937622E-2</v>
      </c>
      <c r="DZ223">
        <v>8.9855074882507324E-2</v>
      </c>
      <c r="EA223">
        <v>6.1835747212171555E-2</v>
      </c>
      <c r="EB223">
        <v>8.0193236470222473E-2</v>
      </c>
      <c r="EC223">
        <v>8.5024155676364899E-2</v>
      </c>
      <c r="ED223">
        <v>6.1835747212171555E-2</v>
      </c>
      <c r="EE223">
        <v>7.9227052628993988E-2</v>
      </c>
      <c r="EF223">
        <v>0.1111111119389534</v>
      </c>
      <c r="EG223">
        <v>7.7294684946537018E-2</v>
      </c>
      <c r="EH223">
        <v>7.0531398057937622E-2</v>
      </c>
      <c r="EI223">
        <v>7.5362317264080048E-2</v>
      </c>
      <c r="EJ223">
        <v>7.2463765740394592E-2</v>
      </c>
      <c r="EK223">
        <v>8.1159420311450958E-2</v>
      </c>
      <c r="EL223">
        <v>7.2463765740394592E-2</v>
      </c>
      <c r="EM223">
        <v>6.8599030375480652E-2</v>
      </c>
      <c r="EN223">
        <v>8.0193236470222473E-2</v>
      </c>
      <c r="EO223">
        <v>8.5990339517593384E-2</v>
      </c>
      <c r="EP223">
        <v>8.1159420311450958E-2</v>
      </c>
      <c r="EQ223">
        <v>7.8260868787765503E-2</v>
      </c>
      <c r="ER223">
        <v>7.7294684946537018E-2</v>
      </c>
      <c r="ES223">
        <v>5.6038647890090942E-2</v>
      </c>
      <c r="ET223">
        <v>7.8260868787765503E-2</v>
      </c>
      <c r="EU223">
        <v>9.5652170479297638E-2</v>
      </c>
      <c r="EV223">
        <v>6.7632846534252167E-2</v>
      </c>
      <c r="EW223">
        <v>7.4396133422851563E-2</v>
      </c>
      <c r="EX223">
        <v>0.10241545736789703</v>
      </c>
      <c r="EY223">
        <v>6.0869563370943069E-2</v>
      </c>
      <c r="EZ223">
        <v>7.8260868787765503E-2</v>
      </c>
      <c r="FA223">
        <v>6.0869563370943069E-2</v>
      </c>
      <c r="FB223">
        <v>8.1159420311450958E-2</v>
      </c>
      <c r="FC223">
        <v>8.2125604152679443E-2</v>
      </c>
      <c r="FD223">
        <v>0.10241545736789703</v>
      </c>
      <c r="FE223">
        <v>7.1497581899166107E-2</v>
      </c>
      <c r="FF223">
        <v>7.2463765740394592E-2</v>
      </c>
      <c r="FG223">
        <v>7.9227052628993988E-2</v>
      </c>
      <c r="FH223">
        <v>6.5700486302375793E-2</v>
      </c>
      <c r="FI223">
        <v>6.4734302461147308E-2</v>
      </c>
      <c r="FJ223">
        <v>9.1787442564964294E-2</v>
      </c>
      <c r="FK223">
        <v>9.5652170479297638E-2</v>
      </c>
      <c r="FL223">
        <v>7.1497581899166107E-2</v>
      </c>
      <c r="FM223">
        <v>7.8260868787765503E-2</v>
      </c>
      <c r="FN223">
        <v>5.8937199413776398E-2</v>
      </c>
      <c r="FO223">
        <v>0.11304347962141037</v>
      </c>
      <c r="FP223">
        <v>8.2125604152679443E-2</v>
      </c>
      <c r="FQ223">
        <v>8.1159420311450958E-2</v>
      </c>
      <c r="FR223">
        <v>6.4734302461147308E-2</v>
      </c>
      <c r="FS223">
        <v>5.9903383255004883E-2</v>
      </c>
      <c r="FT223">
        <v>8.5990339517593384E-2</v>
      </c>
      <c r="FU223">
        <v>5.7971015572547913E-2</v>
      </c>
      <c r="FV223">
        <v>8.4057971835136414E-2</v>
      </c>
      <c r="FW223">
        <v>6.0869563370943069E-2</v>
      </c>
      <c r="FX223">
        <v>0.10241545736789703</v>
      </c>
      <c r="FY223">
        <v>8.1159420311450958E-2</v>
      </c>
      <c r="FZ223">
        <v>0.104347825050354</v>
      </c>
      <c r="GA223">
        <v>6.2801934778690338E-2</v>
      </c>
      <c r="GB223">
        <v>7.5362317264080048E-2</v>
      </c>
      <c r="GC223">
        <v>6.8599030375480652E-2</v>
      </c>
      <c r="GD223">
        <v>6.0869563370943069E-2</v>
      </c>
      <c r="GE223">
        <v>8.6956523358821869E-2</v>
      </c>
      <c r="GF223">
        <v>5.5072464048862457E-2</v>
      </c>
      <c r="GG223">
        <v>8.5024155676364899E-2</v>
      </c>
      <c r="GH223">
        <v>5.9903383255004883E-2</v>
      </c>
      <c r="GI223">
        <v>7.1497581899166107E-2</v>
      </c>
      <c r="GJ223">
        <v>0.10241545736789703</v>
      </c>
      <c r="GK223">
        <v>7.5362317264080048E-2</v>
      </c>
      <c r="GL223">
        <v>6.7632846534252167E-2</v>
      </c>
      <c r="GM223">
        <v>9.0821258723735809E-2</v>
      </c>
      <c r="GN223">
        <v>7.2463765740394592E-2</v>
      </c>
      <c r="GO223">
        <v>0.12753623723983765</v>
      </c>
      <c r="GP223">
        <v>5.3140096366405487E-2</v>
      </c>
      <c r="GQ223">
        <v>8.9855074882507324E-2</v>
      </c>
      <c r="GR223">
        <v>7.1497581899166107E-2</v>
      </c>
      <c r="GS223">
        <v>6.8599030375480652E-2</v>
      </c>
      <c r="GT223">
        <v>6.8599030375480652E-2</v>
      </c>
      <c r="GU223">
        <v>8.7922707200050354E-2</v>
      </c>
      <c r="GV223">
        <v>7.1497581899166107E-2</v>
      </c>
      <c r="GW223">
        <v>7.8260868787765503E-2</v>
      </c>
      <c r="GX223">
        <v>8.8888891041278839E-2</v>
      </c>
      <c r="GY223">
        <v>6.6666670143604279E-2</v>
      </c>
      <c r="GZ223">
        <v>8.3091787993907928E-2</v>
      </c>
      <c r="HA223">
        <v>6.6666670143604279E-2</v>
      </c>
      <c r="HB223">
        <v>8.5990339517593384E-2</v>
      </c>
      <c r="HC223">
        <v>7.0531398057937622E-2</v>
      </c>
    </row>
    <row r="224" spans="2:212" x14ac:dyDescent="0.25">
      <c r="B224" s="2"/>
      <c r="C224" s="2"/>
      <c r="D224" s="41" t="str" cm="1">
        <f t="array" ref="D224">IF(H224="","",IF(AND(E224&lt;AVERAGE(E223,E225)*($L$19/100),$D$23:D223=""),H224,""))</f>
        <v/>
      </c>
      <c r="E224" s="78">
        <f t="shared" si="3"/>
        <v>2.8935867372125584E-3</v>
      </c>
      <c r="F224" s="79"/>
      <c r="H224" s="1">
        <v>202</v>
      </c>
      <c r="I224" s="75">
        <v>7.6943586737212563E-2</v>
      </c>
      <c r="J224" s="75"/>
      <c r="K224">
        <v>0.10268270224332809</v>
      </c>
      <c r="L224">
        <v>9.7132287919521332E-2</v>
      </c>
      <c r="M224">
        <v>8.7881587445735931E-2</v>
      </c>
      <c r="N224">
        <v>5.1803886890411377E-2</v>
      </c>
      <c r="O224">
        <v>6.4754858613014221E-2</v>
      </c>
      <c r="P224">
        <v>7.6780758798122406E-2</v>
      </c>
      <c r="Q224">
        <v>9.1581866145133972E-2</v>
      </c>
      <c r="R224">
        <v>7.1230344474315643E-2</v>
      </c>
      <c r="S224">
        <v>8.2331173121929169E-2</v>
      </c>
      <c r="T224">
        <v>5.8279372751712799E-2</v>
      </c>
      <c r="U224">
        <v>8.8806658983230591E-2</v>
      </c>
      <c r="V224">
        <v>5.920444056391716E-2</v>
      </c>
      <c r="W224">
        <v>8.1406109035015106E-2</v>
      </c>
      <c r="X224">
        <v>0.1073080450296402</v>
      </c>
      <c r="Y224">
        <v>6.5679922699928284E-2</v>
      </c>
      <c r="Z224">
        <v>7.3080480098724365E-2</v>
      </c>
      <c r="AA224">
        <v>8.6956523358821869E-2</v>
      </c>
      <c r="AB224">
        <v>7.4930623173713684E-2</v>
      </c>
      <c r="AC224">
        <v>7.4396133422851563E-2</v>
      </c>
      <c r="AD224">
        <v>7.8260868787765503E-2</v>
      </c>
      <c r="AE224">
        <v>8.5990339517593384E-2</v>
      </c>
      <c r="AF224">
        <v>5.7971015572547913E-2</v>
      </c>
      <c r="AG224">
        <v>9.8550722002983093E-2</v>
      </c>
      <c r="AH224">
        <v>7.8260868787765503E-2</v>
      </c>
      <c r="AI224">
        <v>8.8888891041278839E-2</v>
      </c>
      <c r="AJ224">
        <v>7.6328501105308533E-2</v>
      </c>
      <c r="AK224">
        <v>8.6956523358821869E-2</v>
      </c>
      <c r="AL224">
        <v>7.9227052628993988E-2</v>
      </c>
      <c r="AM224">
        <v>7.5362317264080048E-2</v>
      </c>
      <c r="AN224">
        <v>0.10724637657403946</v>
      </c>
      <c r="AO224">
        <v>9.4685986638069153E-2</v>
      </c>
      <c r="AP224">
        <v>7.4396133422851563E-2</v>
      </c>
      <c r="AQ224">
        <v>7.6328501105308533E-2</v>
      </c>
      <c r="AR224">
        <v>6.8599030375480652E-2</v>
      </c>
      <c r="AS224">
        <v>7.4396133422851563E-2</v>
      </c>
      <c r="AT224">
        <v>0.10144927352666855</v>
      </c>
      <c r="AU224">
        <v>5.2173912525177002E-2</v>
      </c>
      <c r="AV224">
        <v>9.1787442564964294E-2</v>
      </c>
      <c r="AW224">
        <v>7.4396133422851563E-2</v>
      </c>
      <c r="AX224">
        <v>6.7632846534252167E-2</v>
      </c>
      <c r="AY224">
        <v>8.1159420311450958E-2</v>
      </c>
      <c r="AZ224">
        <v>6.9565214216709137E-2</v>
      </c>
      <c r="BA224">
        <v>6.8599030375480652E-2</v>
      </c>
      <c r="BB224">
        <v>8.4057971835136414E-2</v>
      </c>
      <c r="BC224">
        <v>7.6328501105308533E-2</v>
      </c>
      <c r="BD224">
        <v>7.4396133422851563E-2</v>
      </c>
      <c r="BE224">
        <v>9.4685986638069153E-2</v>
      </c>
      <c r="BF224">
        <v>6.0869563370943069E-2</v>
      </c>
      <c r="BG224">
        <v>8.0193236470222473E-2</v>
      </c>
      <c r="BH224">
        <v>9.9516905844211578E-2</v>
      </c>
      <c r="BI224">
        <v>7.5362317264080048E-2</v>
      </c>
      <c r="BJ224">
        <v>7.4396133422851563E-2</v>
      </c>
      <c r="BK224">
        <v>5.5072464048862457E-2</v>
      </c>
      <c r="BL224">
        <v>7.1497581899166107E-2</v>
      </c>
      <c r="BM224">
        <v>8.9855074882507324E-2</v>
      </c>
      <c r="BN224">
        <v>6.0869563370943069E-2</v>
      </c>
      <c r="BO224">
        <v>5.8937199413776398E-2</v>
      </c>
      <c r="BP224">
        <v>7.3429949581623077E-2</v>
      </c>
      <c r="BQ224">
        <v>5.7971015572547913E-2</v>
      </c>
      <c r="BR224">
        <v>8.7922707200050354E-2</v>
      </c>
      <c r="BS224">
        <v>0.11304347962141037</v>
      </c>
      <c r="BT224">
        <v>8.2125604152679443E-2</v>
      </c>
      <c r="BU224">
        <v>7.2463765740394592E-2</v>
      </c>
      <c r="BV224">
        <v>7.2463765740394592E-2</v>
      </c>
      <c r="BW224">
        <v>7.1497581899166107E-2</v>
      </c>
      <c r="BX224">
        <v>6.3768118619918823E-2</v>
      </c>
      <c r="BY224">
        <v>7.7294684946537018E-2</v>
      </c>
      <c r="BZ224">
        <v>7.2463765740394592E-2</v>
      </c>
      <c r="CA224">
        <v>6.0869563370943069E-2</v>
      </c>
      <c r="CB224">
        <v>8.6956523358821869E-2</v>
      </c>
      <c r="CC224">
        <v>6.4734302461147308E-2</v>
      </c>
      <c r="CD224">
        <v>6.2801934778690338E-2</v>
      </c>
      <c r="CE224">
        <v>0.11497584730386734</v>
      </c>
      <c r="CF224">
        <v>9.1787442564964294E-2</v>
      </c>
      <c r="CG224">
        <v>0.12753623723983765</v>
      </c>
      <c r="CH224">
        <v>0.11304347962141037</v>
      </c>
      <c r="CI224">
        <v>8.5990339517593384E-2</v>
      </c>
      <c r="CJ224">
        <v>7.5362317264080048E-2</v>
      </c>
      <c r="CK224">
        <v>5.9903383255004883E-2</v>
      </c>
      <c r="CL224">
        <v>7.0531398057937622E-2</v>
      </c>
      <c r="CM224">
        <v>5.7971015572547913E-2</v>
      </c>
      <c r="CN224">
        <v>6.9565214216709137E-2</v>
      </c>
      <c r="CO224">
        <v>6.9565214216709137E-2</v>
      </c>
      <c r="CP224">
        <v>6.9565214216709137E-2</v>
      </c>
      <c r="CQ224">
        <v>7.6328501105308533E-2</v>
      </c>
      <c r="CR224">
        <v>9.4685986638069153E-2</v>
      </c>
      <c r="CS224">
        <v>7.4396133422851563E-2</v>
      </c>
      <c r="CT224">
        <v>9.3719810247421265E-2</v>
      </c>
      <c r="CU224">
        <v>8.0193236470222473E-2</v>
      </c>
      <c r="CV224">
        <v>6.8599030375480652E-2</v>
      </c>
      <c r="CW224">
        <v>7.9227052628993988E-2</v>
      </c>
      <c r="CX224">
        <v>6.5700486302375793E-2</v>
      </c>
      <c r="CY224">
        <v>6.6666670143604279E-2</v>
      </c>
      <c r="CZ224">
        <v>7.8260868787765503E-2</v>
      </c>
      <c r="DA224">
        <v>7.7294684946537018E-2</v>
      </c>
      <c r="DB224">
        <v>8.0193236470222473E-2</v>
      </c>
      <c r="DC224">
        <v>6.3768118619918823E-2</v>
      </c>
      <c r="DD224">
        <v>7.6328501105308533E-2</v>
      </c>
      <c r="DE224">
        <v>6.6666670143604279E-2</v>
      </c>
      <c r="DF224">
        <v>6.2801934778690338E-2</v>
      </c>
      <c r="DG224">
        <v>5.6038647890090942E-2</v>
      </c>
      <c r="DH224">
        <v>6.6666670143604279E-2</v>
      </c>
      <c r="DI224">
        <v>7.8260868787765503E-2</v>
      </c>
      <c r="DJ224">
        <v>7.9227052628993988E-2</v>
      </c>
      <c r="DK224">
        <v>0.10917874425649643</v>
      </c>
      <c r="DL224">
        <v>6.7632846534252167E-2</v>
      </c>
      <c r="DM224">
        <v>0.10531400889158249</v>
      </c>
      <c r="DN224">
        <v>7.7294684946537018E-2</v>
      </c>
      <c r="DO224">
        <v>6.0869563370943069E-2</v>
      </c>
      <c r="DP224">
        <v>6.8599030375480652E-2</v>
      </c>
      <c r="DQ224">
        <v>6.5700486302375793E-2</v>
      </c>
      <c r="DR224">
        <v>5.6038647890090942E-2</v>
      </c>
      <c r="DS224">
        <v>6.4734302461147308E-2</v>
      </c>
      <c r="DT224">
        <v>6.6666670143604279E-2</v>
      </c>
      <c r="DU224">
        <v>8.9855074882507324E-2</v>
      </c>
      <c r="DV224">
        <v>6.7632846534252167E-2</v>
      </c>
      <c r="DW224">
        <v>7.4396133422851563E-2</v>
      </c>
      <c r="DX224">
        <v>7.1497581899166107E-2</v>
      </c>
      <c r="DY224">
        <v>8.6956523358821869E-2</v>
      </c>
      <c r="DZ224">
        <v>6.7632846534252167E-2</v>
      </c>
      <c r="EA224">
        <v>7.7294684946537018E-2</v>
      </c>
      <c r="EB224">
        <v>9.1787442564964294E-2</v>
      </c>
      <c r="EC224">
        <v>5.2173912525177002E-2</v>
      </c>
      <c r="ED224">
        <v>7.7294684946537018E-2</v>
      </c>
      <c r="EE224">
        <v>7.2463765740394592E-2</v>
      </c>
      <c r="EF224">
        <v>0.11304347962141037</v>
      </c>
      <c r="EG224">
        <v>7.0531398057937622E-2</v>
      </c>
      <c r="EH224">
        <v>8.5990339517593384E-2</v>
      </c>
      <c r="EI224">
        <v>6.7632846534252167E-2</v>
      </c>
      <c r="EJ224">
        <v>0.1111111119389534</v>
      </c>
      <c r="EK224">
        <v>8.5990339517593384E-2</v>
      </c>
      <c r="EL224">
        <v>6.0869563370943069E-2</v>
      </c>
      <c r="EM224">
        <v>8.5990339517593384E-2</v>
      </c>
      <c r="EN224">
        <v>7.1497581899166107E-2</v>
      </c>
      <c r="EO224">
        <v>7.7294684946537018E-2</v>
      </c>
      <c r="EP224">
        <v>7.9227052628993988E-2</v>
      </c>
      <c r="EQ224">
        <v>5.9903383255004883E-2</v>
      </c>
      <c r="ER224">
        <v>8.0193236470222473E-2</v>
      </c>
      <c r="ES224">
        <v>5.2173912525177002E-2</v>
      </c>
      <c r="ET224">
        <v>0.10144927352666855</v>
      </c>
      <c r="EU224">
        <v>6.5700486302375793E-2</v>
      </c>
      <c r="EV224">
        <v>7.2463765740394592E-2</v>
      </c>
      <c r="EW224">
        <v>8.5990339517593384E-2</v>
      </c>
      <c r="EX224">
        <v>5.2173912525177002E-2</v>
      </c>
      <c r="EY224">
        <v>7.9227052628993988E-2</v>
      </c>
      <c r="EZ224">
        <v>5.7004831731319427E-2</v>
      </c>
      <c r="FA224">
        <v>7.2463765740394592E-2</v>
      </c>
      <c r="FB224">
        <v>7.4396133422851563E-2</v>
      </c>
      <c r="FC224">
        <v>7.1497581899166107E-2</v>
      </c>
      <c r="FD224">
        <v>9.0821258723735809E-2</v>
      </c>
      <c r="FE224">
        <v>6.6666670143604279E-2</v>
      </c>
      <c r="FF224">
        <v>8.5990339517593384E-2</v>
      </c>
      <c r="FG224">
        <v>7.4396133422851563E-2</v>
      </c>
      <c r="FH224">
        <v>6.0869563370943069E-2</v>
      </c>
      <c r="FI224">
        <v>7.2463765740394592E-2</v>
      </c>
      <c r="FJ224">
        <v>9.5652170479297638E-2</v>
      </c>
      <c r="FK224">
        <v>7.3429949581623077E-2</v>
      </c>
      <c r="FL224">
        <v>8.4057971835136414E-2</v>
      </c>
      <c r="FM224">
        <v>6.1835747212171555E-2</v>
      </c>
      <c r="FN224">
        <v>9.3719810247421265E-2</v>
      </c>
      <c r="FO224">
        <v>8.1159420311450958E-2</v>
      </c>
      <c r="FP224">
        <v>8.6956523358821869E-2</v>
      </c>
      <c r="FQ224">
        <v>7.4396133422851563E-2</v>
      </c>
      <c r="FR224">
        <v>7.7294684946537018E-2</v>
      </c>
      <c r="FS224">
        <v>8.5024155676364899E-2</v>
      </c>
      <c r="FT224">
        <v>7.6328501105308533E-2</v>
      </c>
      <c r="FU224">
        <v>5.5072464048862457E-2</v>
      </c>
      <c r="FV224">
        <v>7.3429949581623077E-2</v>
      </c>
      <c r="FW224">
        <v>5.7971015572547913E-2</v>
      </c>
      <c r="FX224">
        <v>0.12463767826557159</v>
      </c>
      <c r="FY224">
        <v>7.9227052628993988E-2</v>
      </c>
      <c r="FZ224">
        <v>5.7971015572547913E-2</v>
      </c>
      <c r="GA224">
        <v>6.6666670143604279E-2</v>
      </c>
      <c r="GB224">
        <v>5.8937199413776398E-2</v>
      </c>
      <c r="GC224">
        <v>8.9855074882507324E-2</v>
      </c>
      <c r="GD224">
        <v>7.1497581899166107E-2</v>
      </c>
      <c r="GE224">
        <v>8.3091787993907928E-2</v>
      </c>
      <c r="GF224">
        <v>7.7294684946537018E-2</v>
      </c>
      <c r="GG224">
        <v>7.9227052628993988E-2</v>
      </c>
      <c r="GH224">
        <v>5.7004831731319427E-2</v>
      </c>
      <c r="GI224">
        <v>8.3091787993907928E-2</v>
      </c>
      <c r="GJ224">
        <v>7.5362317264080048E-2</v>
      </c>
      <c r="GK224">
        <v>6.8599030375480652E-2</v>
      </c>
      <c r="GL224">
        <v>7.7294684946537018E-2</v>
      </c>
      <c r="GM224">
        <v>8.8888891041278839E-2</v>
      </c>
      <c r="GN224">
        <v>6.4734302461147308E-2</v>
      </c>
      <c r="GO224">
        <v>9.9516905844211578E-2</v>
      </c>
      <c r="GP224">
        <v>6.6666670143604279E-2</v>
      </c>
      <c r="GQ224">
        <v>0.12850241363048553</v>
      </c>
      <c r="GR224">
        <v>6.7632846534252167E-2</v>
      </c>
      <c r="GS224">
        <v>8.1159420311450958E-2</v>
      </c>
      <c r="GT224">
        <v>7.5362317264080048E-2</v>
      </c>
      <c r="GU224">
        <v>8.5024155676364899E-2</v>
      </c>
      <c r="GV224">
        <v>5.1207728683948517E-2</v>
      </c>
      <c r="GW224">
        <v>7.5362317264080048E-2</v>
      </c>
      <c r="GX224">
        <v>5.8937199413776398E-2</v>
      </c>
      <c r="GY224">
        <v>7.3429949581623077E-2</v>
      </c>
      <c r="GZ224">
        <v>8.3091787993907928E-2</v>
      </c>
      <c r="HA224">
        <v>6.6666670143604279E-2</v>
      </c>
      <c r="HB224">
        <v>7.5362317264080048E-2</v>
      </c>
      <c r="HC224">
        <v>7.8260868787765503E-2</v>
      </c>
      <c r="HD224">
        <v>6.9565214216709137E-2</v>
      </c>
    </row>
    <row r="225" spans="4:228" x14ac:dyDescent="0.25">
      <c r="D225" s="41" t="str" cm="1">
        <f t="array" ref="D225">IF(H225="","",IF(AND(E225&lt;AVERAGE(E224,E226)*($L$19/100),$D$23:D224=""),H225,""))</f>
        <v/>
      </c>
      <c r="E225" s="78">
        <f t="shared" si="3"/>
        <v>2.6770044740197646E-3</v>
      </c>
      <c r="F225" s="79"/>
      <c r="H225">
        <v>203</v>
      </c>
      <c r="I225">
        <v>7.6727004474019769E-2</v>
      </c>
      <c r="K225">
        <v>8.8888891041278839E-2</v>
      </c>
      <c r="L225">
        <v>7.5362317264080048E-2</v>
      </c>
      <c r="M225">
        <v>0.10917874425649643</v>
      </c>
      <c r="N225">
        <v>6.4734302461147308E-2</v>
      </c>
      <c r="O225">
        <v>7.3429949581623077E-2</v>
      </c>
      <c r="P225">
        <v>6.3768118619918823E-2</v>
      </c>
      <c r="Q225">
        <v>8.0193236470222473E-2</v>
      </c>
      <c r="R225">
        <v>6.8599030375480652E-2</v>
      </c>
      <c r="S225">
        <v>7.4396133422851563E-2</v>
      </c>
      <c r="T225">
        <v>7.5362317264080048E-2</v>
      </c>
      <c r="U225">
        <v>8.1159420311450958E-2</v>
      </c>
      <c r="V225">
        <v>7.8260868787765503E-2</v>
      </c>
      <c r="W225">
        <v>0.1111111119389534</v>
      </c>
      <c r="X225">
        <v>7.4396133422851563E-2</v>
      </c>
      <c r="Y225">
        <v>6.1835747212171555E-2</v>
      </c>
      <c r="Z225">
        <v>7.8260868787765503E-2</v>
      </c>
      <c r="AA225">
        <v>8.0193236470222473E-2</v>
      </c>
      <c r="AB225">
        <v>7.0531398057937622E-2</v>
      </c>
      <c r="AC225">
        <v>8.7922707200050354E-2</v>
      </c>
      <c r="AD225">
        <v>7.9227052628993988E-2</v>
      </c>
      <c r="AE225">
        <v>6.4734302461147308E-2</v>
      </c>
      <c r="AF225">
        <v>6.3768118619918823E-2</v>
      </c>
      <c r="AG225">
        <v>6.5700486302375793E-2</v>
      </c>
      <c r="AH225">
        <v>8.1159420311450958E-2</v>
      </c>
      <c r="AI225">
        <v>7.7294684946537018E-2</v>
      </c>
      <c r="AJ225">
        <v>6.2801934778690338E-2</v>
      </c>
      <c r="AK225">
        <v>8.4057971835136414E-2</v>
      </c>
      <c r="AL225">
        <v>9.3719810247421265E-2</v>
      </c>
      <c r="AM225">
        <v>6.4734302461147308E-2</v>
      </c>
      <c r="AN225">
        <v>9.3719810247421265E-2</v>
      </c>
      <c r="AO225">
        <v>7.7294684946537018E-2</v>
      </c>
      <c r="AP225">
        <v>7.2463765740394592E-2</v>
      </c>
      <c r="AQ225">
        <v>8.6956523358821869E-2</v>
      </c>
      <c r="AR225">
        <v>6.4734302461147308E-2</v>
      </c>
      <c r="AS225">
        <v>6.6666670143604279E-2</v>
      </c>
      <c r="AT225">
        <v>6.4734302461147308E-2</v>
      </c>
      <c r="AU225">
        <v>6.1835747212171555E-2</v>
      </c>
      <c r="AV225">
        <v>7.7294684946537018E-2</v>
      </c>
      <c r="AW225">
        <v>7.7294684946537018E-2</v>
      </c>
      <c r="AX225">
        <v>6.0869563370943069E-2</v>
      </c>
      <c r="AY225">
        <v>6.7632846534252167E-2</v>
      </c>
      <c r="AZ225">
        <v>6.7632846534252167E-2</v>
      </c>
      <c r="BA225">
        <v>6.7632846534252167E-2</v>
      </c>
      <c r="BB225">
        <v>9.0821258723735809E-2</v>
      </c>
      <c r="BC225">
        <v>7.4396133422851563E-2</v>
      </c>
      <c r="BD225">
        <v>7.4396133422851563E-2</v>
      </c>
      <c r="BE225">
        <v>5.7971015572547913E-2</v>
      </c>
      <c r="BF225">
        <v>8.2125604152679443E-2</v>
      </c>
      <c r="BG225">
        <v>7.6328501105308533E-2</v>
      </c>
      <c r="BH225">
        <v>8.8888891041278839E-2</v>
      </c>
      <c r="BI225">
        <v>5.4106280207633972E-2</v>
      </c>
      <c r="BJ225">
        <v>9.275362640619278E-2</v>
      </c>
      <c r="BK225">
        <v>5.1207728683948517E-2</v>
      </c>
      <c r="BL225">
        <v>6.0869563370943069E-2</v>
      </c>
      <c r="BM225">
        <v>0.11884058266878128</v>
      </c>
      <c r="BN225">
        <v>7.6328501105308533E-2</v>
      </c>
      <c r="BO225">
        <v>5.7971015572547913E-2</v>
      </c>
      <c r="BP225">
        <v>7.3429949581623077E-2</v>
      </c>
      <c r="BQ225">
        <v>7.6328501105308533E-2</v>
      </c>
      <c r="BR225">
        <v>7.0531398057937622E-2</v>
      </c>
      <c r="BS225">
        <v>0.10338164120912552</v>
      </c>
      <c r="BT225">
        <v>0.10241545736789703</v>
      </c>
      <c r="BU225">
        <v>7.0531398057937622E-2</v>
      </c>
      <c r="BV225">
        <v>0.10821256041526794</v>
      </c>
      <c r="BW225">
        <v>6.5700486302375793E-2</v>
      </c>
      <c r="BX225">
        <v>6.7632846534252167E-2</v>
      </c>
      <c r="BY225">
        <v>8.3091787993907928E-2</v>
      </c>
      <c r="BZ225">
        <v>8.6956523358821869E-2</v>
      </c>
      <c r="CA225">
        <v>0.10821256041526794</v>
      </c>
      <c r="CB225">
        <v>9.0821258723735809E-2</v>
      </c>
      <c r="CC225">
        <v>5.6038647890090942E-2</v>
      </c>
      <c r="CD225">
        <v>8.0193236470222473E-2</v>
      </c>
      <c r="CE225">
        <v>6.9565214216709137E-2</v>
      </c>
      <c r="CF225">
        <v>5.2173912525177002E-2</v>
      </c>
      <c r="CG225">
        <v>8.4057971835136414E-2</v>
      </c>
      <c r="CH225">
        <v>5.9903383255004883E-2</v>
      </c>
      <c r="CI225">
        <v>5.5072464048862457E-2</v>
      </c>
      <c r="CJ225">
        <v>0.12077295035123825</v>
      </c>
      <c r="CK225">
        <v>7.4396133422851563E-2</v>
      </c>
      <c r="CL225">
        <v>7.0531398057937622E-2</v>
      </c>
      <c r="CM225">
        <v>8.5990339517593384E-2</v>
      </c>
      <c r="CN225">
        <v>6.6666670143604279E-2</v>
      </c>
      <c r="CO225">
        <v>8.9855074882507324E-2</v>
      </c>
      <c r="CP225">
        <v>6.2801934778690338E-2</v>
      </c>
      <c r="CQ225">
        <v>5.2173912525177002E-2</v>
      </c>
      <c r="CR225">
        <v>0.1111111119389534</v>
      </c>
      <c r="CS225">
        <v>8.3091787993907928E-2</v>
      </c>
      <c r="CT225">
        <v>6.9565214216709137E-2</v>
      </c>
      <c r="CU225">
        <v>8.4057971835136414E-2</v>
      </c>
      <c r="CV225">
        <v>7.1497581899166107E-2</v>
      </c>
      <c r="CW225">
        <v>8.3091787993907928E-2</v>
      </c>
      <c r="CX225">
        <v>7.4396133422851563E-2</v>
      </c>
      <c r="CY225">
        <v>8.5024155676364899E-2</v>
      </c>
      <c r="CZ225">
        <v>8.3091787993907928E-2</v>
      </c>
      <c r="DA225">
        <v>7.3429949581623077E-2</v>
      </c>
      <c r="DB225">
        <v>5.7971015572547913E-2</v>
      </c>
      <c r="DC225">
        <v>8.5990339517593384E-2</v>
      </c>
      <c r="DD225">
        <v>5.6038647890090942E-2</v>
      </c>
      <c r="DE225">
        <v>8.9855074882507324E-2</v>
      </c>
      <c r="DF225">
        <v>9.4685986638069153E-2</v>
      </c>
      <c r="DG225">
        <v>8.0193236470222473E-2</v>
      </c>
      <c r="DH225">
        <v>0.11014492809772491</v>
      </c>
      <c r="DI225">
        <v>6.8599030375480652E-2</v>
      </c>
      <c r="DJ225">
        <v>6.7632846534252167E-2</v>
      </c>
      <c r="DK225">
        <v>9.1787442564964294E-2</v>
      </c>
      <c r="DL225">
        <v>8.9855074882507324E-2</v>
      </c>
      <c r="DM225">
        <v>7.1497581899166107E-2</v>
      </c>
      <c r="DN225">
        <v>8.9855074882507324E-2</v>
      </c>
      <c r="DO225">
        <v>6.2801934778690338E-2</v>
      </c>
      <c r="DP225">
        <v>7.6328501105308533E-2</v>
      </c>
      <c r="DQ225">
        <v>0.10628019273281097</v>
      </c>
      <c r="DR225">
        <v>7.3429949581623077E-2</v>
      </c>
      <c r="DS225">
        <v>0.1111111119389534</v>
      </c>
      <c r="DT225">
        <v>5.4106280207633972E-2</v>
      </c>
      <c r="DU225">
        <v>7.5362317264080048E-2</v>
      </c>
      <c r="DV225">
        <v>7.9227052628993988E-2</v>
      </c>
      <c r="DW225">
        <v>8.8888891041278839E-2</v>
      </c>
      <c r="DX225">
        <v>9.3719810247421265E-2</v>
      </c>
      <c r="DY225">
        <v>6.1835747212171555E-2</v>
      </c>
      <c r="DZ225">
        <v>8.3091787993907928E-2</v>
      </c>
      <c r="EA225">
        <v>6.5700486302375793E-2</v>
      </c>
      <c r="EB225">
        <v>7.3429949581623077E-2</v>
      </c>
      <c r="EC225">
        <v>0.10628019273281097</v>
      </c>
      <c r="ED225">
        <v>6.8599030375480652E-2</v>
      </c>
      <c r="EE225">
        <v>6.8599030375480652E-2</v>
      </c>
      <c r="EF225">
        <v>6.1835747212171555E-2</v>
      </c>
      <c r="EG225">
        <v>6.5700486302375793E-2</v>
      </c>
      <c r="EH225">
        <v>6.6666670143604279E-2</v>
      </c>
      <c r="EI225">
        <v>6.6666670143604279E-2</v>
      </c>
      <c r="EJ225">
        <v>7.0531398057937622E-2</v>
      </c>
      <c r="EK225">
        <v>5.5072464048862457E-2</v>
      </c>
      <c r="EL225">
        <v>9.0821258723735809E-2</v>
      </c>
      <c r="EM225">
        <v>5.5072464048862457E-2</v>
      </c>
      <c r="EN225">
        <v>7.3429949581623077E-2</v>
      </c>
      <c r="EO225">
        <v>7.5362317264080048E-2</v>
      </c>
      <c r="EP225">
        <v>6.8599030375480652E-2</v>
      </c>
      <c r="EQ225">
        <v>8.8888891041278839E-2</v>
      </c>
      <c r="ER225">
        <v>8.0193236470222473E-2</v>
      </c>
      <c r="ES225">
        <v>6.4734302461147308E-2</v>
      </c>
      <c r="ET225">
        <v>7.4396133422851563E-2</v>
      </c>
      <c r="EU225">
        <v>8.3091787993907928E-2</v>
      </c>
      <c r="EV225">
        <v>8.4057971835136414E-2</v>
      </c>
      <c r="EW225">
        <v>6.7632846534252167E-2</v>
      </c>
      <c r="EX225">
        <v>6.5700486302375793E-2</v>
      </c>
      <c r="EY225">
        <v>8.4057971835136414E-2</v>
      </c>
      <c r="EZ225">
        <v>0.10048308968544006</v>
      </c>
      <c r="FA225">
        <v>5.8937199413776398E-2</v>
      </c>
      <c r="FB225">
        <v>8.5024155676364899E-2</v>
      </c>
      <c r="FC225">
        <v>7.1497581899166107E-2</v>
      </c>
      <c r="FD225">
        <v>9.9516905844211578E-2</v>
      </c>
      <c r="FE225">
        <v>8.0193236470222473E-2</v>
      </c>
      <c r="FF225">
        <v>7.9227052628993988E-2</v>
      </c>
      <c r="FG225">
        <v>6.9565214216709137E-2</v>
      </c>
      <c r="FH225">
        <v>7.5362317264080048E-2</v>
      </c>
      <c r="FI225">
        <v>6.2801934778690338E-2</v>
      </c>
      <c r="FJ225">
        <v>8.2125604152679443E-2</v>
      </c>
      <c r="FK225">
        <v>7.4396133422851563E-2</v>
      </c>
      <c r="FL225">
        <v>6.0869563370943069E-2</v>
      </c>
      <c r="FM225">
        <v>8.8888891041278839E-2</v>
      </c>
      <c r="FN225">
        <v>7.8260868787765503E-2</v>
      </c>
      <c r="FO225">
        <v>6.2801934778690338E-2</v>
      </c>
      <c r="FP225">
        <v>5.7004831731319427E-2</v>
      </c>
      <c r="FQ225">
        <v>6.4734302461147308E-2</v>
      </c>
      <c r="FR225">
        <v>6.0869563370943069E-2</v>
      </c>
      <c r="FS225">
        <v>9.5652170479297638E-2</v>
      </c>
      <c r="FT225">
        <v>6.7632846534252167E-2</v>
      </c>
      <c r="FU225">
        <v>8.5990339517593384E-2</v>
      </c>
      <c r="FV225">
        <v>7.1497581899166107E-2</v>
      </c>
      <c r="FW225">
        <v>6.8599030375480652E-2</v>
      </c>
      <c r="FX225">
        <v>5.6038647890090942E-2</v>
      </c>
      <c r="FY225">
        <v>7.7294684946537018E-2</v>
      </c>
      <c r="FZ225">
        <v>7.4396133422851563E-2</v>
      </c>
      <c r="GA225">
        <v>6.4734302461147308E-2</v>
      </c>
      <c r="GB225">
        <v>6.6666670143604279E-2</v>
      </c>
      <c r="GC225">
        <v>6.8599030375480652E-2</v>
      </c>
      <c r="GD225">
        <v>6.9696970283985138E-2</v>
      </c>
      <c r="GE225">
        <v>9.292929619550705E-2</v>
      </c>
      <c r="GF225">
        <v>7.7777780592441559E-2</v>
      </c>
      <c r="GG225">
        <v>7.9797983169555664E-2</v>
      </c>
      <c r="GH225">
        <v>7.0707067847251892E-2</v>
      </c>
      <c r="GI225">
        <v>6.8686865270137787E-2</v>
      </c>
      <c r="GJ225">
        <v>0.10505050420761108</v>
      </c>
      <c r="GK225">
        <v>0.10505050420761108</v>
      </c>
      <c r="GL225">
        <v>6.6666670143604279E-2</v>
      </c>
      <c r="GM225">
        <v>6.7676767706871033E-2</v>
      </c>
      <c r="GN225">
        <v>0.11717171967029572</v>
      </c>
      <c r="GO225">
        <v>6.1616159975528717E-2</v>
      </c>
      <c r="GP225">
        <v>6.5656565129756927E-2</v>
      </c>
      <c r="GQ225">
        <v>8.0808080732822418E-2</v>
      </c>
      <c r="GR225">
        <v>6.2626264989376068E-2</v>
      </c>
      <c r="GS225">
        <v>8.2828283309936523E-2</v>
      </c>
      <c r="GT225">
        <v>0.10808081179857254</v>
      </c>
      <c r="GU225">
        <v>6.1616159975528717E-2</v>
      </c>
      <c r="GV225">
        <v>6.1616159975528717E-2</v>
      </c>
      <c r="GW225">
        <v>8.6868688464164734E-2</v>
      </c>
      <c r="GX225">
        <v>6.9696970283985138E-2</v>
      </c>
      <c r="GY225">
        <v>0.11212120950222015</v>
      </c>
      <c r="GZ225">
        <v>9.0909093618392944E-2</v>
      </c>
      <c r="HA225">
        <v>7.1717172861099243E-2</v>
      </c>
      <c r="HB225">
        <v>7.7777780592441559E-2</v>
      </c>
      <c r="HC225">
        <v>6.1616159975528717E-2</v>
      </c>
      <c r="HD225">
        <v>6.9696970283985138E-2</v>
      </c>
      <c r="HE225">
        <v>6.9696970283985138E-2</v>
      </c>
    </row>
    <row r="226" spans="4:228" x14ac:dyDescent="0.25">
      <c r="D226" s="41" t="str" cm="1">
        <f t="array" ref="D226">IF(H226="","",IF(AND(E226&lt;AVERAGE(E225,E227)*($L$19/100),$D$23:D225=""),H226,""))</f>
        <v/>
      </c>
      <c r="E226" s="78">
        <f t="shared" si="3"/>
        <v>3.6504915380886904E-3</v>
      </c>
      <c r="F226" s="79"/>
      <c r="H226">
        <v>204</v>
      </c>
      <c r="I226">
        <v>7.7700491538088695E-2</v>
      </c>
      <c r="K226">
        <v>6.1835747212171555E-2</v>
      </c>
      <c r="L226">
        <v>6.5700486302375793E-2</v>
      </c>
      <c r="M226">
        <v>6.3768118619918823E-2</v>
      </c>
      <c r="N226">
        <v>6.0869563370943069E-2</v>
      </c>
      <c r="O226">
        <v>7.3429949581623077E-2</v>
      </c>
      <c r="P226">
        <v>7.3429949581623077E-2</v>
      </c>
      <c r="Q226">
        <v>9.9516905844211578E-2</v>
      </c>
      <c r="R226">
        <v>6.5700486302375793E-2</v>
      </c>
      <c r="S226">
        <v>6.9565214216709137E-2</v>
      </c>
      <c r="T226">
        <v>6.7632846534252167E-2</v>
      </c>
      <c r="U226">
        <v>7.1497581899166107E-2</v>
      </c>
      <c r="V226">
        <v>6.2801934778690338E-2</v>
      </c>
      <c r="W226">
        <v>7.8260868787765503E-2</v>
      </c>
      <c r="X226">
        <v>7.6328501105308533E-2</v>
      </c>
      <c r="Y226">
        <v>8.5024155676364899E-2</v>
      </c>
      <c r="Z226">
        <v>6.0869563370943069E-2</v>
      </c>
      <c r="AA226">
        <v>7.0531398057937622E-2</v>
      </c>
      <c r="AB226">
        <v>8.1159420311450958E-2</v>
      </c>
      <c r="AC226">
        <v>8.1159420311450958E-2</v>
      </c>
      <c r="AD226">
        <v>6.9565214216709137E-2</v>
      </c>
      <c r="AE226">
        <v>7.1497581899166107E-2</v>
      </c>
      <c r="AF226">
        <v>0.10144927352666855</v>
      </c>
      <c r="AG226">
        <v>8.4057971835136414E-2</v>
      </c>
      <c r="AH226">
        <v>5.7971015572547913E-2</v>
      </c>
      <c r="AI226">
        <v>7.1497581899166107E-2</v>
      </c>
      <c r="AJ226">
        <v>7.7294684946537018E-2</v>
      </c>
      <c r="AK226">
        <v>8.6956523358821869E-2</v>
      </c>
      <c r="AL226">
        <v>5.3140096366405487E-2</v>
      </c>
      <c r="AM226">
        <v>8.7922707200050354E-2</v>
      </c>
      <c r="AN226">
        <v>0.11304347962141037</v>
      </c>
      <c r="AO226">
        <v>5.8937199413776398E-2</v>
      </c>
      <c r="AP226">
        <v>8.2125604152679443E-2</v>
      </c>
      <c r="AQ226">
        <v>6.3768118619918823E-2</v>
      </c>
      <c r="AR226">
        <v>5.7004831731319427E-2</v>
      </c>
      <c r="AS226">
        <v>9.4685986638069153E-2</v>
      </c>
      <c r="AT226">
        <v>9.4685986638069153E-2</v>
      </c>
      <c r="AU226">
        <v>6.3768118619918823E-2</v>
      </c>
      <c r="AV226">
        <v>7.0531398057937622E-2</v>
      </c>
      <c r="AW226">
        <v>7.9227052628993988E-2</v>
      </c>
      <c r="AX226">
        <v>6.7632846534252167E-2</v>
      </c>
      <c r="AY226">
        <v>5.7971015572547913E-2</v>
      </c>
      <c r="AZ226">
        <v>7.5362317264080048E-2</v>
      </c>
      <c r="BA226">
        <v>6.1835747212171555E-2</v>
      </c>
      <c r="BB226">
        <v>5.8937199413776398E-2</v>
      </c>
      <c r="BC226">
        <v>0.104347825050354</v>
      </c>
      <c r="BD226">
        <v>5.8937199413776398E-2</v>
      </c>
      <c r="BE226">
        <v>9.5652170479297638E-2</v>
      </c>
      <c r="BF226">
        <v>8.3091787993907928E-2</v>
      </c>
      <c r="BG226">
        <v>7.0531398057937622E-2</v>
      </c>
      <c r="BH226">
        <v>7.2463765740394592E-2</v>
      </c>
      <c r="BI226">
        <v>8.1159420311450958E-2</v>
      </c>
      <c r="BJ226">
        <v>6.3768118619918823E-2</v>
      </c>
      <c r="BK226">
        <v>0.11304347962141037</v>
      </c>
      <c r="BL226">
        <v>6.9565214216709137E-2</v>
      </c>
      <c r="BM226">
        <v>8.1159420311450958E-2</v>
      </c>
      <c r="BN226">
        <v>6.7632846534252167E-2</v>
      </c>
      <c r="BO226">
        <v>7.1497581899166107E-2</v>
      </c>
      <c r="BP226">
        <v>7.6328501105308533E-2</v>
      </c>
      <c r="BQ226">
        <v>8.7922707200050354E-2</v>
      </c>
      <c r="BR226">
        <v>6.3768118619918823E-2</v>
      </c>
      <c r="BS226">
        <v>0.10628019273281097</v>
      </c>
      <c r="BT226">
        <v>7.7294684946537018E-2</v>
      </c>
      <c r="BU226">
        <v>6.8599030375480652E-2</v>
      </c>
      <c r="BV226">
        <v>6.5700486302375793E-2</v>
      </c>
      <c r="BW226">
        <v>6.9565214216709137E-2</v>
      </c>
      <c r="BX226">
        <v>8.9855074882507324E-2</v>
      </c>
      <c r="BY226">
        <v>7.6328501105308533E-2</v>
      </c>
      <c r="BZ226">
        <v>7.5362317264080048E-2</v>
      </c>
      <c r="CA226">
        <v>9.275362640619278E-2</v>
      </c>
      <c r="CB226">
        <v>8.8888891041278839E-2</v>
      </c>
      <c r="CC226">
        <v>6.6666670143604279E-2</v>
      </c>
      <c r="CD226">
        <v>7.5362317264080048E-2</v>
      </c>
      <c r="CE226">
        <v>6.7632846534252167E-2</v>
      </c>
      <c r="CF226">
        <v>8.2125604152679443E-2</v>
      </c>
      <c r="CG226">
        <v>6.9565214216709137E-2</v>
      </c>
      <c r="CH226">
        <v>7.8260868787765503E-2</v>
      </c>
      <c r="CI226">
        <v>7.6328501105308533E-2</v>
      </c>
      <c r="CJ226">
        <v>8.5024155676364899E-2</v>
      </c>
      <c r="CK226">
        <v>7.0531398057937622E-2</v>
      </c>
      <c r="CL226">
        <v>8.3091787993907928E-2</v>
      </c>
      <c r="CM226">
        <v>8.4057971835136414E-2</v>
      </c>
      <c r="CN226">
        <v>0.1111111119389534</v>
      </c>
      <c r="CO226">
        <v>8.0193236470222473E-2</v>
      </c>
      <c r="CP226">
        <v>8.2125604152679443E-2</v>
      </c>
      <c r="CQ226">
        <v>8.3091787993907928E-2</v>
      </c>
      <c r="CR226">
        <v>8.2125604152679443E-2</v>
      </c>
      <c r="CS226">
        <v>7.1497581899166107E-2</v>
      </c>
      <c r="CT226">
        <v>7.0531398057937622E-2</v>
      </c>
      <c r="CU226">
        <v>6.2801934778690338E-2</v>
      </c>
      <c r="CV226">
        <v>5.1207728683948517E-2</v>
      </c>
      <c r="CW226">
        <v>7.6328501105308533E-2</v>
      </c>
      <c r="CX226">
        <v>7.3429949581623077E-2</v>
      </c>
      <c r="CY226">
        <v>6.6666670143604279E-2</v>
      </c>
      <c r="CZ226">
        <v>9.8550722002983093E-2</v>
      </c>
      <c r="DA226">
        <v>4.7342993319034576E-2</v>
      </c>
      <c r="DB226">
        <v>6.8599030375480652E-2</v>
      </c>
      <c r="DC226">
        <v>7.0531398057937622E-2</v>
      </c>
      <c r="DD226">
        <v>9.275362640619278E-2</v>
      </c>
      <c r="DE226">
        <v>7.1497581899166107E-2</v>
      </c>
      <c r="DF226">
        <v>7.3429949581623077E-2</v>
      </c>
      <c r="DG226">
        <v>8.4057971835136414E-2</v>
      </c>
      <c r="DH226">
        <v>9.6618354320526123E-2</v>
      </c>
      <c r="DI226">
        <v>8.9855074882507324E-2</v>
      </c>
      <c r="DJ226">
        <v>5.5072464048862457E-2</v>
      </c>
      <c r="DK226">
        <v>8.8888891041278839E-2</v>
      </c>
      <c r="DL226">
        <v>7.1497581899166107E-2</v>
      </c>
      <c r="DM226">
        <v>7.0531398057937622E-2</v>
      </c>
      <c r="DN226">
        <v>8.7922707200050354E-2</v>
      </c>
      <c r="DO226">
        <v>5.4106280207633972E-2</v>
      </c>
      <c r="DP226">
        <v>7.4396133422851563E-2</v>
      </c>
      <c r="DQ226">
        <v>9.6618354320526123E-2</v>
      </c>
      <c r="DR226">
        <v>5.6038647890090942E-2</v>
      </c>
      <c r="DS226">
        <v>7.5362317264080048E-2</v>
      </c>
      <c r="DT226">
        <v>0.11400966346263885</v>
      </c>
      <c r="DU226">
        <v>7.1497581899166107E-2</v>
      </c>
      <c r="DV226">
        <v>7.8260868787765503E-2</v>
      </c>
      <c r="DW226">
        <v>8.1159420311450958E-2</v>
      </c>
      <c r="DX226">
        <v>6.7632846534252167E-2</v>
      </c>
      <c r="DY226">
        <v>8.4057971835136414E-2</v>
      </c>
      <c r="DZ226">
        <v>6.2801934778690338E-2</v>
      </c>
      <c r="EA226">
        <v>7.9227052628993988E-2</v>
      </c>
      <c r="EB226">
        <v>7.2463765740394592E-2</v>
      </c>
      <c r="EC226">
        <v>0.10531400889158249</v>
      </c>
      <c r="ED226">
        <v>9.275362640619278E-2</v>
      </c>
      <c r="EE226">
        <v>9.6618354320526123E-2</v>
      </c>
      <c r="EF226">
        <v>9.275362640619278E-2</v>
      </c>
      <c r="EG226">
        <v>6.7632846534252167E-2</v>
      </c>
      <c r="EH226">
        <v>7.1497581899166107E-2</v>
      </c>
      <c r="EI226">
        <v>5.8937199413776398E-2</v>
      </c>
      <c r="EJ226">
        <v>5.3140096366405487E-2</v>
      </c>
      <c r="EK226">
        <v>6.4646467566490173E-2</v>
      </c>
      <c r="EL226">
        <v>6.4646467566490173E-2</v>
      </c>
      <c r="EM226">
        <v>8.5858583450317383E-2</v>
      </c>
      <c r="EN226">
        <v>8.4848485887050629E-2</v>
      </c>
      <c r="EO226">
        <v>6.2626264989376068E-2</v>
      </c>
      <c r="EP226">
        <v>9.0909093618392944E-2</v>
      </c>
      <c r="EQ226">
        <v>0.1131313145160675</v>
      </c>
      <c r="ER226">
        <v>6.0606062412261963E-2</v>
      </c>
      <c r="ES226">
        <v>8.1818178296089172E-2</v>
      </c>
      <c r="ET226">
        <v>6.0606062412261963E-2</v>
      </c>
      <c r="EU226">
        <v>6.1616159975528717E-2</v>
      </c>
      <c r="EV226">
        <v>7.2727270424365997E-2</v>
      </c>
      <c r="EW226">
        <v>8.8888891041278839E-2</v>
      </c>
      <c r="EX226">
        <v>8.6868688464164734E-2</v>
      </c>
      <c r="EY226">
        <v>8.9898988604545593E-2</v>
      </c>
      <c r="EZ226">
        <v>6.7676767706871033E-2</v>
      </c>
      <c r="FA226">
        <v>7.8787878155708313E-2</v>
      </c>
      <c r="FB226">
        <v>7.8787878155708313E-2</v>
      </c>
      <c r="FC226">
        <v>7.7777780592441559E-2</v>
      </c>
      <c r="FD226">
        <v>7.6767675578594208E-2</v>
      </c>
      <c r="FE226">
        <v>7.3737375438213348E-2</v>
      </c>
      <c r="FF226">
        <v>7.9797983169555664E-2</v>
      </c>
      <c r="FG226">
        <v>7.6767675578594208E-2</v>
      </c>
      <c r="FH226">
        <v>9.0909093618392944E-2</v>
      </c>
      <c r="FI226">
        <v>5.8585859835147858E-2</v>
      </c>
      <c r="FJ226">
        <v>0.10303030163049698</v>
      </c>
      <c r="FK226">
        <v>8.6868688464164734E-2</v>
      </c>
      <c r="FL226">
        <v>6.2626264989376068E-2</v>
      </c>
      <c r="FM226">
        <v>7.6767675578594208E-2</v>
      </c>
      <c r="FN226">
        <v>9.4949491322040558E-2</v>
      </c>
      <c r="FO226">
        <v>0.10202020406723022</v>
      </c>
      <c r="FP226">
        <v>7.1717172861099243E-2</v>
      </c>
      <c r="FQ226">
        <v>6.9696970283985138E-2</v>
      </c>
      <c r="FR226">
        <v>5.959596112370491E-2</v>
      </c>
      <c r="FS226">
        <v>0.10707070678472519</v>
      </c>
      <c r="FT226">
        <v>7.3737375438213348E-2</v>
      </c>
      <c r="FU226">
        <v>0.11717171967029572</v>
      </c>
      <c r="FV226">
        <v>6.4646467566490173E-2</v>
      </c>
      <c r="FW226">
        <v>9.6969693899154663E-2</v>
      </c>
      <c r="FX226">
        <v>0.10808081179857254</v>
      </c>
      <c r="FY226">
        <v>9.7979798913002014E-2</v>
      </c>
      <c r="FZ226">
        <v>9.0909093618392944E-2</v>
      </c>
      <c r="GA226">
        <v>9.4949491322040558E-2</v>
      </c>
      <c r="GB226">
        <v>6.6666670143604279E-2</v>
      </c>
      <c r="GC226">
        <v>7.1717172861099243E-2</v>
      </c>
      <c r="GD226">
        <v>6.7676767706871033E-2</v>
      </c>
      <c r="GE226">
        <v>0.10101009905338287</v>
      </c>
      <c r="GF226">
        <v>7.1717172861099243E-2</v>
      </c>
      <c r="GG226">
        <v>6.5656565129756927E-2</v>
      </c>
      <c r="GH226">
        <v>7.0707067847251892E-2</v>
      </c>
      <c r="GI226">
        <v>8.3838380873203278E-2</v>
      </c>
      <c r="GJ226">
        <v>6.4646467566490173E-2</v>
      </c>
      <c r="GK226">
        <v>7.9797983169555664E-2</v>
      </c>
      <c r="GL226">
        <v>7.9797983169555664E-2</v>
      </c>
      <c r="GM226">
        <v>7.4747473001480103E-2</v>
      </c>
      <c r="GN226">
        <v>5.3535353392362595E-2</v>
      </c>
      <c r="GO226">
        <v>8.4848485887050629E-2</v>
      </c>
      <c r="GP226">
        <v>9.4949491322040558E-2</v>
      </c>
      <c r="GQ226">
        <v>9.5959596335887909E-2</v>
      </c>
      <c r="GR226">
        <v>7.9797983169555664E-2</v>
      </c>
      <c r="GS226">
        <v>7.5757578015327454E-2</v>
      </c>
      <c r="GT226">
        <v>8.1818178296089172E-2</v>
      </c>
      <c r="GU226">
        <v>0.10000000149011612</v>
      </c>
      <c r="GV226">
        <v>5.959596112370491E-2</v>
      </c>
      <c r="GW226">
        <v>8.9898988604545593E-2</v>
      </c>
      <c r="GX226">
        <v>8.3838380873203278E-2</v>
      </c>
      <c r="GY226">
        <v>5.8585859835147858E-2</v>
      </c>
      <c r="GZ226">
        <v>8.4848485887050629E-2</v>
      </c>
      <c r="HA226">
        <v>7.5757578015327454E-2</v>
      </c>
      <c r="HB226">
        <v>6.6666670143604279E-2</v>
      </c>
      <c r="HC226">
        <v>0.10404040664434433</v>
      </c>
      <c r="HD226">
        <v>6.4646467566490173E-2</v>
      </c>
      <c r="HE226">
        <v>8.1818178296089172E-2</v>
      </c>
      <c r="HF226">
        <v>8.3838380873203278E-2</v>
      </c>
    </row>
    <row r="227" spans="4:228" x14ac:dyDescent="0.25">
      <c r="D227" s="41" t="str" cm="1">
        <f t="array" ref="D227">IF(H227="","",IF(AND(E227&lt;AVERAGE(E226,E228)*($L$19/100),$D$23:D226=""),H227,""))</f>
        <v/>
      </c>
      <c r="E227" s="78">
        <f t="shared" si="3"/>
        <v>3.2667519125996469E-3</v>
      </c>
      <c r="F227" s="79"/>
      <c r="H227">
        <v>205</v>
      </c>
      <c r="I227">
        <v>7.7316751912599652E-2</v>
      </c>
      <c r="K227">
        <v>6.2801934778690338E-2</v>
      </c>
      <c r="L227">
        <v>8.9855074882507324E-2</v>
      </c>
      <c r="M227">
        <v>5.2173912525177002E-2</v>
      </c>
      <c r="N227">
        <v>0.10144927352666855</v>
      </c>
      <c r="O227">
        <v>7.7294684946537018E-2</v>
      </c>
      <c r="P227">
        <v>8.7922707200050354E-2</v>
      </c>
      <c r="Q227">
        <v>7.0531398057937622E-2</v>
      </c>
      <c r="R227">
        <v>6.5700486302375793E-2</v>
      </c>
      <c r="S227">
        <v>7.8260868787765503E-2</v>
      </c>
      <c r="T227">
        <v>8.9855074882507324E-2</v>
      </c>
      <c r="U227">
        <v>8.2125604152679443E-2</v>
      </c>
      <c r="V227">
        <v>8.2125604152679443E-2</v>
      </c>
      <c r="W227">
        <v>7.1497581899166107E-2</v>
      </c>
      <c r="X227">
        <v>6.3768118619918823E-2</v>
      </c>
      <c r="Y227">
        <v>7.5362317264080048E-2</v>
      </c>
      <c r="Z227">
        <v>9.3719810247421265E-2</v>
      </c>
      <c r="AA227">
        <v>8.7922707200050354E-2</v>
      </c>
      <c r="AB227">
        <v>8.3091787993907928E-2</v>
      </c>
      <c r="AC227">
        <v>7.0531398057937622E-2</v>
      </c>
      <c r="AD227">
        <v>9.0821258723735809E-2</v>
      </c>
      <c r="AE227">
        <v>9.1787442564964294E-2</v>
      </c>
      <c r="AF227">
        <v>0.11690821498632431</v>
      </c>
      <c r="AG227">
        <v>7.9227052628993988E-2</v>
      </c>
      <c r="AH227">
        <v>6.4734302461147308E-2</v>
      </c>
      <c r="AI227">
        <v>9.9516905844211578E-2</v>
      </c>
      <c r="AJ227">
        <v>7.1497581899166107E-2</v>
      </c>
      <c r="AK227">
        <v>9.0821258723735809E-2</v>
      </c>
      <c r="AL227">
        <v>7.0531398057937622E-2</v>
      </c>
      <c r="AM227">
        <v>6.8599030375480652E-2</v>
      </c>
      <c r="AN227">
        <v>7.2463765740394592E-2</v>
      </c>
      <c r="AO227">
        <v>7.7294684946537018E-2</v>
      </c>
      <c r="AP227">
        <v>5.8937199413776398E-2</v>
      </c>
      <c r="AQ227">
        <v>6.6666670143604279E-2</v>
      </c>
      <c r="AR227">
        <v>6.6666670143604279E-2</v>
      </c>
      <c r="AS227">
        <v>5.7971015572547913E-2</v>
      </c>
      <c r="AT227">
        <v>7.1497581899166107E-2</v>
      </c>
      <c r="AU227">
        <v>7.4396133422851563E-2</v>
      </c>
      <c r="AV227">
        <v>5.6038647890090942E-2</v>
      </c>
      <c r="AW227">
        <v>8.5024155676364899E-2</v>
      </c>
      <c r="AX227">
        <v>9.1787442564964294E-2</v>
      </c>
      <c r="AY227">
        <v>7.2463765740394592E-2</v>
      </c>
      <c r="AZ227">
        <v>0.11014492809772491</v>
      </c>
      <c r="BA227">
        <v>0.10144927352666855</v>
      </c>
      <c r="BB227">
        <v>8.0193236470222473E-2</v>
      </c>
      <c r="BC227">
        <v>7.3429949581623077E-2</v>
      </c>
      <c r="BD227">
        <v>7.9227052628993988E-2</v>
      </c>
      <c r="BE227">
        <v>6.2801934778690338E-2</v>
      </c>
      <c r="BF227">
        <v>7.9227052628993988E-2</v>
      </c>
      <c r="BG227">
        <v>9.1787442564964294E-2</v>
      </c>
      <c r="BH227">
        <v>7.4396133422851563E-2</v>
      </c>
      <c r="BI227">
        <v>6.7632846534252167E-2</v>
      </c>
      <c r="BJ227">
        <v>7.5362317264080048E-2</v>
      </c>
      <c r="BK227">
        <v>8.2125604152679443E-2</v>
      </c>
      <c r="BL227">
        <v>6.5700486302375793E-2</v>
      </c>
      <c r="BM227">
        <v>7.5362317264080048E-2</v>
      </c>
      <c r="BN227">
        <v>6.9565214216709137E-2</v>
      </c>
      <c r="BO227">
        <v>9.5652170479297638E-2</v>
      </c>
      <c r="BP227">
        <v>6.4734302461147308E-2</v>
      </c>
      <c r="BQ227">
        <v>7.9227052628993988E-2</v>
      </c>
      <c r="BR227">
        <v>0.13526569306850433</v>
      </c>
      <c r="BS227">
        <v>7.2463765740394592E-2</v>
      </c>
      <c r="BT227">
        <v>9.8550722002983093E-2</v>
      </c>
      <c r="BU227">
        <v>6.2801934778690338E-2</v>
      </c>
      <c r="BV227">
        <v>7.9227052628993988E-2</v>
      </c>
      <c r="BW227">
        <v>7.8260868787765503E-2</v>
      </c>
      <c r="BX227">
        <v>9.3719810247421265E-2</v>
      </c>
      <c r="BY227">
        <v>5.3140096366405487E-2</v>
      </c>
      <c r="BZ227">
        <v>7.0531398057937622E-2</v>
      </c>
      <c r="CA227">
        <v>6.5700486302375793E-2</v>
      </c>
      <c r="CB227">
        <v>8.5990339517593384E-2</v>
      </c>
      <c r="CC227">
        <v>7.9227052628993988E-2</v>
      </c>
      <c r="CD227">
        <v>8.2125604152679443E-2</v>
      </c>
      <c r="CE227">
        <v>5.5072464048862457E-2</v>
      </c>
      <c r="CF227">
        <v>6.1835747212171555E-2</v>
      </c>
      <c r="CG227">
        <v>6.8599030375480652E-2</v>
      </c>
      <c r="CH227">
        <v>6.5700486302375793E-2</v>
      </c>
      <c r="CI227">
        <v>5.4106280207633972E-2</v>
      </c>
      <c r="CJ227">
        <v>5.8937199413776398E-2</v>
      </c>
      <c r="CK227">
        <v>6.2801934778690338E-2</v>
      </c>
      <c r="CL227">
        <v>8.1159420311450958E-2</v>
      </c>
      <c r="CM227">
        <v>8.4057971835136414E-2</v>
      </c>
      <c r="CN227">
        <v>0.10531400889158249</v>
      </c>
      <c r="CO227">
        <v>8.2125604152679443E-2</v>
      </c>
      <c r="CP227">
        <v>9.275362640619278E-2</v>
      </c>
      <c r="CQ227">
        <v>7.3429949581623077E-2</v>
      </c>
      <c r="CR227">
        <v>6.8686865270137787E-2</v>
      </c>
      <c r="CS227">
        <v>8.5858583450317383E-2</v>
      </c>
      <c r="CT227">
        <v>6.4646467566490173E-2</v>
      </c>
      <c r="CU227">
        <v>7.3737375438213348E-2</v>
      </c>
      <c r="CV227">
        <v>6.0606062412261963E-2</v>
      </c>
      <c r="CW227">
        <v>0.11919192224740982</v>
      </c>
      <c r="CX227">
        <v>6.6666670143604279E-2</v>
      </c>
      <c r="CY227">
        <v>6.4646467566490173E-2</v>
      </c>
      <c r="CZ227">
        <v>7.8787878155708313E-2</v>
      </c>
      <c r="DA227">
        <v>9.3939393758773804E-2</v>
      </c>
      <c r="DB227">
        <v>7.5757578015327454E-2</v>
      </c>
      <c r="DC227">
        <v>7.1717172861099243E-2</v>
      </c>
      <c r="DD227">
        <v>7.2727270424365997E-2</v>
      </c>
      <c r="DE227">
        <v>8.1818178296089172E-2</v>
      </c>
      <c r="DF227">
        <v>7.8787878155708313E-2</v>
      </c>
      <c r="DG227">
        <v>0.11010100692510605</v>
      </c>
      <c r="DH227">
        <v>6.8686865270137787E-2</v>
      </c>
      <c r="DI227">
        <v>5.4545454680919647E-2</v>
      </c>
      <c r="DJ227">
        <v>7.5757578015327454E-2</v>
      </c>
      <c r="DK227">
        <v>6.7676767706871033E-2</v>
      </c>
      <c r="DL227">
        <v>7.2727270424365997E-2</v>
      </c>
      <c r="DM227">
        <v>7.6767675578594208E-2</v>
      </c>
      <c r="DN227">
        <v>5.959596112370491E-2</v>
      </c>
      <c r="DO227">
        <v>8.1818178296089172E-2</v>
      </c>
      <c r="DP227">
        <v>0.12424242496490479</v>
      </c>
      <c r="DQ227">
        <v>6.4646467566490173E-2</v>
      </c>
      <c r="DR227">
        <v>0.11212120950222015</v>
      </c>
      <c r="DS227">
        <v>5.4545454680919647E-2</v>
      </c>
      <c r="DT227">
        <v>9.8989896476268768E-2</v>
      </c>
      <c r="DU227">
        <v>7.2727270424365997E-2</v>
      </c>
      <c r="DV227">
        <v>0.11717171967029572</v>
      </c>
      <c r="DW227">
        <v>6.2626264989376068E-2</v>
      </c>
      <c r="DX227">
        <v>9.7979798913002014E-2</v>
      </c>
      <c r="DY227">
        <v>9.3939393758773804E-2</v>
      </c>
      <c r="DZ227">
        <v>5.4545454680919647E-2</v>
      </c>
      <c r="EA227">
        <v>7.1717172861099243E-2</v>
      </c>
      <c r="EB227">
        <v>6.4646467566490173E-2</v>
      </c>
      <c r="EC227">
        <v>9.0909093618392944E-2</v>
      </c>
      <c r="ED227">
        <v>8.8888891041278839E-2</v>
      </c>
      <c r="EE227">
        <v>5.3535353392362595E-2</v>
      </c>
      <c r="EF227">
        <v>8.7878786027431488E-2</v>
      </c>
      <c r="EG227">
        <v>8.5858583450317383E-2</v>
      </c>
      <c r="EH227">
        <v>5.7575758546590805E-2</v>
      </c>
      <c r="EI227">
        <v>6.3636362552642822E-2</v>
      </c>
      <c r="EJ227">
        <v>8.7878786027431488E-2</v>
      </c>
      <c r="EK227">
        <v>5.2525252103805542E-2</v>
      </c>
      <c r="EL227">
        <v>9.0909093618392944E-2</v>
      </c>
      <c r="EM227">
        <v>8.4848485887050629E-2</v>
      </c>
      <c r="EN227">
        <v>7.7777780592441559E-2</v>
      </c>
      <c r="EO227">
        <v>5.0505049526691437E-2</v>
      </c>
      <c r="EP227">
        <v>8.4848485887050629E-2</v>
      </c>
      <c r="EQ227">
        <v>8.6868688464164734E-2</v>
      </c>
      <c r="ER227">
        <v>7.0707067847251892E-2</v>
      </c>
      <c r="ES227">
        <v>7.1717172861099243E-2</v>
      </c>
      <c r="ET227">
        <v>8.9898988604545593E-2</v>
      </c>
      <c r="EU227">
        <v>7.1717172861099243E-2</v>
      </c>
      <c r="EV227">
        <v>8.0808080732822418E-2</v>
      </c>
      <c r="EW227">
        <v>9.1919191181659698E-2</v>
      </c>
      <c r="EX227">
        <v>7.7777780592441559E-2</v>
      </c>
      <c r="EY227">
        <v>7.9797983169555664E-2</v>
      </c>
      <c r="EZ227">
        <v>5.6565657258033752E-2</v>
      </c>
      <c r="FA227">
        <v>0.10000000149011612</v>
      </c>
      <c r="FB227">
        <v>6.7676767706871033E-2</v>
      </c>
      <c r="FC227">
        <v>7.7777780592441559E-2</v>
      </c>
      <c r="FD227">
        <v>8.1818178296089172E-2</v>
      </c>
      <c r="FE227">
        <v>7.1717172861099243E-2</v>
      </c>
      <c r="FF227">
        <v>7.0707067847251892E-2</v>
      </c>
      <c r="FG227">
        <v>9.6969693899154663E-2</v>
      </c>
      <c r="FH227">
        <v>6.1616159975528717E-2</v>
      </c>
      <c r="FI227">
        <v>6.2626264989376068E-2</v>
      </c>
      <c r="FJ227">
        <v>0.10505050420761108</v>
      </c>
      <c r="FK227">
        <v>7.1717172861099243E-2</v>
      </c>
      <c r="FL227">
        <v>7.2727270424365997E-2</v>
      </c>
      <c r="FM227">
        <v>6.7676767706871033E-2</v>
      </c>
      <c r="FN227">
        <v>6.6666670143604279E-2</v>
      </c>
      <c r="FO227">
        <v>7.6767675578594208E-2</v>
      </c>
      <c r="FP227">
        <v>6.2626264989376068E-2</v>
      </c>
      <c r="FQ227">
        <v>6.7676767706871033E-2</v>
      </c>
      <c r="FR227">
        <v>7.6767675578594208E-2</v>
      </c>
      <c r="FS227">
        <v>9.7979798913002014E-2</v>
      </c>
      <c r="FT227">
        <v>6.5656565129756927E-2</v>
      </c>
      <c r="FU227">
        <v>6.6666670143604279E-2</v>
      </c>
      <c r="FV227">
        <v>6.4646467566490173E-2</v>
      </c>
      <c r="FW227">
        <v>5.3535353392362595E-2</v>
      </c>
      <c r="FX227">
        <v>6.4646467566490173E-2</v>
      </c>
      <c r="FY227">
        <v>6.2626264989376068E-2</v>
      </c>
      <c r="FZ227">
        <v>5.959596112370491E-2</v>
      </c>
      <c r="GA227">
        <v>7.7777780592441559E-2</v>
      </c>
      <c r="GB227">
        <v>5.7575758546590805E-2</v>
      </c>
      <c r="GC227">
        <v>8.3838380873203278E-2</v>
      </c>
      <c r="GD227">
        <v>7.6767675578594208E-2</v>
      </c>
      <c r="GE227">
        <v>6.7676767706871033E-2</v>
      </c>
      <c r="GF227">
        <v>6.7676767706871033E-2</v>
      </c>
      <c r="GG227">
        <v>0.12727272510528564</v>
      </c>
      <c r="GH227">
        <v>6.8686865270137787E-2</v>
      </c>
      <c r="GI227">
        <v>0.1131313145160675</v>
      </c>
      <c r="GJ227">
        <v>7.0707067847251892E-2</v>
      </c>
      <c r="GK227">
        <v>8.0808080732822418E-2</v>
      </c>
      <c r="GL227">
        <v>6.2626264989376068E-2</v>
      </c>
      <c r="GM227">
        <v>6.8686865270137787E-2</v>
      </c>
      <c r="GN227">
        <v>0.12626262009143829</v>
      </c>
      <c r="GO227">
        <v>0.10202020406723022</v>
      </c>
      <c r="GP227">
        <v>7.1717172861099243E-2</v>
      </c>
      <c r="GQ227">
        <v>0.10000000149011612</v>
      </c>
      <c r="GR227">
        <v>7.1717172861099243E-2</v>
      </c>
      <c r="GS227">
        <v>9.292929619550705E-2</v>
      </c>
      <c r="GT227">
        <v>6.5656565129756927E-2</v>
      </c>
      <c r="GU227">
        <v>5.8585859835147858E-2</v>
      </c>
      <c r="GV227">
        <v>6.7676767706871033E-2</v>
      </c>
      <c r="GW227">
        <v>7.0707067847251892E-2</v>
      </c>
      <c r="GX227">
        <v>6.4646467566490173E-2</v>
      </c>
      <c r="GY227">
        <v>6.8686865270137787E-2</v>
      </c>
      <c r="GZ227">
        <v>8.8888891041278839E-2</v>
      </c>
      <c r="HA227">
        <v>8.4848485887050629E-2</v>
      </c>
      <c r="HB227">
        <v>5.2525252103805542E-2</v>
      </c>
      <c r="HC227">
        <v>6.6666670143604279E-2</v>
      </c>
      <c r="HD227">
        <v>7.4747473001480103E-2</v>
      </c>
      <c r="HE227">
        <v>6.7676767706871033E-2</v>
      </c>
      <c r="HF227">
        <v>9.8989896476268768E-2</v>
      </c>
      <c r="HG227">
        <v>7.4747473001480103E-2</v>
      </c>
    </row>
    <row r="228" spans="4:228" x14ac:dyDescent="0.25">
      <c r="D228" s="41" t="str" cm="1">
        <f t="array" ref="D228">IF(H228="","",IF(AND(E228&lt;AVERAGE(E227,E229)*($L$19/100),$D$23:D227=""),H228,""))</f>
        <v/>
      </c>
      <c r="E228" s="78">
        <f t="shared" si="3"/>
        <v>2.9187162947307416E-3</v>
      </c>
      <c r="F228" s="79"/>
      <c r="H228">
        <v>206</v>
      </c>
      <c r="I228">
        <v>7.6968716294730746E-2</v>
      </c>
      <c r="K228">
        <v>8.0193236470222473E-2</v>
      </c>
      <c r="L228">
        <v>7.5362317264080048E-2</v>
      </c>
      <c r="M228">
        <v>7.1497581899166107E-2</v>
      </c>
      <c r="N228">
        <v>9.3719810247421265E-2</v>
      </c>
      <c r="O228">
        <v>8.3091787993907928E-2</v>
      </c>
      <c r="P228">
        <v>7.0531398057937622E-2</v>
      </c>
      <c r="Q228">
        <v>6.2801934778690338E-2</v>
      </c>
      <c r="R228">
        <v>7.9227052628993988E-2</v>
      </c>
      <c r="S228">
        <v>6.4734302461147308E-2</v>
      </c>
      <c r="T228">
        <v>6.1835747212171555E-2</v>
      </c>
      <c r="U228">
        <v>7.6328501105308533E-2</v>
      </c>
      <c r="V228">
        <v>6.5700486302375793E-2</v>
      </c>
      <c r="W228">
        <v>8.2125604152679443E-2</v>
      </c>
      <c r="X228">
        <v>6.0869563370943069E-2</v>
      </c>
      <c r="Y228">
        <v>8.5024155676364899E-2</v>
      </c>
      <c r="Z228">
        <v>8.1159420311450958E-2</v>
      </c>
      <c r="AA228">
        <v>6.8599030375480652E-2</v>
      </c>
      <c r="AB228">
        <v>7.1497581899166107E-2</v>
      </c>
      <c r="AC228">
        <v>8.2125604152679443E-2</v>
      </c>
      <c r="AD228">
        <v>9.1787442564964294E-2</v>
      </c>
      <c r="AE228">
        <v>7.5362317264080048E-2</v>
      </c>
      <c r="AF228">
        <v>6.3768118619918823E-2</v>
      </c>
      <c r="AG228">
        <v>5.8937199413776398E-2</v>
      </c>
      <c r="AH228">
        <v>5.8937199413776398E-2</v>
      </c>
      <c r="AI228">
        <v>7.3429949581623077E-2</v>
      </c>
      <c r="AJ228">
        <v>8.8888891041278839E-2</v>
      </c>
      <c r="AK228">
        <v>6.5700486302375793E-2</v>
      </c>
      <c r="AL228">
        <v>7.2463765740394592E-2</v>
      </c>
      <c r="AM228">
        <v>5.9903383255004883E-2</v>
      </c>
      <c r="AN228">
        <v>7.4396133422851563E-2</v>
      </c>
      <c r="AO228">
        <v>9.9516905844211578E-2</v>
      </c>
      <c r="AP228">
        <v>6.1835747212171555E-2</v>
      </c>
      <c r="AQ228">
        <v>7.9227052628993988E-2</v>
      </c>
      <c r="AR228">
        <v>5.7971015572547913E-2</v>
      </c>
      <c r="AS228">
        <v>9.275362640619278E-2</v>
      </c>
      <c r="AT228">
        <v>7.6328501105308533E-2</v>
      </c>
      <c r="AU228">
        <v>9.3719810247421265E-2</v>
      </c>
      <c r="AV228">
        <v>5.6038647890090942E-2</v>
      </c>
      <c r="AW228">
        <v>9.8550722002983093E-2</v>
      </c>
      <c r="AX228">
        <v>8.4057971835136414E-2</v>
      </c>
      <c r="AY228">
        <v>6.7676767706871033E-2</v>
      </c>
      <c r="AZ228">
        <v>7.0707067847251892E-2</v>
      </c>
      <c r="BA228">
        <v>5.959596112370491E-2</v>
      </c>
      <c r="BB228">
        <v>6.6666670143604279E-2</v>
      </c>
      <c r="BC228">
        <v>7.8787878155708313E-2</v>
      </c>
      <c r="BD228">
        <v>7.3737375438213348E-2</v>
      </c>
      <c r="BE228">
        <v>6.4646467566490173E-2</v>
      </c>
      <c r="BF228">
        <v>6.4646467566490173E-2</v>
      </c>
      <c r="BG228">
        <v>9.0909093618392944E-2</v>
      </c>
      <c r="BH228">
        <v>9.1919191181659698E-2</v>
      </c>
      <c r="BI228">
        <v>0.10202020406723022</v>
      </c>
      <c r="BJ228">
        <v>7.9797983169555664E-2</v>
      </c>
      <c r="BK228">
        <v>0.10505050420761108</v>
      </c>
      <c r="BL228">
        <v>6.0606062412261963E-2</v>
      </c>
      <c r="BM228">
        <v>5.8585859835147858E-2</v>
      </c>
      <c r="BN228">
        <v>7.3737375438213348E-2</v>
      </c>
      <c r="BO228">
        <v>6.6666670143604279E-2</v>
      </c>
      <c r="BP228">
        <v>0.10101009905338287</v>
      </c>
      <c r="BQ228">
        <v>6.3636362552642822E-2</v>
      </c>
      <c r="BR228">
        <v>0.12020201981067657</v>
      </c>
      <c r="BS228">
        <v>6.5656565129756927E-2</v>
      </c>
      <c r="BT228">
        <v>0.10707070678472519</v>
      </c>
      <c r="BU228">
        <v>5.7575758546590805E-2</v>
      </c>
      <c r="BV228">
        <v>5.959596112370491E-2</v>
      </c>
      <c r="BW228">
        <v>0.10303030163049698</v>
      </c>
      <c r="BX228">
        <v>6.9696970283985138E-2</v>
      </c>
      <c r="BY228">
        <v>9.4949491322040558E-2</v>
      </c>
      <c r="BZ228">
        <v>6.9696970283985138E-2</v>
      </c>
      <c r="CA228">
        <v>7.3737375438213348E-2</v>
      </c>
      <c r="CB228">
        <v>0.10404040664434433</v>
      </c>
      <c r="CC228">
        <v>7.0707067847251892E-2</v>
      </c>
      <c r="CD228">
        <v>0.12222222238779068</v>
      </c>
      <c r="CE228">
        <v>7.3737375438213348E-2</v>
      </c>
      <c r="CF228">
        <v>0.10000000149011612</v>
      </c>
      <c r="CG228">
        <v>0.10505050420761108</v>
      </c>
      <c r="CH228">
        <v>6.1616159975528717E-2</v>
      </c>
      <c r="CI228">
        <v>7.1717172861099243E-2</v>
      </c>
      <c r="CJ228">
        <v>9.7979798913002014E-2</v>
      </c>
      <c r="CK228">
        <v>7.6767675578594208E-2</v>
      </c>
      <c r="CL228">
        <v>7.2727270424365997E-2</v>
      </c>
      <c r="CM228">
        <v>9.7979798913002014E-2</v>
      </c>
      <c r="CN228">
        <v>6.0606062412261963E-2</v>
      </c>
      <c r="CO228">
        <v>5.1515150815248489E-2</v>
      </c>
      <c r="CP228">
        <v>0.10303030163049698</v>
      </c>
      <c r="CQ228">
        <v>7.6767675578594208E-2</v>
      </c>
      <c r="CR228">
        <v>6.8686865270137787E-2</v>
      </c>
      <c r="CS228">
        <v>9.292929619550705E-2</v>
      </c>
      <c r="CT228">
        <v>8.3838380873203278E-2</v>
      </c>
      <c r="CU228">
        <v>6.6666670143604279E-2</v>
      </c>
      <c r="CV228">
        <v>7.1717172861099243E-2</v>
      </c>
      <c r="CW228">
        <v>5.959596112370491E-2</v>
      </c>
      <c r="CX228">
        <v>6.6666670143604279E-2</v>
      </c>
      <c r="CY228">
        <v>9.7979798913002014E-2</v>
      </c>
      <c r="CZ228">
        <v>6.3636362552642822E-2</v>
      </c>
      <c r="DA228">
        <v>6.1616159975528717E-2</v>
      </c>
      <c r="DB228">
        <v>0.11212120950222015</v>
      </c>
      <c r="DC228">
        <v>7.3737375438213348E-2</v>
      </c>
      <c r="DD228">
        <v>6.3636362552642822E-2</v>
      </c>
      <c r="DE228">
        <v>0.11616161465644836</v>
      </c>
      <c r="DF228">
        <v>6.9696970283985138E-2</v>
      </c>
      <c r="DG228">
        <v>9.292929619550705E-2</v>
      </c>
      <c r="DH228">
        <v>7.0707067847251892E-2</v>
      </c>
      <c r="DI228">
        <v>6.7676767706871033E-2</v>
      </c>
      <c r="DJ228">
        <v>9.292929619550705E-2</v>
      </c>
      <c r="DK228">
        <v>8.6868688464164734E-2</v>
      </c>
      <c r="DL228">
        <v>7.4747473001480103E-2</v>
      </c>
      <c r="DM228">
        <v>0.1111111119389534</v>
      </c>
      <c r="DN228">
        <v>8.3838380873203278E-2</v>
      </c>
      <c r="DO228">
        <v>6.5656565129756927E-2</v>
      </c>
      <c r="DP228">
        <v>7.5757578015327454E-2</v>
      </c>
      <c r="DQ228">
        <v>6.8686865270137787E-2</v>
      </c>
      <c r="DR228">
        <v>7.1717172861099243E-2</v>
      </c>
      <c r="DS228">
        <v>8.5858583450317383E-2</v>
      </c>
      <c r="DT228">
        <v>6.9696970283985138E-2</v>
      </c>
      <c r="DU228">
        <v>9.4949491322040558E-2</v>
      </c>
      <c r="DV228">
        <v>7.3737375438213348E-2</v>
      </c>
      <c r="DW228">
        <v>9.6969693899154663E-2</v>
      </c>
      <c r="DX228">
        <v>6.8686865270137787E-2</v>
      </c>
      <c r="DY228">
        <v>7.6767675578594208E-2</v>
      </c>
      <c r="DZ228">
        <v>6.2626264989376068E-2</v>
      </c>
      <c r="EA228">
        <v>8.6868688464164734E-2</v>
      </c>
      <c r="EB228">
        <v>6.5656565129756927E-2</v>
      </c>
      <c r="EC228">
        <v>5.55555559694767E-2</v>
      </c>
      <c r="ED228">
        <v>7.3737375438213348E-2</v>
      </c>
      <c r="EE228">
        <v>6.3636362552642822E-2</v>
      </c>
      <c r="EF228">
        <v>0.10202020406723022</v>
      </c>
      <c r="EG228">
        <v>6.3636362552642822E-2</v>
      </c>
      <c r="EH228">
        <v>8.3838380873203278E-2</v>
      </c>
      <c r="EI228">
        <v>5.959596112370491E-2</v>
      </c>
      <c r="EJ228">
        <v>6.5656565129756927E-2</v>
      </c>
      <c r="EK228">
        <v>8.5858583450317383E-2</v>
      </c>
      <c r="EL228">
        <v>7.5757578015327454E-2</v>
      </c>
      <c r="EM228">
        <v>6.4646467566490173E-2</v>
      </c>
      <c r="EN228">
        <v>8.5858583450317383E-2</v>
      </c>
      <c r="EO228">
        <v>7.7777780592441559E-2</v>
      </c>
      <c r="EP228">
        <v>7.4747473001480103E-2</v>
      </c>
      <c r="EQ228">
        <v>7.6767675578594208E-2</v>
      </c>
      <c r="ER228">
        <v>5.2525252103805542E-2</v>
      </c>
      <c r="ES228">
        <v>6.6666670143604279E-2</v>
      </c>
      <c r="ET228">
        <v>6.1616159975528717E-2</v>
      </c>
      <c r="EU228">
        <v>6.2626264989376068E-2</v>
      </c>
      <c r="EV228">
        <v>9.4949491322040558E-2</v>
      </c>
      <c r="EW228">
        <v>8.8888891041278839E-2</v>
      </c>
      <c r="EX228">
        <v>8.0808080732822418E-2</v>
      </c>
      <c r="EY228">
        <v>6.5656565129756927E-2</v>
      </c>
      <c r="EZ228">
        <v>6.3636362552642822E-2</v>
      </c>
      <c r="FA228">
        <v>8.3838380873203278E-2</v>
      </c>
      <c r="FB228">
        <v>6.1616159975528717E-2</v>
      </c>
      <c r="FC228">
        <v>6.4646467566490173E-2</v>
      </c>
      <c r="FD228">
        <v>6.5656565129756927E-2</v>
      </c>
      <c r="FE228">
        <v>6.8686865270137787E-2</v>
      </c>
      <c r="FF228">
        <v>0.10707070678472519</v>
      </c>
      <c r="FG228">
        <v>5.6565657258033752E-2</v>
      </c>
      <c r="FH228">
        <v>7.9797983169555664E-2</v>
      </c>
      <c r="FI228">
        <v>9.0909093618392944E-2</v>
      </c>
      <c r="FJ228">
        <v>7.3737375438213348E-2</v>
      </c>
      <c r="FK228">
        <v>0.10606060922145844</v>
      </c>
      <c r="FL228">
        <v>7.6767675578594208E-2</v>
      </c>
      <c r="FM228">
        <v>6.7676767706871033E-2</v>
      </c>
      <c r="FN228">
        <v>6.8686865270137787E-2</v>
      </c>
      <c r="FO228">
        <v>7.8787878155708313E-2</v>
      </c>
      <c r="FP228">
        <v>5.7575758546590805E-2</v>
      </c>
      <c r="FQ228">
        <v>9.8989896476268768E-2</v>
      </c>
      <c r="FR228">
        <v>7.2727270424365997E-2</v>
      </c>
      <c r="FS228">
        <v>8.6868688464164734E-2</v>
      </c>
      <c r="FT228">
        <v>7.7777780592441559E-2</v>
      </c>
      <c r="FU228">
        <v>7.6767675578594208E-2</v>
      </c>
      <c r="FV228">
        <v>7.6767675578594208E-2</v>
      </c>
      <c r="FW228">
        <v>8.3838380873203278E-2</v>
      </c>
      <c r="FX228">
        <v>4.7474745661020279E-2</v>
      </c>
      <c r="FY228">
        <v>9.3939393758773804E-2</v>
      </c>
      <c r="FZ228">
        <v>0.1111111119389534</v>
      </c>
      <c r="GA228">
        <v>7.0707067847251892E-2</v>
      </c>
      <c r="GB228">
        <v>8.3838380873203278E-2</v>
      </c>
      <c r="GC228">
        <v>8.3838380873203278E-2</v>
      </c>
      <c r="GD228">
        <v>7.1717172861099243E-2</v>
      </c>
      <c r="GE228">
        <v>9.3939393758773804E-2</v>
      </c>
      <c r="GF228">
        <v>6.8686865270137787E-2</v>
      </c>
      <c r="GG228">
        <v>7.8787878155708313E-2</v>
      </c>
      <c r="GH228">
        <v>9.6969693899154663E-2</v>
      </c>
      <c r="GI228">
        <v>7.1717172861099243E-2</v>
      </c>
      <c r="GJ228">
        <v>5.3535353392362595E-2</v>
      </c>
      <c r="GK228">
        <v>6.9696970283985138E-2</v>
      </c>
      <c r="GL228">
        <v>8.7878786027431488E-2</v>
      </c>
      <c r="GM228">
        <v>7.1717172861099243E-2</v>
      </c>
      <c r="GN228">
        <v>7.9797983169555664E-2</v>
      </c>
      <c r="GO228">
        <v>8.2828283309936523E-2</v>
      </c>
      <c r="GP228">
        <v>7.0707067847251892E-2</v>
      </c>
      <c r="GQ228">
        <v>7.3737375438213348E-2</v>
      </c>
      <c r="GR228">
        <v>6.1616159975528717E-2</v>
      </c>
      <c r="GS228">
        <v>7.2727270424365997E-2</v>
      </c>
      <c r="GT228">
        <v>7.4747473001480103E-2</v>
      </c>
      <c r="GU228">
        <v>5.959596112370491E-2</v>
      </c>
      <c r="GV228">
        <v>6.8686865270137787E-2</v>
      </c>
      <c r="GW228">
        <v>7.0707067847251892E-2</v>
      </c>
      <c r="GX228">
        <v>6.6666670143604279E-2</v>
      </c>
      <c r="GY228">
        <v>9.0909093618392944E-2</v>
      </c>
      <c r="GZ228">
        <v>8.2828283309936523E-2</v>
      </c>
      <c r="HA228">
        <v>7.0707067847251892E-2</v>
      </c>
      <c r="HB228">
        <v>6.7676767706871033E-2</v>
      </c>
      <c r="HC228">
        <v>9.1919191181659698E-2</v>
      </c>
      <c r="HD228">
        <v>7.3737375438213348E-2</v>
      </c>
      <c r="HE228">
        <v>7.5757578015327454E-2</v>
      </c>
      <c r="HF228">
        <v>6.6666670143604279E-2</v>
      </c>
      <c r="HG228">
        <v>7.1717172861099243E-2</v>
      </c>
      <c r="HH228">
        <v>7.6767675578594208E-2</v>
      </c>
    </row>
    <row r="229" spans="4:228" x14ac:dyDescent="0.25">
      <c r="D229" s="41" t="str" cm="1">
        <f t="array" ref="D229">IF(H229="","",IF(AND(E229&lt;AVERAGE(E228,E230)*($L$19/100),$D$23:D228=""),H229,""))</f>
        <v/>
      </c>
      <c r="E229" s="78">
        <f t="shared" si="3"/>
        <v>2.2806588222439167E-3</v>
      </c>
      <c r="F229" s="79"/>
      <c r="H229">
        <v>207</v>
      </c>
      <c r="I229">
        <v>7.6330658822243921E-2</v>
      </c>
      <c r="K229">
        <v>6.9696970283985138E-2</v>
      </c>
      <c r="L229">
        <v>6.9696970283985138E-2</v>
      </c>
      <c r="M229">
        <v>0.10606060922145844</v>
      </c>
      <c r="N229">
        <v>6.1616159975528717E-2</v>
      </c>
      <c r="O229">
        <v>8.3838380873203278E-2</v>
      </c>
      <c r="P229">
        <v>9.0909093618392944E-2</v>
      </c>
      <c r="Q229">
        <v>7.9797983169555664E-2</v>
      </c>
      <c r="R229">
        <v>8.1818178296089172E-2</v>
      </c>
      <c r="S229">
        <v>4.9494948238134384E-2</v>
      </c>
      <c r="T229">
        <v>7.2727270424365997E-2</v>
      </c>
      <c r="U229">
        <v>7.8787878155708313E-2</v>
      </c>
      <c r="V229">
        <v>5.959596112370491E-2</v>
      </c>
      <c r="W229">
        <v>7.5757578015327454E-2</v>
      </c>
      <c r="X229">
        <v>9.3939393758773804E-2</v>
      </c>
      <c r="Y229">
        <v>6.2626264989376068E-2</v>
      </c>
      <c r="Z229">
        <v>7.0707067847251892E-2</v>
      </c>
      <c r="AA229">
        <v>8.8888891041278839E-2</v>
      </c>
      <c r="AB229">
        <v>6.7676767706871033E-2</v>
      </c>
      <c r="AC229">
        <v>7.5757578015327454E-2</v>
      </c>
      <c r="AD229">
        <v>6.5656565129756927E-2</v>
      </c>
      <c r="AE229">
        <v>8.4848485887050629E-2</v>
      </c>
      <c r="AF229">
        <v>7.0707067847251892E-2</v>
      </c>
      <c r="AG229">
        <v>6.6666670143604279E-2</v>
      </c>
      <c r="AH229">
        <v>7.1717172861099243E-2</v>
      </c>
      <c r="AI229">
        <v>7.1717172861099243E-2</v>
      </c>
      <c r="AJ229">
        <v>9.3939393758773804E-2</v>
      </c>
      <c r="AK229">
        <v>7.2727270424365997E-2</v>
      </c>
      <c r="AL229">
        <v>6.8686865270137787E-2</v>
      </c>
      <c r="AM229">
        <v>0.10404040664434433</v>
      </c>
      <c r="AN229">
        <v>7.8787878155708313E-2</v>
      </c>
      <c r="AO229">
        <v>7.1717172861099243E-2</v>
      </c>
      <c r="AP229">
        <v>6.1616159975528717E-2</v>
      </c>
      <c r="AQ229">
        <v>9.5959596335887909E-2</v>
      </c>
      <c r="AR229">
        <v>8.2828283309936523E-2</v>
      </c>
      <c r="AS229">
        <v>7.6767675578594208E-2</v>
      </c>
      <c r="AT229">
        <v>9.8989896476268768E-2</v>
      </c>
      <c r="AU229">
        <v>7.6767675578594208E-2</v>
      </c>
      <c r="AV229">
        <v>8.9898988604545593E-2</v>
      </c>
      <c r="AW229">
        <v>7.5757578015327454E-2</v>
      </c>
      <c r="AX229">
        <v>9.292929619550705E-2</v>
      </c>
      <c r="AY229">
        <v>7.8787878155708313E-2</v>
      </c>
      <c r="AZ229">
        <v>7.4747473001480103E-2</v>
      </c>
      <c r="BA229">
        <v>9.292929619550705E-2</v>
      </c>
      <c r="BB229">
        <v>7.4747473001480103E-2</v>
      </c>
      <c r="BC229">
        <v>6.8686865270137787E-2</v>
      </c>
      <c r="BD229">
        <v>8.0808080732822418E-2</v>
      </c>
      <c r="BE229">
        <v>6.2626264989376068E-2</v>
      </c>
      <c r="BF229">
        <v>7.0707067847251892E-2</v>
      </c>
      <c r="BG229">
        <v>7.9797983169555664E-2</v>
      </c>
      <c r="BH229">
        <v>7.7777780592441559E-2</v>
      </c>
      <c r="BI229">
        <v>7.6767675578594208E-2</v>
      </c>
      <c r="BJ229">
        <v>5.959596112370491E-2</v>
      </c>
      <c r="BK229">
        <v>6.5656565129756927E-2</v>
      </c>
      <c r="BL229">
        <v>9.5959596335887909E-2</v>
      </c>
      <c r="BM229">
        <v>7.0707067847251892E-2</v>
      </c>
      <c r="BN229">
        <v>7.2727270424365997E-2</v>
      </c>
      <c r="BO229">
        <v>5.8585859835147858E-2</v>
      </c>
      <c r="BP229">
        <v>5.8585859835147858E-2</v>
      </c>
      <c r="BQ229">
        <v>6.6666670143604279E-2</v>
      </c>
      <c r="BR229">
        <v>6.7676767706871033E-2</v>
      </c>
      <c r="BS229">
        <v>7.0707067847251892E-2</v>
      </c>
      <c r="BT229">
        <v>8.4848485887050629E-2</v>
      </c>
      <c r="BU229">
        <v>9.6969693899154663E-2</v>
      </c>
      <c r="BV229">
        <v>7.2727270424365997E-2</v>
      </c>
      <c r="BW229">
        <v>5.6565657258033752E-2</v>
      </c>
      <c r="BX229">
        <v>7.3737375438213348E-2</v>
      </c>
      <c r="BY229">
        <v>6.3636362552642822E-2</v>
      </c>
      <c r="BZ229">
        <v>5.8585859835147858E-2</v>
      </c>
      <c r="CA229">
        <v>6.2626264989376068E-2</v>
      </c>
      <c r="CB229">
        <v>8.9898988604545593E-2</v>
      </c>
      <c r="CC229">
        <v>6.3636362552642822E-2</v>
      </c>
      <c r="CD229">
        <v>8.3838380873203278E-2</v>
      </c>
      <c r="CE229">
        <v>8.1818178296089172E-2</v>
      </c>
      <c r="CF229">
        <v>5.1515150815248489E-2</v>
      </c>
      <c r="CG229">
        <v>0.12121212482452393</v>
      </c>
      <c r="CH229">
        <v>8.7878786027431488E-2</v>
      </c>
      <c r="CI229">
        <v>7.7777780592441559E-2</v>
      </c>
      <c r="CJ229">
        <v>8.2828283309936523E-2</v>
      </c>
      <c r="CK229">
        <v>7.9797983169555664E-2</v>
      </c>
      <c r="CL229">
        <v>6.9696970283985138E-2</v>
      </c>
      <c r="CM229">
        <v>7.3737375438213348E-2</v>
      </c>
      <c r="CN229">
        <v>6.1616159975528717E-2</v>
      </c>
      <c r="CO229">
        <v>7.6767675578594208E-2</v>
      </c>
      <c r="CP229">
        <v>0.10707070678472519</v>
      </c>
      <c r="CQ229">
        <v>6.4646467566490173E-2</v>
      </c>
      <c r="CR229">
        <v>7.4747473001480103E-2</v>
      </c>
      <c r="CS229">
        <v>8.3838380873203278E-2</v>
      </c>
      <c r="CT229">
        <v>6.1616159975528717E-2</v>
      </c>
      <c r="CU229">
        <v>8.4848485887050629E-2</v>
      </c>
      <c r="CV229">
        <v>6.4646467566490173E-2</v>
      </c>
      <c r="CW229">
        <v>8.8888891041278839E-2</v>
      </c>
      <c r="CX229">
        <v>7.9797983169555664E-2</v>
      </c>
      <c r="CY229">
        <v>5.8585859835147858E-2</v>
      </c>
      <c r="CZ229">
        <v>5.55555559694767E-2</v>
      </c>
      <c r="DA229">
        <v>7.2727270424365997E-2</v>
      </c>
      <c r="DB229">
        <v>5.55555559694767E-2</v>
      </c>
      <c r="DC229">
        <v>9.6969693899154663E-2</v>
      </c>
      <c r="DD229">
        <v>5.8585859835147858E-2</v>
      </c>
      <c r="DE229">
        <v>6.0606062412261963E-2</v>
      </c>
      <c r="DF229">
        <v>8.4848485887050629E-2</v>
      </c>
      <c r="DG229">
        <v>6.7676767706871033E-2</v>
      </c>
      <c r="DH229">
        <v>9.4949491322040558E-2</v>
      </c>
      <c r="DI229">
        <v>7.7777780592441559E-2</v>
      </c>
      <c r="DJ229">
        <v>7.8787878155708313E-2</v>
      </c>
      <c r="DK229">
        <v>8.4848485887050629E-2</v>
      </c>
      <c r="DL229">
        <v>9.3939393758773804E-2</v>
      </c>
      <c r="DM229">
        <v>7.8787878155708313E-2</v>
      </c>
      <c r="DN229">
        <v>6.9696970283985138E-2</v>
      </c>
      <c r="DO229">
        <v>5.959596112370491E-2</v>
      </c>
      <c r="DP229">
        <v>6.9696970283985138E-2</v>
      </c>
      <c r="DQ229">
        <v>0.10808081179857254</v>
      </c>
      <c r="DR229">
        <v>6.9696970283985138E-2</v>
      </c>
      <c r="DS229">
        <v>9.0909093618392944E-2</v>
      </c>
      <c r="DT229">
        <v>5.3535353392362595E-2</v>
      </c>
      <c r="DU229">
        <v>7.9797983169555664E-2</v>
      </c>
      <c r="DV229">
        <v>5.0505049526691437E-2</v>
      </c>
      <c r="DW229">
        <v>6.8686865270137787E-2</v>
      </c>
      <c r="DX229">
        <v>7.3737375438213348E-2</v>
      </c>
      <c r="DY229">
        <v>8.2828283309936523E-2</v>
      </c>
      <c r="DZ229">
        <v>7.9797983169555664E-2</v>
      </c>
      <c r="EA229">
        <v>7.9797983169555664E-2</v>
      </c>
      <c r="EB229">
        <v>6.9696970283985138E-2</v>
      </c>
      <c r="EC229">
        <v>8.3838380873203278E-2</v>
      </c>
      <c r="ED229">
        <v>5.6565657258033752E-2</v>
      </c>
      <c r="EE229">
        <v>7.5757578015327454E-2</v>
      </c>
      <c r="EF229">
        <v>8.0808080732822418E-2</v>
      </c>
      <c r="EG229">
        <v>7.5757578015327454E-2</v>
      </c>
      <c r="EH229">
        <v>0.10202020406723022</v>
      </c>
      <c r="EI229">
        <v>5.8585859835147858E-2</v>
      </c>
      <c r="EJ229">
        <v>0.11717171967029572</v>
      </c>
      <c r="EK229">
        <v>9.292929619550705E-2</v>
      </c>
      <c r="EL229">
        <v>7.4747473001480103E-2</v>
      </c>
      <c r="EM229">
        <v>9.292929619550705E-2</v>
      </c>
      <c r="EN229">
        <v>4.9494948238134384E-2</v>
      </c>
      <c r="EO229">
        <v>8.9898988604545593E-2</v>
      </c>
      <c r="EP229">
        <v>5.1515150815248489E-2</v>
      </c>
      <c r="EQ229">
        <v>6.7676767706871033E-2</v>
      </c>
      <c r="ER229">
        <v>9.3939393758773804E-2</v>
      </c>
      <c r="ES229">
        <v>8.6868688464164734E-2</v>
      </c>
      <c r="ET229">
        <v>6.7676767706871033E-2</v>
      </c>
      <c r="EU229">
        <v>9.1919191181659698E-2</v>
      </c>
      <c r="EV229">
        <v>6.2626264989376068E-2</v>
      </c>
      <c r="EW229">
        <v>5.7575758546590805E-2</v>
      </c>
      <c r="EX229">
        <v>6.9696970283985138E-2</v>
      </c>
      <c r="EY229">
        <v>6.9696970283985138E-2</v>
      </c>
      <c r="EZ229">
        <v>6.6666670143604279E-2</v>
      </c>
      <c r="FA229">
        <v>7.9797983169555664E-2</v>
      </c>
      <c r="FB229">
        <v>0.10303030163049698</v>
      </c>
      <c r="FC229">
        <v>0.11919192224740982</v>
      </c>
      <c r="FD229">
        <v>8.1818178296089172E-2</v>
      </c>
      <c r="FE229">
        <v>7.3737375438213348E-2</v>
      </c>
      <c r="FF229">
        <v>6.5656565129756927E-2</v>
      </c>
      <c r="FG229">
        <v>8.7878786027431488E-2</v>
      </c>
      <c r="FH229">
        <v>6.7676767706871033E-2</v>
      </c>
      <c r="FI229">
        <v>9.7979798913002014E-2</v>
      </c>
      <c r="FJ229">
        <v>7.5757578015327454E-2</v>
      </c>
      <c r="FK229">
        <v>0.10909090936183929</v>
      </c>
      <c r="FL229">
        <v>6.9696970283985138E-2</v>
      </c>
      <c r="FM229">
        <v>8.6868688464164734E-2</v>
      </c>
      <c r="FN229">
        <v>7.6767675578594208E-2</v>
      </c>
      <c r="FO229">
        <v>5.55555559694767E-2</v>
      </c>
      <c r="FP229">
        <v>9.0909093618392944E-2</v>
      </c>
      <c r="FQ229">
        <v>7.3737375438213348E-2</v>
      </c>
      <c r="FR229">
        <v>6.0606062412261963E-2</v>
      </c>
      <c r="FS229">
        <v>8.3838380873203278E-2</v>
      </c>
      <c r="FT229">
        <v>5.4545454680919647E-2</v>
      </c>
      <c r="FU229">
        <v>0.11212120950222015</v>
      </c>
      <c r="FV229">
        <v>6.1616159975528717E-2</v>
      </c>
      <c r="FW229">
        <v>7.8787878155708313E-2</v>
      </c>
      <c r="FX229">
        <v>8.5858583450317383E-2</v>
      </c>
      <c r="FY229">
        <v>7.6767675578594208E-2</v>
      </c>
      <c r="FZ229">
        <v>7.4747473001480103E-2</v>
      </c>
      <c r="GA229">
        <v>0.1131313145160675</v>
      </c>
      <c r="GB229">
        <v>5.55555559694767E-2</v>
      </c>
      <c r="GC229">
        <v>7.7777780592441559E-2</v>
      </c>
      <c r="GD229">
        <v>7.4747473001480103E-2</v>
      </c>
      <c r="GE229">
        <v>0.10606060922145844</v>
      </c>
      <c r="GF229">
        <v>7.6767675578594208E-2</v>
      </c>
      <c r="GG229">
        <v>6.8686865270137787E-2</v>
      </c>
      <c r="GH229">
        <v>7.5757578015327454E-2</v>
      </c>
      <c r="GI229">
        <v>6.2626264989376068E-2</v>
      </c>
      <c r="GJ229">
        <v>7.7777780592441559E-2</v>
      </c>
      <c r="GK229">
        <v>6.7676767706871033E-2</v>
      </c>
      <c r="GL229">
        <v>0.10808081179857254</v>
      </c>
      <c r="GM229">
        <v>5.4545454680919647E-2</v>
      </c>
      <c r="GN229">
        <v>9.4949491322040558E-2</v>
      </c>
      <c r="GO229">
        <v>7.5757578015327454E-2</v>
      </c>
      <c r="GP229">
        <v>9.1919191181659698E-2</v>
      </c>
      <c r="GQ229">
        <v>5.959596112370491E-2</v>
      </c>
      <c r="GR229">
        <v>7.2727270424365997E-2</v>
      </c>
      <c r="GS229">
        <v>8.8888891041278839E-2</v>
      </c>
      <c r="GT229">
        <v>7.2727270424365997E-2</v>
      </c>
      <c r="GU229">
        <v>8.0808080732822418E-2</v>
      </c>
      <c r="GV229">
        <v>6.6666670143604279E-2</v>
      </c>
      <c r="GW229">
        <v>8.8888891041278839E-2</v>
      </c>
      <c r="GX229">
        <v>4.9494948238134384E-2</v>
      </c>
      <c r="GY229">
        <v>7.0707067847251892E-2</v>
      </c>
      <c r="GZ229">
        <v>7.9797983169555664E-2</v>
      </c>
      <c r="HA229">
        <v>7.4747473001480103E-2</v>
      </c>
      <c r="HB229">
        <v>7.6767675578594208E-2</v>
      </c>
      <c r="HC229">
        <v>7.4747473001480103E-2</v>
      </c>
      <c r="HD229">
        <v>7.0707067847251892E-2</v>
      </c>
      <c r="HE229">
        <v>5.708245187997818E-2</v>
      </c>
      <c r="HF229">
        <v>5.8139536529779434E-2</v>
      </c>
      <c r="HG229">
        <v>7.0824526250362396E-2</v>
      </c>
      <c r="HH229">
        <v>5.0739958882331848E-2</v>
      </c>
      <c r="HI229">
        <v>6.8710356950759888E-2</v>
      </c>
    </row>
    <row r="230" spans="4:228" x14ac:dyDescent="0.25">
      <c r="D230" s="41" t="str" cm="1">
        <f t="array" ref="D230">IF(H230="","",IF(AND(E230&lt;AVERAGE(E229,E231)*($L$19/100),$D$23:D229=""),H230,""))</f>
        <v/>
      </c>
      <c r="E230" s="78">
        <f t="shared" si="3"/>
        <v>3.1686307272372344E-3</v>
      </c>
      <c r="F230" s="79"/>
      <c r="H230">
        <v>208</v>
      </c>
      <c r="I230">
        <v>7.7218630727237239E-2</v>
      </c>
      <c r="K230">
        <v>7.0707067847251892E-2</v>
      </c>
      <c r="L230">
        <v>6.5656565129756927E-2</v>
      </c>
      <c r="M230">
        <v>6.0606062412261963E-2</v>
      </c>
      <c r="N230">
        <v>7.9797983169555664E-2</v>
      </c>
      <c r="O230">
        <v>7.4747473001480103E-2</v>
      </c>
      <c r="P230">
        <v>9.0909093618392944E-2</v>
      </c>
      <c r="Q230">
        <v>7.0707067847251892E-2</v>
      </c>
      <c r="R230">
        <v>8.7878786027431488E-2</v>
      </c>
      <c r="S230">
        <v>7.1717172861099243E-2</v>
      </c>
      <c r="T230">
        <v>6.2626264989376068E-2</v>
      </c>
      <c r="U230">
        <v>7.4747473001480103E-2</v>
      </c>
      <c r="V230">
        <v>8.3838380873203278E-2</v>
      </c>
      <c r="W230">
        <v>9.292929619550705E-2</v>
      </c>
      <c r="X230">
        <v>7.2727270424365997E-2</v>
      </c>
      <c r="Y230">
        <v>7.6767675578594208E-2</v>
      </c>
      <c r="Z230">
        <v>5.1515150815248489E-2</v>
      </c>
      <c r="AA230">
        <v>0.10101009905338287</v>
      </c>
      <c r="AB230">
        <v>7.3737375438213348E-2</v>
      </c>
      <c r="AC230">
        <v>7.5757578015327454E-2</v>
      </c>
      <c r="AD230">
        <v>4.5454546809196472E-2</v>
      </c>
      <c r="AE230">
        <v>6.5656565129756927E-2</v>
      </c>
      <c r="AF230">
        <v>9.6969693899154663E-2</v>
      </c>
      <c r="AG230">
        <v>6.8686865270137787E-2</v>
      </c>
      <c r="AH230">
        <v>7.8787878155708313E-2</v>
      </c>
      <c r="AI230">
        <v>9.1919191181659698E-2</v>
      </c>
      <c r="AJ230">
        <v>6.1616159975528717E-2</v>
      </c>
      <c r="AK230">
        <v>8.7878786027431488E-2</v>
      </c>
      <c r="AL230">
        <v>4.7474745661020279E-2</v>
      </c>
      <c r="AM230">
        <v>8.8888891041278839E-2</v>
      </c>
      <c r="AN230">
        <v>8.2828283309936523E-2</v>
      </c>
      <c r="AO230">
        <v>9.292929619550705E-2</v>
      </c>
      <c r="AP230">
        <v>7.1717172861099243E-2</v>
      </c>
      <c r="AQ230">
        <v>9.1919191181659698E-2</v>
      </c>
      <c r="AR230">
        <v>7.0707067847251892E-2</v>
      </c>
      <c r="AS230">
        <v>7.1717172861099243E-2</v>
      </c>
      <c r="AT230">
        <v>7.4747473001480103E-2</v>
      </c>
      <c r="AU230">
        <v>7.4747473001480103E-2</v>
      </c>
      <c r="AV230">
        <v>7.5757578015327454E-2</v>
      </c>
      <c r="AW230">
        <v>8.7878786027431488E-2</v>
      </c>
      <c r="AX230">
        <v>6.9696970283985138E-2</v>
      </c>
      <c r="AY230">
        <v>6.6666670143604279E-2</v>
      </c>
      <c r="AZ230">
        <v>6.3636362552642822E-2</v>
      </c>
      <c r="BA230">
        <v>7.7777780592441559E-2</v>
      </c>
      <c r="BB230">
        <v>7.3737375438213348E-2</v>
      </c>
      <c r="BC230">
        <v>7.4747473001480103E-2</v>
      </c>
      <c r="BD230">
        <v>8.5858583450317383E-2</v>
      </c>
      <c r="BE230">
        <v>8.2828283309936523E-2</v>
      </c>
      <c r="BF230">
        <v>5.8585859835147858E-2</v>
      </c>
      <c r="BG230">
        <v>6.2626264989376068E-2</v>
      </c>
      <c r="BH230">
        <v>6.9696970283985138E-2</v>
      </c>
      <c r="BI230">
        <v>6.8686865270137787E-2</v>
      </c>
      <c r="BJ230">
        <v>7.0707067847251892E-2</v>
      </c>
      <c r="BK230">
        <v>5.7575758546590805E-2</v>
      </c>
      <c r="BL230">
        <v>5.7575758546590805E-2</v>
      </c>
      <c r="BM230">
        <v>6.4646467566490173E-2</v>
      </c>
      <c r="BN230">
        <v>6.0606062412261963E-2</v>
      </c>
      <c r="BO230">
        <v>7.1717172861099243E-2</v>
      </c>
      <c r="BP230">
        <v>6.7676767706871033E-2</v>
      </c>
      <c r="BQ230">
        <v>8.3838380873203278E-2</v>
      </c>
      <c r="BR230">
        <v>6.9696970283985138E-2</v>
      </c>
      <c r="BS230">
        <v>8.1818178296089172E-2</v>
      </c>
      <c r="BT230">
        <v>8.7878786027431488E-2</v>
      </c>
      <c r="BU230">
        <v>6.7676767706871033E-2</v>
      </c>
      <c r="BV230">
        <v>0.10101009905338287</v>
      </c>
      <c r="BW230">
        <v>8.4848485887050629E-2</v>
      </c>
      <c r="BX230">
        <v>6.8686865270137787E-2</v>
      </c>
      <c r="BY230">
        <v>6.4646467566490173E-2</v>
      </c>
      <c r="BZ230">
        <v>7.8787878155708313E-2</v>
      </c>
      <c r="CA230">
        <v>6.1616159975528717E-2</v>
      </c>
      <c r="CB230">
        <v>8.6868688464164734E-2</v>
      </c>
      <c r="CC230">
        <v>6.8686865270137787E-2</v>
      </c>
      <c r="CD230">
        <v>7.5757578015327454E-2</v>
      </c>
      <c r="CE230">
        <v>8.3838380873203278E-2</v>
      </c>
      <c r="CF230">
        <v>9.3939393758773804E-2</v>
      </c>
      <c r="CG230">
        <v>0.10000000149011612</v>
      </c>
      <c r="CH230">
        <v>5.4545454680919647E-2</v>
      </c>
      <c r="CI230">
        <v>7.3737375438213348E-2</v>
      </c>
      <c r="CJ230">
        <v>8.7878786027431488E-2</v>
      </c>
      <c r="CK230">
        <v>7.6767675578594208E-2</v>
      </c>
      <c r="CL230">
        <v>6.4646467566490173E-2</v>
      </c>
      <c r="CM230">
        <v>6.4646467566490173E-2</v>
      </c>
      <c r="CN230">
        <v>9.6969693899154663E-2</v>
      </c>
      <c r="CO230">
        <v>7.8787878155708313E-2</v>
      </c>
      <c r="CP230">
        <v>6.3636362552642822E-2</v>
      </c>
      <c r="CQ230">
        <v>9.3939393758773804E-2</v>
      </c>
      <c r="CR230">
        <v>0.10505050420761108</v>
      </c>
      <c r="CS230">
        <v>6.6666670143604279E-2</v>
      </c>
      <c r="CT230">
        <v>0.12323231995105743</v>
      </c>
      <c r="CU230">
        <v>6.6666670143604279E-2</v>
      </c>
      <c r="CV230">
        <v>5.959596112370491E-2</v>
      </c>
      <c r="CW230">
        <v>8.0808080732822418E-2</v>
      </c>
      <c r="CX230">
        <v>5.6565657258033752E-2</v>
      </c>
      <c r="CY230">
        <v>9.292929619550705E-2</v>
      </c>
      <c r="CZ230">
        <v>6.9696970283985138E-2</v>
      </c>
      <c r="DA230">
        <v>7.4747473001480103E-2</v>
      </c>
      <c r="DB230">
        <v>0.10909090936183929</v>
      </c>
      <c r="DC230">
        <v>7.7777780592441559E-2</v>
      </c>
      <c r="DD230">
        <v>7.6767675578594208E-2</v>
      </c>
      <c r="DE230">
        <v>8.8888891041278839E-2</v>
      </c>
      <c r="DF230">
        <v>7.7777780592441559E-2</v>
      </c>
      <c r="DG230">
        <v>6.2626264989376068E-2</v>
      </c>
      <c r="DH230">
        <v>7.4747473001480103E-2</v>
      </c>
      <c r="DI230">
        <v>6.2626264989376068E-2</v>
      </c>
      <c r="DJ230">
        <v>8.8888891041278839E-2</v>
      </c>
      <c r="DK230">
        <v>5.4545454680919647E-2</v>
      </c>
      <c r="DL230">
        <v>7.6767675578594208E-2</v>
      </c>
      <c r="DM230">
        <v>7.2727270424365997E-2</v>
      </c>
      <c r="DN230">
        <v>7.6767675578594208E-2</v>
      </c>
      <c r="DO230">
        <v>8.2828283309936523E-2</v>
      </c>
      <c r="DP230">
        <v>7.6767675578594208E-2</v>
      </c>
      <c r="DQ230">
        <v>6.7676767706871033E-2</v>
      </c>
      <c r="DR230">
        <v>0.11818181723356247</v>
      </c>
      <c r="DS230">
        <v>8.1818178296089172E-2</v>
      </c>
      <c r="DT230">
        <v>7.2727270424365997E-2</v>
      </c>
      <c r="DU230">
        <v>6.8686865270137787E-2</v>
      </c>
      <c r="DV230">
        <v>0.12525252997875214</v>
      </c>
      <c r="DW230">
        <v>6.2626264989376068E-2</v>
      </c>
      <c r="DX230">
        <v>8.4848485887050629E-2</v>
      </c>
      <c r="DY230">
        <v>9.0909093618392944E-2</v>
      </c>
      <c r="DZ230">
        <v>9.4949491322040558E-2</v>
      </c>
      <c r="EA230">
        <v>6.0606062412261963E-2</v>
      </c>
      <c r="EB230">
        <v>7.6767675578594208E-2</v>
      </c>
      <c r="EC230">
        <v>8.9898988604545593E-2</v>
      </c>
      <c r="ED230">
        <v>8.8888891041278839E-2</v>
      </c>
      <c r="EE230">
        <v>7.0707067847251892E-2</v>
      </c>
      <c r="EF230">
        <v>0.10404040664434433</v>
      </c>
      <c r="EG230">
        <v>7.1717172861099243E-2</v>
      </c>
      <c r="EH230">
        <v>9.292929619550705E-2</v>
      </c>
      <c r="EI230">
        <v>0.11010100692510605</v>
      </c>
      <c r="EJ230">
        <v>6.8686865270137787E-2</v>
      </c>
      <c r="EK230">
        <v>9.292929619550705E-2</v>
      </c>
      <c r="EL230">
        <v>6.3636362552642822E-2</v>
      </c>
      <c r="EM230">
        <v>6.9696970283985138E-2</v>
      </c>
      <c r="EN230">
        <v>0.10303030163049698</v>
      </c>
      <c r="EO230">
        <v>8.5858583450317383E-2</v>
      </c>
      <c r="EP230">
        <v>8.7878786027431488E-2</v>
      </c>
      <c r="EQ230">
        <v>7.0707067847251892E-2</v>
      </c>
      <c r="ER230">
        <v>5.959596112370491E-2</v>
      </c>
      <c r="ES230">
        <v>5.959596112370491E-2</v>
      </c>
      <c r="ET230">
        <v>6.5656565129756927E-2</v>
      </c>
      <c r="EU230">
        <v>5.8585859835147858E-2</v>
      </c>
      <c r="EV230">
        <v>8.7878786027431488E-2</v>
      </c>
      <c r="EW230">
        <v>8.7878786027431488E-2</v>
      </c>
      <c r="EX230">
        <v>7.4747473001480103E-2</v>
      </c>
      <c r="EY230">
        <v>8.2828283309936523E-2</v>
      </c>
      <c r="EZ230">
        <v>7.9797983169555664E-2</v>
      </c>
      <c r="FA230">
        <v>8.2828283309936523E-2</v>
      </c>
      <c r="FB230">
        <v>6.8686865270137787E-2</v>
      </c>
      <c r="FC230">
        <v>7.0707067847251892E-2</v>
      </c>
      <c r="FD230">
        <v>7.2727270424365997E-2</v>
      </c>
      <c r="FE230">
        <v>0.11515151709318161</v>
      </c>
      <c r="FF230">
        <v>7.1717172861099243E-2</v>
      </c>
      <c r="FG230">
        <v>8.9898988604545593E-2</v>
      </c>
      <c r="FH230">
        <v>0.11212120950222015</v>
      </c>
      <c r="FI230">
        <v>8.4848485887050629E-2</v>
      </c>
      <c r="FJ230">
        <v>9.7979798913002014E-2</v>
      </c>
      <c r="FK230">
        <v>7.8787878155708313E-2</v>
      </c>
      <c r="FL230">
        <v>7.1717172861099243E-2</v>
      </c>
      <c r="FM230">
        <v>8.4566593170166016E-2</v>
      </c>
      <c r="FN230">
        <v>6.3424944877624512E-2</v>
      </c>
      <c r="FO230">
        <v>6.4482033252716064E-2</v>
      </c>
      <c r="FP230">
        <v>6.553911417722702E-2</v>
      </c>
      <c r="FQ230">
        <v>8.4566593170166016E-2</v>
      </c>
      <c r="FR230">
        <v>6.4482033252716064E-2</v>
      </c>
      <c r="FS230">
        <v>6.2367863953113556E-2</v>
      </c>
      <c r="FT230">
        <v>6.2367863953113556E-2</v>
      </c>
      <c r="FU230">
        <v>7.6109938323497772E-2</v>
      </c>
      <c r="FV230">
        <v>5.6025370955467224E-2</v>
      </c>
      <c r="FW230">
        <v>9.619450569152832E-2</v>
      </c>
      <c r="FX230">
        <v>7.928118109703064E-2</v>
      </c>
      <c r="FY230">
        <v>9.7251586616039276E-2</v>
      </c>
      <c r="FZ230">
        <v>6.3424944877624512E-2</v>
      </c>
      <c r="GA230">
        <v>9.19661745429039E-2</v>
      </c>
      <c r="GB230">
        <v>6.2367863953113556E-2</v>
      </c>
      <c r="GC230">
        <v>0.10465116053819656</v>
      </c>
      <c r="GD230">
        <v>6.3424944877624512E-2</v>
      </c>
      <c r="GE230">
        <v>7.5052857398986816E-2</v>
      </c>
      <c r="GF230">
        <v>9.9365748465061188E-2</v>
      </c>
      <c r="GG230">
        <v>6.2367863953113556E-2</v>
      </c>
      <c r="GH230">
        <v>6.3424944877624512E-2</v>
      </c>
      <c r="GI230">
        <v>0.11205074191093445</v>
      </c>
      <c r="GJ230">
        <v>5.6025370955467224E-2</v>
      </c>
      <c r="GK230">
        <v>9.8308667540550232E-2</v>
      </c>
      <c r="GL230">
        <v>8.773784339427948E-2</v>
      </c>
      <c r="GM230">
        <v>7.5052857398986816E-2</v>
      </c>
      <c r="GN230">
        <v>6.3424944877624512E-2</v>
      </c>
      <c r="GO230">
        <v>8.0338269472122192E-2</v>
      </c>
      <c r="GP230">
        <v>7.2938688099384308E-2</v>
      </c>
      <c r="GQ230">
        <v>7.1881607174873352E-2</v>
      </c>
      <c r="GR230">
        <v>5.0739958882331848E-2</v>
      </c>
      <c r="GS230">
        <v>6.2367863953113556E-2</v>
      </c>
      <c r="GT230">
        <v>5.919661745429039E-2</v>
      </c>
      <c r="GU230">
        <v>6.13107830286026E-2</v>
      </c>
      <c r="GV230">
        <v>7.3995769023895264E-2</v>
      </c>
      <c r="GW230">
        <v>6.553911417722702E-2</v>
      </c>
      <c r="GX230">
        <v>9.5137417316436768E-2</v>
      </c>
      <c r="GY230">
        <v>0.10253699868917465</v>
      </c>
      <c r="GZ230">
        <v>9.4080336391925812E-2</v>
      </c>
      <c r="HA230">
        <v>7.2938688099384308E-2</v>
      </c>
      <c r="HB230">
        <v>7.2938688099384308E-2</v>
      </c>
      <c r="HC230">
        <v>6.2367863953113556E-2</v>
      </c>
      <c r="HD230">
        <v>8.350951224565506E-2</v>
      </c>
      <c r="HE230">
        <v>6.0253698378801346E-2</v>
      </c>
      <c r="HF230">
        <v>8.0338269472122192E-2</v>
      </c>
      <c r="HG230">
        <v>7.928118109703064E-2</v>
      </c>
      <c r="HH230">
        <v>8.350951224565506E-2</v>
      </c>
      <c r="HI230">
        <v>6.2367863953113556E-2</v>
      </c>
      <c r="HJ230">
        <v>8.6680762469768524E-2</v>
      </c>
    </row>
    <row r="231" spans="4:228" x14ac:dyDescent="0.25">
      <c r="D231" s="41" t="str" cm="1">
        <f t="array" ref="D231">IF(H231="","",IF(AND(E231&lt;AVERAGE(E230,E232)*($L$19/100),$D$23:D230=""),H231,""))</f>
        <v/>
      </c>
      <c r="E231" s="78">
        <f t="shared" si="3"/>
        <v>2.9210009249203417E-3</v>
      </c>
      <c r="F231" s="79"/>
      <c r="H231">
        <v>209</v>
      </c>
      <c r="I231">
        <v>7.6971000924920346E-2</v>
      </c>
      <c r="K231">
        <v>7.5757578015327454E-2</v>
      </c>
      <c r="L231">
        <v>6.2626264989376068E-2</v>
      </c>
      <c r="M231">
        <v>8.3838380873203278E-2</v>
      </c>
      <c r="N231">
        <v>6.4646467566490173E-2</v>
      </c>
      <c r="O231">
        <v>8.0808080732822418E-2</v>
      </c>
      <c r="P231">
        <v>0.10000000149011612</v>
      </c>
      <c r="Q231">
        <v>7.5757578015327454E-2</v>
      </c>
      <c r="R231">
        <v>9.4949491322040558E-2</v>
      </c>
      <c r="S231">
        <v>6.7676767706871033E-2</v>
      </c>
      <c r="T231">
        <v>7.1717172861099243E-2</v>
      </c>
      <c r="U231">
        <v>7.4747473001480103E-2</v>
      </c>
      <c r="V231">
        <v>7.0707067847251892E-2</v>
      </c>
      <c r="W231">
        <v>7.7777780592441559E-2</v>
      </c>
      <c r="X231">
        <v>7.2727270424365997E-2</v>
      </c>
      <c r="Y231">
        <v>6.4646467566490173E-2</v>
      </c>
      <c r="Z231">
        <v>6.6666670143604279E-2</v>
      </c>
      <c r="AA231">
        <v>8.0808080732822418E-2</v>
      </c>
      <c r="AB231">
        <v>6.8686865270137787E-2</v>
      </c>
      <c r="AC231">
        <v>8.4848485887050629E-2</v>
      </c>
      <c r="AD231">
        <v>9.292929619550705E-2</v>
      </c>
      <c r="AE231">
        <v>7.8787878155708313E-2</v>
      </c>
      <c r="AF231">
        <v>7.0707067847251892E-2</v>
      </c>
      <c r="AG231">
        <v>5.959596112370491E-2</v>
      </c>
      <c r="AH231">
        <v>9.6969693899154663E-2</v>
      </c>
      <c r="AI231">
        <v>6.2626264989376068E-2</v>
      </c>
      <c r="AJ231">
        <v>8.4848485887050629E-2</v>
      </c>
      <c r="AK231">
        <v>7.4747473001480103E-2</v>
      </c>
      <c r="AL231">
        <v>6.1616159975528717E-2</v>
      </c>
      <c r="AM231">
        <v>5.6565657258033752E-2</v>
      </c>
      <c r="AN231">
        <v>8.8888891041278839E-2</v>
      </c>
      <c r="AO231">
        <v>6.2626264989376068E-2</v>
      </c>
      <c r="AP231">
        <v>7.1717172861099243E-2</v>
      </c>
      <c r="AQ231">
        <v>9.0909093618392944E-2</v>
      </c>
      <c r="AR231">
        <v>8.1818178296089172E-2</v>
      </c>
      <c r="AS231">
        <v>6.1616159975528717E-2</v>
      </c>
      <c r="AT231">
        <v>8.7878786027431488E-2</v>
      </c>
      <c r="AU231">
        <v>7.7777780592441559E-2</v>
      </c>
      <c r="AV231">
        <v>0.10101009905338287</v>
      </c>
      <c r="AW231">
        <v>8.2828283309936523E-2</v>
      </c>
      <c r="AX231">
        <v>8.6868688464164734E-2</v>
      </c>
      <c r="AY231">
        <v>7.4747473001480103E-2</v>
      </c>
      <c r="AZ231">
        <v>8.4848485887050629E-2</v>
      </c>
      <c r="BA231">
        <v>6.5656565129756927E-2</v>
      </c>
      <c r="BB231">
        <v>6.5656565129756927E-2</v>
      </c>
      <c r="BC231">
        <v>7.6767675578594208E-2</v>
      </c>
      <c r="BD231">
        <v>6.3636362552642822E-2</v>
      </c>
      <c r="BE231">
        <v>8.6868688464164734E-2</v>
      </c>
      <c r="BF231">
        <v>6.5656565129756927E-2</v>
      </c>
      <c r="BG231">
        <v>0.15151515603065491</v>
      </c>
      <c r="BH231">
        <v>8.4848485887050629E-2</v>
      </c>
      <c r="BI231">
        <v>7.0707067847251892E-2</v>
      </c>
      <c r="BJ231">
        <v>7.5757578015327454E-2</v>
      </c>
      <c r="BK231">
        <v>7.4747473001480103E-2</v>
      </c>
      <c r="BL231">
        <v>5.959596112370491E-2</v>
      </c>
      <c r="BM231">
        <v>7.2727270424365997E-2</v>
      </c>
      <c r="BN231">
        <v>7.1717172861099243E-2</v>
      </c>
      <c r="BO231">
        <v>8.3838380873203278E-2</v>
      </c>
      <c r="BP231">
        <v>9.292929619550705E-2</v>
      </c>
      <c r="BQ231">
        <v>7.9797983169555664E-2</v>
      </c>
      <c r="BR231">
        <v>6.3636362552642822E-2</v>
      </c>
      <c r="BS231">
        <v>7.6767675578594208E-2</v>
      </c>
      <c r="BT231">
        <v>7.1717172861099243E-2</v>
      </c>
      <c r="BU231">
        <v>6.2626264989376068E-2</v>
      </c>
      <c r="BV231">
        <v>6.3636362552642822E-2</v>
      </c>
      <c r="BW231">
        <v>6.1616159975528717E-2</v>
      </c>
      <c r="BX231">
        <v>0.10202020406723022</v>
      </c>
      <c r="BY231">
        <v>6.7676767706871033E-2</v>
      </c>
      <c r="BZ231">
        <v>6.6666670143604279E-2</v>
      </c>
      <c r="CA231">
        <v>9.6969693899154663E-2</v>
      </c>
      <c r="CB231">
        <v>6.5656565129756927E-2</v>
      </c>
      <c r="CC231">
        <v>6.3636362552642822E-2</v>
      </c>
      <c r="CD231">
        <v>7.7777780592441559E-2</v>
      </c>
      <c r="CE231">
        <v>7.3737375438213348E-2</v>
      </c>
      <c r="CF231">
        <v>6.4646467566490173E-2</v>
      </c>
      <c r="CG231">
        <v>7.5757578015327454E-2</v>
      </c>
      <c r="CH231">
        <v>7.2727270424365997E-2</v>
      </c>
      <c r="CI231">
        <v>4.8484846949577332E-2</v>
      </c>
      <c r="CJ231">
        <v>9.4949491322040558E-2</v>
      </c>
      <c r="CK231">
        <v>7.9797983169555664E-2</v>
      </c>
      <c r="CL231">
        <v>6.3636362552642822E-2</v>
      </c>
      <c r="CM231">
        <v>6.1616159975528717E-2</v>
      </c>
      <c r="CN231">
        <v>6.9696970283985138E-2</v>
      </c>
      <c r="CO231">
        <v>6.8686865270137787E-2</v>
      </c>
      <c r="CP231">
        <v>8.4848485887050629E-2</v>
      </c>
      <c r="CQ231">
        <v>5.2525252103805542E-2</v>
      </c>
      <c r="CR231">
        <v>0.10101009905338287</v>
      </c>
      <c r="CS231">
        <v>7.8787878155708313E-2</v>
      </c>
      <c r="CT231">
        <v>8.5858583450317383E-2</v>
      </c>
      <c r="CU231">
        <v>8.5858583450317383E-2</v>
      </c>
      <c r="CV231">
        <v>9.1919191181659698E-2</v>
      </c>
      <c r="CW231">
        <v>0.10101009905338287</v>
      </c>
      <c r="CX231">
        <v>7.1717172861099243E-2</v>
      </c>
      <c r="CY231">
        <v>8.0808080732822418E-2</v>
      </c>
      <c r="CZ231">
        <v>8.7878786027431488E-2</v>
      </c>
      <c r="DA231">
        <v>6.8686865270137787E-2</v>
      </c>
      <c r="DB231">
        <v>0.10505050420761108</v>
      </c>
      <c r="DC231">
        <v>9.0909093618392944E-2</v>
      </c>
      <c r="DD231">
        <v>7.2727270424365997E-2</v>
      </c>
      <c r="DE231">
        <v>8.5858583450317383E-2</v>
      </c>
      <c r="DF231">
        <v>6.4646467566490173E-2</v>
      </c>
      <c r="DG231">
        <v>0.14040404558181763</v>
      </c>
      <c r="DH231">
        <v>7.1717172861099243E-2</v>
      </c>
      <c r="DI231">
        <v>6.0606062412261963E-2</v>
      </c>
      <c r="DJ231">
        <v>8.8888891041278839E-2</v>
      </c>
      <c r="DK231">
        <v>7.3737375438213348E-2</v>
      </c>
      <c r="DL231">
        <v>9.7979798913002014E-2</v>
      </c>
      <c r="DM231">
        <v>6.5656565129756927E-2</v>
      </c>
      <c r="DN231">
        <v>7.1717172861099243E-2</v>
      </c>
      <c r="DO231">
        <v>6.8686865270137787E-2</v>
      </c>
      <c r="DP231">
        <v>6.6666670143604279E-2</v>
      </c>
      <c r="DQ231">
        <v>7.5757578015327454E-2</v>
      </c>
      <c r="DR231">
        <v>6.0606062412261963E-2</v>
      </c>
      <c r="DS231">
        <v>9.292929619550705E-2</v>
      </c>
      <c r="DT231">
        <v>5.55555559694767E-2</v>
      </c>
      <c r="DU231">
        <v>9.8308667540550232E-2</v>
      </c>
      <c r="DV231">
        <v>8.2452431321144104E-2</v>
      </c>
      <c r="DW231">
        <v>9.7251586616039276E-2</v>
      </c>
      <c r="DX231">
        <v>8.350951224565506E-2</v>
      </c>
      <c r="DY231">
        <v>8.2452431321144104E-2</v>
      </c>
      <c r="DZ231">
        <v>6.0253698378801346E-2</v>
      </c>
      <c r="EA231">
        <v>6.553911417722702E-2</v>
      </c>
      <c r="EB231">
        <v>6.0253698378801346E-2</v>
      </c>
      <c r="EC231">
        <v>6.8710356950759888E-2</v>
      </c>
      <c r="ED231">
        <v>7.928118109703064E-2</v>
      </c>
      <c r="EE231">
        <v>6.976744532585144E-2</v>
      </c>
      <c r="EF231">
        <v>6.553911417722702E-2</v>
      </c>
      <c r="EG231">
        <v>8.2452431321144104E-2</v>
      </c>
      <c r="EH231">
        <v>0.10359407961368561</v>
      </c>
      <c r="EI231">
        <v>7.928118109703064E-2</v>
      </c>
      <c r="EJ231">
        <v>7.5052857398986816E-2</v>
      </c>
      <c r="EK231">
        <v>6.3424944877624512E-2</v>
      </c>
      <c r="EL231">
        <v>5.496828630566597E-2</v>
      </c>
      <c r="EM231">
        <v>0.10253699868917465</v>
      </c>
      <c r="EN231">
        <v>7.6109938323497772E-2</v>
      </c>
      <c r="EO231">
        <v>0.12156448513269424</v>
      </c>
      <c r="EP231">
        <v>8.4566593170166016E-2</v>
      </c>
      <c r="EQ231">
        <v>7.7167019248008728E-2</v>
      </c>
      <c r="ER231">
        <v>6.8710356950759888E-2</v>
      </c>
      <c r="ES231">
        <v>0.11733615398406982</v>
      </c>
      <c r="ET231">
        <v>5.708245187997818E-2</v>
      </c>
      <c r="EU231">
        <v>8.9852005243301392E-2</v>
      </c>
      <c r="EV231">
        <v>8.6680762469768524E-2</v>
      </c>
      <c r="EW231">
        <v>6.976744532585144E-2</v>
      </c>
      <c r="EX231">
        <v>6.553911417722702E-2</v>
      </c>
      <c r="EY231">
        <v>7.8224100172519684E-2</v>
      </c>
      <c r="EZ231">
        <v>6.553911417722702E-2</v>
      </c>
      <c r="FA231">
        <v>8.2452431321144104E-2</v>
      </c>
      <c r="FB231">
        <v>7.6109938323497772E-2</v>
      </c>
      <c r="FC231">
        <v>6.13107830286026E-2</v>
      </c>
      <c r="FD231">
        <v>6.553911417722702E-2</v>
      </c>
      <c r="FE231">
        <v>0.10042282938957214</v>
      </c>
      <c r="FF231">
        <v>0.1014799177646637</v>
      </c>
      <c r="FG231">
        <v>0.1131078228354454</v>
      </c>
      <c r="FH231">
        <v>6.3424944877624512E-2</v>
      </c>
      <c r="FI231">
        <v>6.8710356950759888E-2</v>
      </c>
      <c r="FJ231">
        <v>0.10676532983779907</v>
      </c>
      <c r="FK231">
        <v>7.3995769023895264E-2</v>
      </c>
      <c r="FL231">
        <v>7.928118109703064E-2</v>
      </c>
      <c r="FM231">
        <v>7.6109938323497772E-2</v>
      </c>
      <c r="FN231">
        <v>6.976744532585144E-2</v>
      </c>
      <c r="FO231">
        <v>6.976744532585144E-2</v>
      </c>
      <c r="FP231">
        <v>8.8794924318790436E-2</v>
      </c>
      <c r="FQ231">
        <v>7.1881607174873352E-2</v>
      </c>
      <c r="FR231">
        <v>7.3995769023895264E-2</v>
      </c>
      <c r="FS231">
        <v>8.9852005243301392E-2</v>
      </c>
      <c r="FT231">
        <v>5.8139536529779434E-2</v>
      </c>
      <c r="FU231">
        <v>9.3023255467414856E-2</v>
      </c>
      <c r="FV231">
        <v>7.2938688099384308E-2</v>
      </c>
      <c r="FW231">
        <v>6.4482033252716064E-2</v>
      </c>
      <c r="FX231">
        <v>7.928118109703064E-2</v>
      </c>
      <c r="FY231">
        <v>7.0824526250362396E-2</v>
      </c>
      <c r="FZ231">
        <v>7.2938688099384308E-2</v>
      </c>
      <c r="GA231">
        <v>6.8710356950759888E-2</v>
      </c>
      <c r="GB231">
        <v>8.0338269472122192E-2</v>
      </c>
      <c r="GC231">
        <v>7.1881607174873352E-2</v>
      </c>
      <c r="GD231">
        <v>6.0253698378801346E-2</v>
      </c>
      <c r="GE231">
        <v>7.7167019248008728E-2</v>
      </c>
      <c r="GF231">
        <v>6.0253698378801346E-2</v>
      </c>
      <c r="GG231">
        <v>7.8224100172519684E-2</v>
      </c>
      <c r="GH231">
        <v>7.0824526250362396E-2</v>
      </c>
      <c r="GI231">
        <v>6.6596195101737976E-2</v>
      </c>
      <c r="GJ231">
        <v>5.2854124456644058E-2</v>
      </c>
      <c r="GK231">
        <v>9.4080336391925812E-2</v>
      </c>
      <c r="GL231">
        <v>6.8710356950759888E-2</v>
      </c>
      <c r="GM231">
        <v>8.4566593170166016E-2</v>
      </c>
      <c r="GN231">
        <v>5.496828630566597E-2</v>
      </c>
      <c r="GO231">
        <v>7.3995769023895264E-2</v>
      </c>
      <c r="GP231">
        <v>7.6109938323497772E-2</v>
      </c>
      <c r="GQ231">
        <v>6.6596195101737976E-2</v>
      </c>
      <c r="GR231">
        <v>7.1881607174873352E-2</v>
      </c>
      <c r="GS231">
        <v>7.1881607174873352E-2</v>
      </c>
      <c r="GT231">
        <v>7.928118109703064E-2</v>
      </c>
      <c r="GU231">
        <v>6.976744532585144E-2</v>
      </c>
      <c r="GV231">
        <v>8.5623681545257568E-2</v>
      </c>
      <c r="GW231">
        <v>8.5623681545257568E-2</v>
      </c>
      <c r="GX231">
        <v>9.7251586616039276E-2</v>
      </c>
      <c r="GY231">
        <v>5.8139536529779434E-2</v>
      </c>
      <c r="GZ231">
        <v>7.0824526250362396E-2</v>
      </c>
      <c r="HA231">
        <v>8.2452431321144104E-2</v>
      </c>
      <c r="HB231">
        <v>6.4482033252716064E-2</v>
      </c>
      <c r="HC231">
        <v>7.5052857398986816E-2</v>
      </c>
      <c r="HD231">
        <v>7.8224100172519684E-2</v>
      </c>
      <c r="HE231">
        <v>6.4482033252716064E-2</v>
      </c>
      <c r="HF231">
        <v>8.9852005243301392E-2</v>
      </c>
      <c r="HG231">
        <v>9.619450569152832E-2</v>
      </c>
      <c r="HH231">
        <v>6.6596195101737976E-2</v>
      </c>
      <c r="HI231">
        <v>5.8139536529779434E-2</v>
      </c>
      <c r="HJ231">
        <v>6.0253698378801346E-2</v>
      </c>
      <c r="HK231">
        <v>8.773784339427948E-2</v>
      </c>
    </row>
    <row r="232" spans="4:228" x14ac:dyDescent="0.25">
      <c r="D232" s="41" t="str" cm="1">
        <f t="array" ref="D232">IF(H232="","",IF(AND(E232&lt;AVERAGE(E231,E233)*($L$19/100),$D$23:D231=""),H232,""))</f>
        <v/>
      </c>
      <c r="E232" s="78">
        <f t="shared" si="3"/>
        <v>3.5529401237056335E-3</v>
      </c>
      <c r="F232" s="79"/>
      <c r="H232">
        <v>210</v>
      </c>
      <c r="I232">
        <v>7.7602940123705638E-2</v>
      </c>
      <c r="K232">
        <v>7.3737375438213348E-2</v>
      </c>
      <c r="L232">
        <v>9.4949491322040558E-2</v>
      </c>
      <c r="M232">
        <v>6.3636362552642822E-2</v>
      </c>
      <c r="N232">
        <v>6.7676767706871033E-2</v>
      </c>
      <c r="O232">
        <v>6.4646467566490173E-2</v>
      </c>
      <c r="P232">
        <v>8.9898988604545593E-2</v>
      </c>
      <c r="Q232">
        <v>7.3737375438213348E-2</v>
      </c>
      <c r="R232">
        <v>8.3838380873203278E-2</v>
      </c>
      <c r="S232">
        <v>8.7878786027431488E-2</v>
      </c>
      <c r="T232">
        <v>5.2525252103805542E-2</v>
      </c>
      <c r="U232">
        <v>9.3939393758773804E-2</v>
      </c>
      <c r="V232">
        <v>6.2626264989376068E-2</v>
      </c>
      <c r="W232">
        <v>6.3636362552642822E-2</v>
      </c>
      <c r="X232">
        <v>6.3636362552642822E-2</v>
      </c>
      <c r="Y232">
        <v>6.4646467566490173E-2</v>
      </c>
      <c r="Z232">
        <v>7.5757578015327454E-2</v>
      </c>
      <c r="AA232">
        <v>8.8888891041278839E-2</v>
      </c>
      <c r="AB232">
        <v>8.7878786027431488E-2</v>
      </c>
      <c r="AC232">
        <v>5.4545454680919647E-2</v>
      </c>
      <c r="AD232">
        <v>5.959596112370491E-2</v>
      </c>
      <c r="AE232">
        <v>0.11212120950222015</v>
      </c>
      <c r="AF232">
        <v>5.7575758546590805E-2</v>
      </c>
      <c r="AG232">
        <v>8.0808080732822418E-2</v>
      </c>
      <c r="AH232">
        <v>8.2828283309936523E-2</v>
      </c>
      <c r="AI232">
        <v>9.3939393758773804E-2</v>
      </c>
      <c r="AJ232">
        <v>6.4646467566490173E-2</v>
      </c>
      <c r="AK232">
        <v>0.11010100692510605</v>
      </c>
      <c r="AL232">
        <v>6.3636362552642822E-2</v>
      </c>
      <c r="AM232">
        <v>6.8686865270137787E-2</v>
      </c>
      <c r="AN232">
        <v>0.10000000149011612</v>
      </c>
      <c r="AO232">
        <v>8.4848485887050629E-2</v>
      </c>
      <c r="AP232">
        <v>7.0707067847251892E-2</v>
      </c>
      <c r="AQ232">
        <v>7.8787878155708313E-2</v>
      </c>
      <c r="AR232">
        <v>9.7979798913002014E-2</v>
      </c>
      <c r="AS232">
        <v>7.3737375438213348E-2</v>
      </c>
      <c r="AT232">
        <v>0.10202020406723022</v>
      </c>
      <c r="AU232">
        <v>6.9696970283985138E-2</v>
      </c>
      <c r="AV232">
        <v>8.4848485887050629E-2</v>
      </c>
      <c r="AW232">
        <v>6.9696970283985138E-2</v>
      </c>
      <c r="AX232">
        <v>8.9898988604545593E-2</v>
      </c>
      <c r="AY232">
        <v>5.8585859835147858E-2</v>
      </c>
      <c r="AZ232">
        <v>6.0606062412261963E-2</v>
      </c>
      <c r="BA232">
        <v>5.3535353392362595E-2</v>
      </c>
      <c r="BB232">
        <v>8.0808080732822418E-2</v>
      </c>
      <c r="BC232">
        <v>0.10808081179857254</v>
      </c>
      <c r="BD232">
        <v>6.6666670143604279E-2</v>
      </c>
      <c r="BE232">
        <v>8.4848485887050629E-2</v>
      </c>
      <c r="BF232">
        <v>0.10606060922145844</v>
      </c>
      <c r="BG232">
        <v>8.6868688464164734E-2</v>
      </c>
      <c r="BH232">
        <v>6.6666670143604279E-2</v>
      </c>
      <c r="BI232">
        <v>6.5656565129756927E-2</v>
      </c>
      <c r="BJ232">
        <v>9.292929619550705E-2</v>
      </c>
      <c r="BK232">
        <v>7.0707067847251892E-2</v>
      </c>
      <c r="BL232">
        <v>9.0909093618392944E-2</v>
      </c>
      <c r="BM232">
        <v>9.7979798913002014E-2</v>
      </c>
      <c r="BN232">
        <v>6.9696970283985138E-2</v>
      </c>
      <c r="BO232">
        <v>7.9797983169555664E-2</v>
      </c>
      <c r="BP232">
        <v>6.7676767706871033E-2</v>
      </c>
      <c r="BQ232">
        <v>8.7878786027431488E-2</v>
      </c>
      <c r="BR232">
        <v>7.7777780592441559E-2</v>
      </c>
      <c r="BS232">
        <v>6.2626264989376068E-2</v>
      </c>
      <c r="BT232">
        <v>8.9898988604545593E-2</v>
      </c>
      <c r="BU232">
        <v>7.2727270424365997E-2</v>
      </c>
      <c r="BV232">
        <v>7.7777780592441559E-2</v>
      </c>
      <c r="BW232">
        <v>6.5656565129756927E-2</v>
      </c>
      <c r="BX232">
        <v>7.9797983169555664E-2</v>
      </c>
      <c r="BY232">
        <v>0.10404040664434433</v>
      </c>
      <c r="BZ232">
        <v>7.8787878155708313E-2</v>
      </c>
      <c r="CA232">
        <v>9.4949491322040558E-2</v>
      </c>
      <c r="CB232">
        <v>8.4848485887050629E-2</v>
      </c>
      <c r="CC232">
        <v>7.1881607174873352E-2</v>
      </c>
      <c r="CD232">
        <v>9.5137417316436768E-2</v>
      </c>
      <c r="CE232">
        <v>7.6109938323497772E-2</v>
      </c>
      <c r="CF232">
        <v>8.6680762469768524E-2</v>
      </c>
      <c r="CG232">
        <v>8.4566593170166016E-2</v>
      </c>
      <c r="CH232">
        <v>0.10887949168682098</v>
      </c>
      <c r="CI232">
        <v>5.8139536529779434E-2</v>
      </c>
      <c r="CJ232">
        <v>8.350951224565506E-2</v>
      </c>
      <c r="CK232">
        <v>7.7167019248008728E-2</v>
      </c>
      <c r="CL232">
        <v>9.619450569152832E-2</v>
      </c>
      <c r="CM232">
        <v>7.2938688099384308E-2</v>
      </c>
      <c r="CN232">
        <v>6.6596195101737976E-2</v>
      </c>
      <c r="CO232">
        <v>8.9852005243301392E-2</v>
      </c>
      <c r="CP232">
        <v>6.553911417722702E-2</v>
      </c>
      <c r="CQ232">
        <v>8.350951224565506E-2</v>
      </c>
      <c r="CR232">
        <v>6.7653276026248932E-2</v>
      </c>
      <c r="CS232">
        <v>7.6109938323497772E-2</v>
      </c>
      <c r="CT232">
        <v>5.919661745429039E-2</v>
      </c>
      <c r="CU232">
        <v>9.0909093618392944E-2</v>
      </c>
      <c r="CV232">
        <v>7.5052857398986816E-2</v>
      </c>
      <c r="CW232">
        <v>5.2854124456644058E-2</v>
      </c>
      <c r="CX232">
        <v>6.6596195101737976E-2</v>
      </c>
      <c r="CY232">
        <v>7.1881607174873352E-2</v>
      </c>
      <c r="CZ232">
        <v>7.1881607174873352E-2</v>
      </c>
      <c r="DA232">
        <v>9.619450569152832E-2</v>
      </c>
      <c r="DB232">
        <v>7.7167019248008728E-2</v>
      </c>
      <c r="DC232">
        <v>7.6109938323497772E-2</v>
      </c>
      <c r="DD232">
        <v>8.9852005243301392E-2</v>
      </c>
      <c r="DE232">
        <v>0.11205074191093445</v>
      </c>
      <c r="DF232">
        <v>6.6596195101737976E-2</v>
      </c>
      <c r="DG232">
        <v>0.12579281628131866</v>
      </c>
      <c r="DH232">
        <v>6.7653276026248932E-2</v>
      </c>
      <c r="DI232">
        <v>8.1395350396633148E-2</v>
      </c>
      <c r="DJ232">
        <v>9.5137417316436768E-2</v>
      </c>
      <c r="DK232">
        <v>6.8710356950759888E-2</v>
      </c>
      <c r="DL232">
        <v>5.2854124456644058E-2</v>
      </c>
      <c r="DM232">
        <v>7.5052857398986816E-2</v>
      </c>
      <c r="DN232">
        <v>6.7653276026248932E-2</v>
      </c>
      <c r="DO232">
        <v>7.5052857398986816E-2</v>
      </c>
      <c r="DP232">
        <v>0.10782241076231003</v>
      </c>
      <c r="DQ232">
        <v>6.976744532585144E-2</v>
      </c>
      <c r="DR232">
        <v>6.8710356950759888E-2</v>
      </c>
      <c r="DS232">
        <v>6.553911417722702E-2</v>
      </c>
      <c r="DT232">
        <v>7.0824526250362396E-2</v>
      </c>
      <c r="DU232">
        <v>7.928118109703064E-2</v>
      </c>
      <c r="DV232">
        <v>8.9852005243301392E-2</v>
      </c>
      <c r="DW232">
        <v>6.13107830286026E-2</v>
      </c>
      <c r="DX232">
        <v>7.6109938323497772E-2</v>
      </c>
      <c r="DY232">
        <v>8.350951224565506E-2</v>
      </c>
      <c r="DZ232">
        <v>8.0338269472122192E-2</v>
      </c>
      <c r="EA232">
        <v>0.10042282938957214</v>
      </c>
      <c r="EB232">
        <v>6.6596195101737976E-2</v>
      </c>
      <c r="EC232">
        <v>0.13742071390151978</v>
      </c>
      <c r="ED232">
        <v>6.553911417722702E-2</v>
      </c>
      <c r="EE232">
        <v>5.708245187997818E-2</v>
      </c>
      <c r="EF232">
        <v>7.7167019248008728E-2</v>
      </c>
      <c r="EG232">
        <v>7.5052857398986816E-2</v>
      </c>
      <c r="EH232">
        <v>6.8710356950759888E-2</v>
      </c>
      <c r="EI232">
        <v>7.6109938323497772E-2</v>
      </c>
      <c r="EJ232">
        <v>6.7653276026248932E-2</v>
      </c>
      <c r="EK232">
        <v>9.7251586616039276E-2</v>
      </c>
      <c r="EL232">
        <v>8.0338269472122192E-2</v>
      </c>
      <c r="EM232">
        <v>5.3911205381155014E-2</v>
      </c>
      <c r="EN232">
        <v>7.8224100172519684E-2</v>
      </c>
      <c r="EO232">
        <v>9.8308667540550232E-2</v>
      </c>
      <c r="EP232">
        <v>0.12050739675760269</v>
      </c>
      <c r="EQ232">
        <v>0.10359407961368561</v>
      </c>
      <c r="ER232">
        <v>8.0338269472122192E-2</v>
      </c>
      <c r="ES232">
        <v>9.19661745429039E-2</v>
      </c>
      <c r="ET232">
        <v>6.4482033252716064E-2</v>
      </c>
      <c r="EU232">
        <v>6.553911417722702E-2</v>
      </c>
      <c r="EV232">
        <v>7.2938688099384308E-2</v>
      </c>
      <c r="EW232">
        <v>5.708245187997818E-2</v>
      </c>
      <c r="EX232">
        <v>7.1881607174873352E-2</v>
      </c>
      <c r="EY232">
        <v>7.7167019248008728E-2</v>
      </c>
      <c r="EZ232">
        <v>8.6680762469768524E-2</v>
      </c>
      <c r="FA232">
        <v>7.6109938323497772E-2</v>
      </c>
      <c r="FB232">
        <v>7.2938688099384308E-2</v>
      </c>
      <c r="FC232">
        <v>6.976744532585144E-2</v>
      </c>
      <c r="FD232">
        <v>6.6596195101737976E-2</v>
      </c>
      <c r="FE232">
        <v>9.0909093618392944E-2</v>
      </c>
      <c r="FF232">
        <v>4.9682874232530594E-2</v>
      </c>
      <c r="FG232">
        <v>0.10042282938957214</v>
      </c>
      <c r="FH232">
        <v>6.976744532585144E-2</v>
      </c>
      <c r="FI232">
        <v>7.0824526250362396E-2</v>
      </c>
      <c r="FJ232">
        <v>6.13107830286026E-2</v>
      </c>
      <c r="FK232">
        <v>8.5623681545257568E-2</v>
      </c>
      <c r="FL232">
        <v>5.2854124456644058E-2</v>
      </c>
      <c r="FM232">
        <v>9.0909093618392944E-2</v>
      </c>
      <c r="FN232">
        <v>7.7167019248008728E-2</v>
      </c>
      <c r="FO232">
        <v>7.1881607174873352E-2</v>
      </c>
      <c r="FP232">
        <v>8.6680762469768524E-2</v>
      </c>
      <c r="FQ232">
        <v>6.3424944877624512E-2</v>
      </c>
      <c r="FR232">
        <v>6.976744532585144E-2</v>
      </c>
      <c r="FS232">
        <v>6.553911417722702E-2</v>
      </c>
      <c r="FT232">
        <v>5.708245187997818E-2</v>
      </c>
      <c r="FU232">
        <v>0.11522198468446732</v>
      </c>
      <c r="FV232">
        <v>7.1881607174873352E-2</v>
      </c>
      <c r="FW232">
        <v>7.7167019248008728E-2</v>
      </c>
      <c r="FX232">
        <v>8.6680762469768524E-2</v>
      </c>
      <c r="FY232">
        <v>8.350951224565506E-2</v>
      </c>
      <c r="FZ232">
        <v>7.0824526250362396E-2</v>
      </c>
      <c r="GA232">
        <v>8.8794924318790436E-2</v>
      </c>
      <c r="GB232">
        <v>7.0824526250362396E-2</v>
      </c>
      <c r="GC232">
        <v>7.7167019248008728E-2</v>
      </c>
      <c r="GD232">
        <v>6.7653276026248932E-2</v>
      </c>
      <c r="GE232">
        <v>6.6596195101737976E-2</v>
      </c>
      <c r="GF232">
        <v>7.6109938323497772E-2</v>
      </c>
      <c r="GG232">
        <v>7.5052857398986816E-2</v>
      </c>
      <c r="GH232">
        <v>6.2367863953113556E-2</v>
      </c>
      <c r="GI232">
        <v>7.6109938323497772E-2</v>
      </c>
      <c r="GJ232">
        <v>7.5052857398986816E-2</v>
      </c>
      <c r="GK232">
        <v>5.6025370955467224E-2</v>
      </c>
      <c r="GL232">
        <v>7.3995769023895264E-2</v>
      </c>
      <c r="GM232">
        <v>5.919661745429039E-2</v>
      </c>
      <c r="GN232">
        <v>8.2452431321144104E-2</v>
      </c>
      <c r="GO232">
        <v>7.3995769023895264E-2</v>
      </c>
      <c r="GP232">
        <v>7.0824526250362396E-2</v>
      </c>
      <c r="GQ232">
        <v>6.2367863953113556E-2</v>
      </c>
      <c r="GR232">
        <v>9.8308667540550232E-2</v>
      </c>
      <c r="GS232">
        <v>5.6025370955467224E-2</v>
      </c>
      <c r="GT232">
        <v>6.7653276026248932E-2</v>
      </c>
      <c r="GU232">
        <v>6.13107830286026E-2</v>
      </c>
      <c r="GV232">
        <v>7.3995769023895264E-2</v>
      </c>
      <c r="GW232">
        <v>6.7653276026248932E-2</v>
      </c>
      <c r="GX232">
        <v>6.8710356950759888E-2</v>
      </c>
      <c r="GY232">
        <v>0.12050739675760269</v>
      </c>
      <c r="GZ232">
        <v>5.2854124456644058E-2</v>
      </c>
      <c r="HA232">
        <v>8.2452431321144104E-2</v>
      </c>
      <c r="HB232">
        <v>7.5052857398986816E-2</v>
      </c>
      <c r="HC232">
        <v>7.8224100172519684E-2</v>
      </c>
      <c r="HD232">
        <v>8.2452431321144104E-2</v>
      </c>
      <c r="HE232">
        <v>7.5052857398986816E-2</v>
      </c>
      <c r="HF232">
        <v>6.976744532585144E-2</v>
      </c>
      <c r="HG232">
        <v>8.1395350396633148E-2</v>
      </c>
      <c r="HH232">
        <v>8.4566593170166016E-2</v>
      </c>
      <c r="HI232">
        <v>6.7653276026248932E-2</v>
      </c>
      <c r="HJ232">
        <v>7.0824526250362396E-2</v>
      </c>
      <c r="HK232">
        <v>9.0909093618392944E-2</v>
      </c>
      <c r="HL232">
        <v>7.1881607174873352E-2</v>
      </c>
    </row>
    <row r="233" spans="4:228" x14ac:dyDescent="0.25">
      <c r="D233" s="41" t="str" cm="1">
        <f t="array" ref="D233">IF(H233="","",IF(AND(E233&lt;AVERAGE(E232,E234)*($L$19/100),$D$23:D232=""),H233,""))</f>
        <v/>
      </c>
      <c r="E233" s="78">
        <f t="shared" si="3"/>
        <v>2.0075002191755897E-3</v>
      </c>
      <c r="F233" s="79"/>
      <c r="H233">
        <v>211</v>
      </c>
      <c r="I233">
        <v>7.6057500219175594E-2</v>
      </c>
      <c r="K233">
        <v>5.6565657258033752E-2</v>
      </c>
      <c r="L233">
        <v>6.9696970283985138E-2</v>
      </c>
      <c r="M233">
        <v>8.2828283309936523E-2</v>
      </c>
      <c r="N233">
        <v>5.8585859835147858E-2</v>
      </c>
      <c r="O233">
        <v>8.6868688464164734E-2</v>
      </c>
      <c r="P233">
        <v>6.9696970283985138E-2</v>
      </c>
      <c r="Q233">
        <v>5.959596112370491E-2</v>
      </c>
      <c r="R233">
        <v>7.4747473001480103E-2</v>
      </c>
      <c r="S233">
        <v>7.5757578015327454E-2</v>
      </c>
      <c r="T233">
        <v>5.55555559694767E-2</v>
      </c>
      <c r="U233">
        <v>8.5858583450317383E-2</v>
      </c>
      <c r="V233">
        <v>6.1616159975528717E-2</v>
      </c>
      <c r="W233">
        <v>0.10202020406723022</v>
      </c>
      <c r="X233">
        <v>9.7979798913002014E-2</v>
      </c>
      <c r="Y233">
        <v>7.1717172861099243E-2</v>
      </c>
      <c r="Z233">
        <v>8.1818178296089172E-2</v>
      </c>
      <c r="AA233">
        <v>8.5858583450317383E-2</v>
      </c>
      <c r="AB233">
        <v>6.7676767706871033E-2</v>
      </c>
      <c r="AC233">
        <v>8.4848485887050629E-2</v>
      </c>
      <c r="AD233">
        <v>8.6868688464164734E-2</v>
      </c>
      <c r="AE233">
        <v>6.5656565129756927E-2</v>
      </c>
      <c r="AF233">
        <v>9.4949491322040558E-2</v>
      </c>
      <c r="AG233">
        <v>7.3737375438213348E-2</v>
      </c>
      <c r="AH233">
        <v>6.9696970283985138E-2</v>
      </c>
      <c r="AI233">
        <v>9.7979798913002014E-2</v>
      </c>
      <c r="AJ233">
        <v>6.9696970283985138E-2</v>
      </c>
      <c r="AK233">
        <v>7.0824526250362396E-2</v>
      </c>
      <c r="AL233">
        <v>9.7251586616039276E-2</v>
      </c>
      <c r="AM233">
        <v>6.3424944877624512E-2</v>
      </c>
      <c r="AN233">
        <v>0.10042282938957214</v>
      </c>
      <c r="AO233">
        <v>6.3424944877624512E-2</v>
      </c>
      <c r="AP233">
        <v>7.8224100172519684E-2</v>
      </c>
      <c r="AQ233">
        <v>7.2938688099384308E-2</v>
      </c>
      <c r="AR233">
        <v>6.13107830286026E-2</v>
      </c>
      <c r="AS233">
        <v>8.4566593170166016E-2</v>
      </c>
      <c r="AT233">
        <v>9.8308667540550232E-2</v>
      </c>
      <c r="AU233">
        <v>7.3995769023895264E-2</v>
      </c>
      <c r="AV233">
        <v>9.19661745429039E-2</v>
      </c>
      <c r="AW233">
        <v>6.976744532585144E-2</v>
      </c>
      <c r="AX233">
        <v>7.5052857398986816E-2</v>
      </c>
      <c r="AY233">
        <v>8.5623681545257568E-2</v>
      </c>
      <c r="AZ233">
        <v>9.5137417316436768E-2</v>
      </c>
      <c r="BA233">
        <v>5.6025370955467224E-2</v>
      </c>
      <c r="BB233">
        <v>6.2367863953113556E-2</v>
      </c>
      <c r="BC233">
        <v>7.1881607174873352E-2</v>
      </c>
      <c r="BD233">
        <v>6.13107830286026E-2</v>
      </c>
      <c r="BE233">
        <v>9.0909093618392944E-2</v>
      </c>
      <c r="BF233">
        <v>5.6025370955467224E-2</v>
      </c>
      <c r="BG233">
        <v>6.7653276026248932E-2</v>
      </c>
      <c r="BH233">
        <v>0.10253699868917465</v>
      </c>
      <c r="BI233">
        <v>6.553911417722702E-2</v>
      </c>
      <c r="BJ233">
        <v>8.0338269472122192E-2</v>
      </c>
      <c r="BK233">
        <v>8.1395350396633148E-2</v>
      </c>
      <c r="BL233">
        <v>6.4482033252716064E-2</v>
      </c>
      <c r="BM233">
        <v>6.0253698378801346E-2</v>
      </c>
      <c r="BN233">
        <v>6.2367863953113556E-2</v>
      </c>
      <c r="BO233">
        <v>6.4482033252716064E-2</v>
      </c>
      <c r="BP233">
        <v>7.1881607174873352E-2</v>
      </c>
      <c r="BQ233">
        <v>8.773784339427948E-2</v>
      </c>
      <c r="BR233">
        <v>6.8710356950759888E-2</v>
      </c>
      <c r="BS233">
        <v>0.11733615398406982</v>
      </c>
      <c r="BT233">
        <v>7.2938688099384308E-2</v>
      </c>
      <c r="BU233">
        <v>6.6596195101737976E-2</v>
      </c>
      <c r="BV233">
        <v>8.5623681545257568E-2</v>
      </c>
      <c r="BW233">
        <v>6.553911417722702E-2</v>
      </c>
      <c r="BX233">
        <v>9.3023255467414856E-2</v>
      </c>
      <c r="BY233">
        <v>6.8710356950759888E-2</v>
      </c>
      <c r="BZ233">
        <v>7.1881607174873352E-2</v>
      </c>
      <c r="CA233">
        <v>8.9852005243301392E-2</v>
      </c>
      <c r="CB233">
        <v>9.19661745429039E-2</v>
      </c>
      <c r="CC233">
        <v>8.0338269472122192E-2</v>
      </c>
      <c r="CD233">
        <v>8.0338269472122192E-2</v>
      </c>
      <c r="CE233">
        <v>7.1881607174873352E-2</v>
      </c>
      <c r="CF233">
        <v>6.553911417722702E-2</v>
      </c>
      <c r="CG233">
        <v>9.0909093618392944E-2</v>
      </c>
      <c r="CH233">
        <v>5.0739958882331848E-2</v>
      </c>
      <c r="CI233">
        <v>8.8794924318790436E-2</v>
      </c>
      <c r="CJ233">
        <v>8.350951224565506E-2</v>
      </c>
      <c r="CK233">
        <v>9.5137417316436768E-2</v>
      </c>
      <c r="CL233">
        <v>5.919661745429039E-2</v>
      </c>
      <c r="CM233">
        <v>8.6680762469768524E-2</v>
      </c>
      <c r="CN233">
        <v>7.8224100172519684E-2</v>
      </c>
      <c r="CO233">
        <v>7.2938688099384308E-2</v>
      </c>
      <c r="CP233">
        <v>7.0824526250362396E-2</v>
      </c>
      <c r="CQ233">
        <v>7.5052857398986816E-2</v>
      </c>
      <c r="CR233">
        <v>7.8224100172519684E-2</v>
      </c>
      <c r="CS233">
        <v>6.976744532585144E-2</v>
      </c>
      <c r="CT233">
        <v>6.0253698378801346E-2</v>
      </c>
      <c r="CU233">
        <v>9.19661745429039E-2</v>
      </c>
      <c r="CV233">
        <v>7.7167019248008728E-2</v>
      </c>
      <c r="CW233">
        <v>8.4566593170166016E-2</v>
      </c>
      <c r="CX233">
        <v>7.8224100172519684E-2</v>
      </c>
      <c r="CY233">
        <v>8.6680762469768524E-2</v>
      </c>
      <c r="CZ233">
        <v>9.19661745429039E-2</v>
      </c>
      <c r="DA233">
        <v>7.3995769023895264E-2</v>
      </c>
      <c r="DB233">
        <v>8.350951224565506E-2</v>
      </c>
      <c r="DC233">
        <v>0.10465116053819656</v>
      </c>
      <c r="DD233">
        <v>4.7568708658218384E-2</v>
      </c>
      <c r="DE233">
        <v>7.5052857398986816E-2</v>
      </c>
      <c r="DF233">
        <v>4.9682874232530594E-2</v>
      </c>
      <c r="DG233">
        <v>7.8224100172519684E-2</v>
      </c>
      <c r="DH233">
        <v>9.0909093618392944E-2</v>
      </c>
      <c r="DI233">
        <v>9.9365748465061188E-2</v>
      </c>
      <c r="DJ233">
        <v>5.708245187997818E-2</v>
      </c>
      <c r="DK233">
        <v>9.3023255467414856E-2</v>
      </c>
      <c r="DL233">
        <v>7.1881607174873352E-2</v>
      </c>
      <c r="DM233">
        <v>7.0824526250362396E-2</v>
      </c>
      <c r="DN233">
        <v>4.7568708658218384E-2</v>
      </c>
      <c r="DO233">
        <v>8.2452431321144104E-2</v>
      </c>
      <c r="DP233">
        <v>8.2452431321144104E-2</v>
      </c>
      <c r="DQ233">
        <v>6.7653276026248932E-2</v>
      </c>
      <c r="DR233">
        <v>8.6680762469768524E-2</v>
      </c>
      <c r="DS233">
        <v>9.619450569152832E-2</v>
      </c>
      <c r="DT233">
        <v>6.0253698378801346E-2</v>
      </c>
      <c r="DU233">
        <v>8.350951224565506E-2</v>
      </c>
      <c r="DV233">
        <v>7.0824526250362396E-2</v>
      </c>
      <c r="DW233">
        <v>5.708245187997818E-2</v>
      </c>
      <c r="DX233">
        <v>9.8308667540550232E-2</v>
      </c>
      <c r="DY233">
        <v>5.6025370955467224E-2</v>
      </c>
      <c r="DZ233">
        <v>6.553911417722702E-2</v>
      </c>
      <c r="EA233">
        <v>7.1881607174873352E-2</v>
      </c>
      <c r="EB233">
        <v>8.350951224565506E-2</v>
      </c>
      <c r="EC233">
        <v>7.2938688099384308E-2</v>
      </c>
      <c r="ED233">
        <v>8.6680762469768524E-2</v>
      </c>
      <c r="EE233">
        <v>0.10359407961368561</v>
      </c>
      <c r="EF233">
        <v>8.2452431321144104E-2</v>
      </c>
      <c r="EG233">
        <v>0.12579281628131866</v>
      </c>
      <c r="EH233">
        <v>6.976744532585144E-2</v>
      </c>
      <c r="EI233">
        <v>6.553911417722702E-2</v>
      </c>
      <c r="EJ233">
        <v>8.2452431321144104E-2</v>
      </c>
      <c r="EK233">
        <v>7.2938688099384308E-2</v>
      </c>
      <c r="EL233">
        <v>8.4566593170166016E-2</v>
      </c>
      <c r="EM233">
        <v>6.2367863953113556E-2</v>
      </c>
      <c r="EN233">
        <v>6.3424944877624512E-2</v>
      </c>
      <c r="EO233">
        <v>7.7167019248008728E-2</v>
      </c>
      <c r="EP233">
        <v>0.10042282938957214</v>
      </c>
      <c r="EQ233">
        <v>8.6680762469768524E-2</v>
      </c>
      <c r="ER233">
        <v>7.5052857398986816E-2</v>
      </c>
      <c r="ES233">
        <v>8.4566593170166016E-2</v>
      </c>
      <c r="ET233">
        <v>7.1881607174873352E-2</v>
      </c>
      <c r="EU233">
        <v>7.3995769023895264E-2</v>
      </c>
      <c r="EV233">
        <v>5.708245187997818E-2</v>
      </c>
      <c r="EW233">
        <v>5.6025370955467224E-2</v>
      </c>
      <c r="EX233">
        <v>6.0253698378801346E-2</v>
      </c>
      <c r="EY233">
        <v>6.4482033252716064E-2</v>
      </c>
      <c r="EZ233">
        <v>6.553911417722702E-2</v>
      </c>
      <c r="FA233">
        <v>9.3023255467414856E-2</v>
      </c>
      <c r="FB233">
        <v>7.928118109703064E-2</v>
      </c>
      <c r="FC233">
        <v>6.2367863953113556E-2</v>
      </c>
      <c r="FD233">
        <v>6.7653276026248932E-2</v>
      </c>
      <c r="FE233">
        <v>7.5052857398986816E-2</v>
      </c>
      <c r="FF233">
        <v>8.0338269472122192E-2</v>
      </c>
      <c r="FG233">
        <v>8.0338269472122192E-2</v>
      </c>
      <c r="FH233">
        <v>6.976744532585144E-2</v>
      </c>
      <c r="FI233">
        <v>7.5052857398986816E-2</v>
      </c>
      <c r="FJ233">
        <v>0.1014799177646637</v>
      </c>
      <c r="FK233">
        <v>8.773784339427948E-2</v>
      </c>
      <c r="FL233">
        <v>7.0824526250362396E-2</v>
      </c>
      <c r="FM233">
        <v>6.3424944877624512E-2</v>
      </c>
      <c r="FN233">
        <v>6.13107830286026E-2</v>
      </c>
      <c r="FO233">
        <v>9.4080336391925812E-2</v>
      </c>
      <c r="FP233">
        <v>5.708245187997818E-2</v>
      </c>
      <c r="FQ233">
        <v>5.8139536529779434E-2</v>
      </c>
      <c r="FR233">
        <v>7.2938688099384308E-2</v>
      </c>
      <c r="FS233">
        <v>4.8625793308019638E-2</v>
      </c>
      <c r="FT233">
        <v>7.5052857398986816E-2</v>
      </c>
      <c r="FU233">
        <v>8.6680762469768524E-2</v>
      </c>
      <c r="FV233">
        <v>5.919661745429039E-2</v>
      </c>
      <c r="FW233">
        <v>9.619450569152832E-2</v>
      </c>
      <c r="FX233">
        <v>8.5623681545257568E-2</v>
      </c>
      <c r="FY233">
        <v>8.350951224565506E-2</v>
      </c>
      <c r="FZ233">
        <v>6.0253698378801346E-2</v>
      </c>
      <c r="GA233">
        <v>6.8710356950759888E-2</v>
      </c>
      <c r="GB233">
        <v>7.1881607174873352E-2</v>
      </c>
      <c r="GC233">
        <v>7.8224100172519684E-2</v>
      </c>
      <c r="GD233">
        <v>6.8710356950759888E-2</v>
      </c>
      <c r="GE233">
        <v>8.9852005243301392E-2</v>
      </c>
      <c r="GF233">
        <v>8.0338269472122192E-2</v>
      </c>
      <c r="GG233">
        <v>8.0338269472122192E-2</v>
      </c>
      <c r="GH233">
        <v>8.1395350396633148E-2</v>
      </c>
      <c r="GI233">
        <v>6.0253698378801346E-2</v>
      </c>
      <c r="GJ233">
        <v>5.6025370955467224E-2</v>
      </c>
      <c r="GK233">
        <v>9.7251586616039276E-2</v>
      </c>
      <c r="GL233">
        <v>8.4566593170166016E-2</v>
      </c>
      <c r="GM233">
        <v>7.5052857398986816E-2</v>
      </c>
      <c r="GN233">
        <v>7.5052857398986816E-2</v>
      </c>
      <c r="GO233">
        <v>5.8139536529779434E-2</v>
      </c>
      <c r="GP233">
        <v>5.8139536529779434E-2</v>
      </c>
      <c r="GQ233">
        <v>8.2452431321144104E-2</v>
      </c>
      <c r="GR233">
        <v>6.553911417722702E-2</v>
      </c>
      <c r="GS233">
        <v>9.619450569152832E-2</v>
      </c>
      <c r="GT233">
        <v>8.0338269472122192E-2</v>
      </c>
      <c r="GU233">
        <v>7.1881607174873352E-2</v>
      </c>
      <c r="GV233">
        <v>7.928118109703064E-2</v>
      </c>
      <c r="GW233">
        <v>7.5052857398986816E-2</v>
      </c>
      <c r="GX233">
        <v>8.1395350396633148E-2</v>
      </c>
      <c r="GY233">
        <v>8.9852005243301392E-2</v>
      </c>
      <c r="GZ233">
        <v>6.553911417722702E-2</v>
      </c>
      <c r="HA233">
        <v>7.7167019248008728E-2</v>
      </c>
      <c r="HB233">
        <v>6.8710356950759888E-2</v>
      </c>
      <c r="HC233">
        <v>5.708245187997818E-2</v>
      </c>
      <c r="HD233">
        <v>7.6109938323497772E-2</v>
      </c>
      <c r="HE233">
        <v>6.4482033252716064E-2</v>
      </c>
      <c r="HF233">
        <v>7.0824526250362396E-2</v>
      </c>
      <c r="HG233">
        <v>6.7653276026248932E-2</v>
      </c>
      <c r="HH233">
        <v>7.7167019248008728E-2</v>
      </c>
      <c r="HI233">
        <v>6.0253698378801346E-2</v>
      </c>
      <c r="HJ233">
        <v>9.4080336391925812E-2</v>
      </c>
      <c r="HK233">
        <v>6.3424944877624512E-2</v>
      </c>
      <c r="HL233">
        <v>0.10253699868917465</v>
      </c>
      <c r="HM233">
        <v>6.2367863953113556E-2</v>
      </c>
    </row>
    <row r="234" spans="4:228" x14ac:dyDescent="0.25">
      <c r="D234" s="41" t="str" cm="1">
        <f t="array" ref="D234">IF(H234="","",IF(AND(E234&lt;AVERAGE(E233,E235)*($L$19/100),$D$23:D233=""),H234,""))</f>
        <v/>
      </c>
      <c r="E234" s="78">
        <f t="shared" si="3"/>
        <v>3.7844628348384229E-3</v>
      </c>
      <c r="F234" s="79"/>
      <c r="H234">
        <v>212</v>
      </c>
      <c r="I234">
        <v>7.7834462834838428E-2</v>
      </c>
      <c r="K234">
        <v>7.1881607174873352E-2</v>
      </c>
      <c r="L234">
        <v>5.708245187997818E-2</v>
      </c>
      <c r="M234">
        <v>7.2938688099384308E-2</v>
      </c>
      <c r="N234">
        <v>8.6680762469768524E-2</v>
      </c>
      <c r="O234">
        <v>6.13107830286026E-2</v>
      </c>
      <c r="P234">
        <v>9.5137417316436768E-2</v>
      </c>
      <c r="Q234">
        <v>9.19661745429039E-2</v>
      </c>
      <c r="R234">
        <v>7.5052857398986816E-2</v>
      </c>
      <c r="S234">
        <v>5.8139536529779434E-2</v>
      </c>
      <c r="T234">
        <v>0.15010571479797363</v>
      </c>
      <c r="U234">
        <v>8.6680762469768524E-2</v>
      </c>
      <c r="V234">
        <v>6.13107830286026E-2</v>
      </c>
      <c r="W234">
        <v>9.5137417316436768E-2</v>
      </c>
      <c r="X234">
        <v>6.553911417722702E-2</v>
      </c>
      <c r="Y234">
        <v>0.10253699868917465</v>
      </c>
      <c r="Z234">
        <v>6.13107830286026E-2</v>
      </c>
      <c r="AA234">
        <v>8.4566593170166016E-2</v>
      </c>
      <c r="AB234">
        <v>7.8224100172519684E-2</v>
      </c>
      <c r="AC234">
        <v>8.2452431321144104E-2</v>
      </c>
      <c r="AD234">
        <v>6.2367863953113556E-2</v>
      </c>
      <c r="AE234">
        <v>9.8308667540550232E-2</v>
      </c>
      <c r="AF234">
        <v>6.4482033252716064E-2</v>
      </c>
      <c r="AG234">
        <v>5.2854124456644058E-2</v>
      </c>
      <c r="AH234">
        <v>6.8710356950759888E-2</v>
      </c>
      <c r="AI234">
        <v>0.10993657261133194</v>
      </c>
      <c r="AJ234">
        <v>5.6025370955467224E-2</v>
      </c>
      <c r="AK234">
        <v>0.12579281628131866</v>
      </c>
      <c r="AL234">
        <v>8.1395350396633148E-2</v>
      </c>
      <c r="AM234">
        <v>5.8139536529779434E-2</v>
      </c>
      <c r="AN234">
        <v>0.12684988975524902</v>
      </c>
      <c r="AO234">
        <v>5.496828630566597E-2</v>
      </c>
      <c r="AP234">
        <v>8.5623681545257568E-2</v>
      </c>
      <c r="AQ234">
        <v>7.0824526250362396E-2</v>
      </c>
      <c r="AR234">
        <v>6.13107830286026E-2</v>
      </c>
      <c r="AS234">
        <v>7.1881607174873352E-2</v>
      </c>
      <c r="AT234">
        <v>6.4482033252716064E-2</v>
      </c>
      <c r="AU234">
        <v>8.0338269472122192E-2</v>
      </c>
      <c r="AV234">
        <v>7.6109938323497772E-2</v>
      </c>
      <c r="AW234">
        <v>4.9682874232530594E-2</v>
      </c>
      <c r="AX234">
        <v>7.0824526250362396E-2</v>
      </c>
      <c r="AY234">
        <v>7.0824526250362396E-2</v>
      </c>
      <c r="AZ234">
        <v>7.7167019248008728E-2</v>
      </c>
      <c r="BA234">
        <v>6.976744532585144E-2</v>
      </c>
      <c r="BB234">
        <v>6.13107830286026E-2</v>
      </c>
      <c r="BC234">
        <v>7.928118109703064E-2</v>
      </c>
      <c r="BD234">
        <v>6.6596195101737976E-2</v>
      </c>
      <c r="BE234">
        <v>8.350951224565506E-2</v>
      </c>
      <c r="BF234">
        <v>8.1395350396633148E-2</v>
      </c>
      <c r="BG234">
        <v>8.0338269472122192E-2</v>
      </c>
      <c r="BH234">
        <v>6.8710356950759888E-2</v>
      </c>
      <c r="BI234">
        <v>8.9852005243301392E-2</v>
      </c>
      <c r="BJ234">
        <v>7.2938688099384308E-2</v>
      </c>
      <c r="BK234">
        <v>9.9365748465061188E-2</v>
      </c>
      <c r="BL234">
        <v>6.8710356950759888E-2</v>
      </c>
      <c r="BM234">
        <v>8.4566593170166016E-2</v>
      </c>
      <c r="BN234">
        <v>0.12050739675760269</v>
      </c>
      <c r="BO234">
        <v>6.8710356950759888E-2</v>
      </c>
      <c r="BP234">
        <v>7.0824526250362396E-2</v>
      </c>
      <c r="BQ234">
        <v>8.350951224565506E-2</v>
      </c>
      <c r="BR234">
        <v>7.1881607174873352E-2</v>
      </c>
      <c r="BS234">
        <v>6.976744532585144E-2</v>
      </c>
      <c r="BT234">
        <v>8.350951224565506E-2</v>
      </c>
      <c r="BU234">
        <v>5.8139536529779434E-2</v>
      </c>
      <c r="BV234">
        <v>0.11839323490858078</v>
      </c>
      <c r="BW234">
        <v>0.11522198468446732</v>
      </c>
      <c r="BX234">
        <v>9.19661745429039E-2</v>
      </c>
      <c r="BY234">
        <v>7.0824526250362396E-2</v>
      </c>
      <c r="BZ234">
        <v>8.1395350396633148E-2</v>
      </c>
      <c r="CA234">
        <v>5.919661745429039E-2</v>
      </c>
      <c r="CB234">
        <v>7.0824526250362396E-2</v>
      </c>
      <c r="CC234">
        <v>8.4566593170166016E-2</v>
      </c>
      <c r="CD234">
        <v>6.13107830286026E-2</v>
      </c>
      <c r="CE234">
        <v>6.6596195101737976E-2</v>
      </c>
      <c r="CF234">
        <v>9.3023255467414856E-2</v>
      </c>
      <c r="CG234">
        <v>8.0338269472122192E-2</v>
      </c>
      <c r="CH234">
        <v>8.9852005243301392E-2</v>
      </c>
      <c r="CI234">
        <v>8.5623681545257568E-2</v>
      </c>
      <c r="CJ234">
        <v>5.8139536529779434E-2</v>
      </c>
      <c r="CK234">
        <v>7.5052857398986816E-2</v>
      </c>
      <c r="CL234">
        <v>5.919661745429039E-2</v>
      </c>
      <c r="CM234">
        <v>7.928118109703064E-2</v>
      </c>
      <c r="CN234">
        <v>7.0824526250362396E-2</v>
      </c>
      <c r="CO234">
        <v>0.1014799177646637</v>
      </c>
      <c r="CP234">
        <v>9.619450569152832E-2</v>
      </c>
      <c r="CQ234">
        <v>5.6025370955467224E-2</v>
      </c>
      <c r="CR234">
        <v>8.350951224565506E-2</v>
      </c>
      <c r="CS234">
        <v>6.13107830286026E-2</v>
      </c>
      <c r="CT234">
        <v>8.1395350396633148E-2</v>
      </c>
      <c r="CU234">
        <v>8.6680762469768524E-2</v>
      </c>
      <c r="CV234">
        <v>7.0824526250362396E-2</v>
      </c>
      <c r="CW234">
        <v>8.4566593170166016E-2</v>
      </c>
      <c r="CX234">
        <v>6.0253698378801346E-2</v>
      </c>
      <c r="CY234">
        <v>9.9365748465061188E-2</v>
      </c>
      <c r="CZ234">
        <v>8.1395350396633148E-2</v>
      </c>
      <c r="DA234">
        <v>7.928118109703064E-2</v>
      </c>
      <c r="DB234">
        <v>5.708245187997818E-2</v>
      </c>
      <c r="DC234">
        <v>8.6680762469768524E-2</v>
      </c>
      <c r="DD234">
        <v>5.3911205381155014E-2</v>
      </c>
      <c r="DE234">
        <v>0.10676532983779907</v>
      </c>
      <c r="DF234">
        <v>7.7167019248008728E-2</v>
      </c>
      <c r="DG234">
        <v>7.0824526250362396E-2</v>
      </c>
      <c r="DH234">
        <v>7.7167019248008728E-2</v>
      </c>
      <c r="DI234">
        <v>6.8710356950759888E-2</v>
      </c>
      <c r="DJ234">
        <v>6.8710356950759888E-2</v>
      </c>
      <c r="DK234">
        <v>6.553911417722702E-2</v>
      </c>
      <c r="DL234">
        <v>6.6596195101737976E-2</v>
      </c>
      <c r="DM234">
        <v>6.553911417722702E-2</v>
      </c>
      <c r="DN234">
        <v>5.8139536529779434E-2</v>
      </c>
      <c r="DO234">
        <v>0.10042282938957214</v>
      </c>
      <c r="DP234">
        <v>8.5623681545257568E-2</v>
      </c>
      <c r="DQ234">
        <v>0.10253699868917465</v>
      </c>
      <c r="DR234">
        <v>6.553911417722702E-2</v>
      </c>
      <c r="DS234">
        <v>0.11416490375995636</v>
      </c>
      <c r="DT234">
        <v>4.9682874232530594E-2</v>
      </c>
      <c r="DU234">
        <v>9.7251586616039276E-2</v>
      </c>
      <c r="DV234">
        <v>7.6109938323497772E-2</v>
      </c>
      <c r="DW234">
        <v>6.976744532585144E-2</v>
      </c>
      <c r="DX234">
        <v>5.6025370955467224E-2</v>
      </c>
      <c r="DY234">
        <v>7.928118109703064E-2</v>
      </c>
      <c r="DZ234">
        <v>6.6596195101737976E-2</v>
      </c>
      <c r="EA234">
        <v>6.3424944877624512E-2</v>
      </c>
      <c r="EB234">
        <v>6.976744532585144E-2</v>
      </c>
      <c r="EC234">
        <v>0.10782241076231003</v>
      </c>
      <c r="ED234">
        <v>5.3911205381155014E-2</v>
      </c>
      <c r="EE234">
        <v>7.2938688099384308E-2</v>
      </c>
      <c r="EF234">
        <v>6.7653276026248932E-2</v>
      </c>
      <c r="EG234">
        <v>0.10042282938957214</v>
      </c>
      <c r="EH234">
        <v>7.1881607174873352E-2</v>
      </c>
      <c r="EI234">
        <v>8.5623681545257568E-2</v>
      </c>
      <c r="EJ234">
        <v>6.13107830286026E-2</v>
      </c>
      <c r="EK234">
        <v>5.6025370955467224E-2</v>
      </c>
      <c r="EL234">
        <v>0.11839323490858078</v>
      </c>
      <c r="EM234">
        <v>7.1881607174873352E-2</v>
      </c>
      <c r="EN234">
        <v>0.10465116053819656</v>
      </c>
      <c r="EO234">
        <v>9.4080336391925812E-2</v>
      </c>
      <c r="EP234">
        <v>8.773784339427948E-2</v>
      </c>
      <c r="EQ234">
        <v>6.6596195101737976E-2</v>
      </c>
      <c r="ER234">
        <v>8.6680762469768524E-2</v>
      </c>
      <c r="ES234">
        <v>8.2452431321144104E-2</v>
      </c>
      <c r="ET234">
        <v>6.8710356950759888E-2</v>
      </c>
      <c r="EU234">
        <v>7.5052857398986816E-2</v>
      </c>
      <c r="EV234">
        <v>6.6596195101737976E-2</v>
      </c>
      <c r="EW234">
        <v>6.0253698378801346E-2</v>
      </c>
      <c r="EX234">
        <v>6.0253698378801346E-2</v>
      </c>
      <c r="EY234">
        <v>9.619450569152832E-2</v>
      </c>
      <c r="EZ234">
        <v>0.10042282938957214</v>
      </c>
      <c r="FA234">
        <v>8.0338269472122192E-2</v>
      </c>
      <c r="FB234">
        <v>7.5052857398986816E-2</v>
      </c>
      <c r="FC234">
        <v>0.10359407961368561</v>
      </c>
      <c r="FD234">
        <v>6.3424944877624512E-2</v>
      </c>
      <c r="FE234">
        <v>8.6680762469768524E-2</v>
      </c>
      <c r="FF234">
        <v>6.8710356950759888E-2</v>
      </c>
      <c r="FG234">
        <v>5.919661745429039E-2</v>
      </c>
      <c r="FH234">
        <v>7.2938688099384308E-2</v>
      </c>
      <c r="FI234">
        <v>6.0253698378801346E-2</v>
      </c>
      <c r="FJ234">
        <v>0.1226215660572052</v>
      </c>
      <c r="FK234">
        <v>7.8224100172519684E-2</v>
      </c>
      <c r="FL234">
        <v>5.919661745429039E-2</v>
      </c>
      <c r="FM234">
        <v>9.8308667540550232E-2</v>
      </c>
      <c r="FN234">
        <v>7.928118109703064E-2</v>
      </c>
      <c r="FO234">
        <v>7.928118109703064E-2</v>
      </c>
      <c r="FP234">
        <v>5.6025370955467224E-2</v>
      </c>
      <c r="FQ234">
        <v>7.5052857398986816E-2</v>
      </c>
      <c r="FR234">
        <v>6.7653276026248932E-2</v>
      </c>
      <c r="FS234">
        <v>0.11099366098642349</v>
      </c>
      <c r="FT234">
        <v>5.3911205381155014E-2</v>
      </c>
      <c r="FU234">
        <v>9.4080336391925812E-2</v>
      </c>
      <c r="FV234">
        <v>6.8710356950759888E-2</v>
      </c>
      <c r="FW234">
        <v>8.773784339427948E-2</v>
      </c>
      <c r="FX234">
        <v>5.919661745429039E-2</v>
      </c>
      <c r="FY234">
        <v>5.8139536529779434E-2</v>
      </c>
      <c r="FZ234">
        <v>7.7167019248008728E-2</v>
      </c>
      <c r="GA234">
        <v>9.19661745429039E-2</v>
      </c>
      <c r="GB234">
        <v>7.1881607174873352E-2</v>
      </c>
      <c r="GC234">
        <v>6.8710356950759888E-2</v>
      </c>
      <c r="GD234">
        <v>6.2367863953113556E-2</v>
      </c>
      <c r="GE234">
        <v>7.3995769023895264E-2</v>
      </c>
      <c r="GF234">
        <v>7.5052857398986816E-2</v>
      </c>
      <c r="GG234">
        <v>6.0253698378801346E-2</v>
      </c>
      <c r="GH234">
        <v>9.0909093618392944E-2</v>
      </c>
      <c r="GI234">
        <v>4.3340381234884262E-2</v>
      </c>
      <c r="GJ234">
        <v>9.9365748465061188E-2</v>
      </c>
      <c r="GK234">
        <v>5.1797039806842804E-2</v>
      </c>
      <c r="GL234">
        <v>0.14164905250072479</v>
      </c>
      <c r="GM234">
        <v>5.2854124456644058E-2</v>
      </c>
      <c r="GN234">
        <v>6.13107830286026E-2</v>
      </c>
      <c r="GO234">
        <v>6.0253698378801346E-2</v>
      </c>
      <c r="GP234">
        <v>8.1395350396633148E-2</v>
      </c>
      <c r="GQ234">
        <v>6.4482033252716064E-2</v>
      </c>
      <c r="GR234">
        <v>9.619450569152832E-2</v>
      </c>
      <c r="GS234">
        <v>7.0824526250362396E-2</v>
      </c>
      <c r="GT234">
        <v>8.4566593170166016E-2</v>
      </c>
      <c r="GU234">
        <v>5.2854124456644058E-2</v>
      </c>
      <c r="GV234">
        <v>6.3424944877624512E-2</v>
      </c>
      <c r="GW234">
        <v>8.7486155331134796E-2</v>
      </c>
      <c r="GX234">
        <v>8.0841638147830963E-2</v>
      </c>
      <c r="GY234">
        <v>6.7552603781223297E-2</v>
      </c>
      <c r="GZ234">
        <v>8.416389673948288E-2</v>
      </c>
      <c r="HA234">
        <v>0.12070874869823456</v>
      </c>
      <c r="HB234">
        <v>6.4230345189571381E-2</v>
      </c>
      <c r="HC234">
        <v>6.4230345189571381E-2</v>
      </c>
      <c r="HD234">
        <v>0.10852713137865067</v>
      </c>
      <c r="HE234">
        <v>7.973422110080719E-2</v>
      </c>
      <c r="HF234">
        <v>6.312292069196701E-2</v>
      </c>
      <c r="HG234">
        <v>0.1428571492433548</v>
      </c>
      <c r="HH234">
        <v>7.3089703917503357E-2</v>
      </c>
      <c r="HI234">
        <v>7.419712096452713E-2</v>
      </c>
      <c r="HJ234">
        <v>6.0908082872629166E-2</v>
      </c>
      <c r="HK234">
        <v>9.7452931106090546E-2</v>
      </c>
      <c r="HL234">
        <v>6.312292069196701E-2</v>
      </c>
      <c r="HM234">
        <v>9.5238097012042999E-2</v>
      </c>
      <c r="HN234">
        <v>5.7585824280977249E-2</v>
      </c>
    </row>
    <row r="235" spans="4:228" x14ac:dyDescent="0.25">
      <c r="D235" s="41" t="str" cm="1">
        <f t="array" ref="D235">IF(H235="","",IF(AND(E235&lt;AVERAGE(E234,E236)*($L$19/100),$D$23:D234=""),H235,""))</f>
        <v/>
      </c>
      <c r="E235" s="78">
        <f t="shared" ref="E235:E298" si="4">IF(H235="","",ABS(I235-$G$19))</f>
        <v>2.729918718925653E-3</v>
      </c>
      <c r="F235" s="79"/>
      <c r="H235">
        <v>213</v>
      </c>
      <c r="I235">
        <v>7.6779918718925658E-2</v>
      </c>
      <c r="K235">
        <v>6.8710356950759888E-2</v>
      </c>
      <c r="L235">
        <v>7.6109938323497772E-2</v>
      </c>
      <c r="M235">
        <v>8.5623681545257568E-2</v>
      </c>
      <c r="N235">
        <v>8.8794924318790436E-2</v>
      </c>
      <c r="O235">
        <v>0.1131078228354454</v>
      </c>
      <c r="P235">
        <v>6.8710356950759888E-2</v>
      </c>
      <c r="Q235">
        <v>9.3023255467414856E-2</v>
      </c>
      <c r="R235">
        <v>6.2367863953113556E-2</v>
      </c>
      <c r="S235">
        <v>8.1395350396633148E-2</v>
      </c>
      <c r="T235">
        <v>6.2367863953113556E-2</v>
      </c>
      <c r="U235">
        <v>8.0338269472122192E-2</v>
      </c>
      <c r="V235">
        <v>7.7167019248008728E-2</v>
      </c>
      <c r="W235">
        <v>6.6596195101737976E-2</v>
      </c>
      <c r="X235">
        <v>6.13107830286026E-2</v>
      </c>
      <c r="Y235">
        <v>6.13107830286026E-2</v>
      </c>
      <c r="Z235">
        <v>6.7653276026248932E-2</v>
      </c>
      <c r="AA235">
        <v>9.3023255467414856E-2</v>
      </c>
      <c r="AB235">
        <v>8.2452431321144104E-2</v>
      </c>
      <c r="AC235">
        <v>7.6109938323497772E-2</v>
      </c>
      <c r="AD235">
        <v>5.6025370955467224E-2</v>
      </c>
      <c r="AE235">
        <v>8.9852005243301392E-2</v>
      </c>
      <c r="AF235">
        <v>8.9852005243301392E-2</v>
      </c>
      <c r="AG235">
        <v>7.5052857398986816E-2</v>
      </c>
      <c r="AH235">
        <v>7.2938688099384308E-2</v>
      </c>
      <c r="AI235">
        <v>8.350951224565506E-2</v>
      </c>
      <c r="AJ235">
        <v>6.0253698378801346E-2</v>
      </c>
      <c r="AK235">
        <v>6.8710356950759888E-2</v>
      </c>
      <c r="AL235">
        <v>6.8710356950759888E-2</v>
      </c>
      <c r="AM235">
        <v>7.8224100172519684E-2</v>
      </c>
      <c r="AN235">
        <v>8.0338269472122192E-2</v>
      </c>
      <c r="AO235">
        <v>7.6109938323497772E-2</v>
      </c>
      <c r="AP235">
        <v>7.2938688099384308E-2</v>
      </c>
      <c r="AQ235">
        <v>7.6109938323497772E-2</v>
      </c>
      <c r="AR235">
        <v>6.976744532585144E-2</v>
      </c>
      <c r="AS235">
        <v>8.350951224565506E-2</v>
      </c>
      <c r="AT235">
        <v>7.1881607174873352E-2</v>
      </c>
      <c r="AU235">
        <v>6.976744532585144E-2</v>
      </c>
      <c r="AV235">
        <v>7.8224100172519684E-2</v>
      </c>
      <c r="AW235">
        <v>0.12367864698171616</v>
      </c>
      <c r="AX235">
        <v>7.6109938323497772E-2</v>
      </c>
      <c r="AY235">
        <v>8.2452431321144104E-2</v>
      </c>
      <c r="AZ235">
        <v>0.13636364042758942</v>
      </c>
      <c r="BA235">
        <v>4.9682874232530594E-2</v>
      </c>
      <c r="BB235">
        <v>7.8224100172519684E-2</v>
      </c>
      <c r="BC235">
        <v>6.8710356950759888E-2</v>
      </c>
      <c r="BD235">
        <v>5.919661745429039E-2</v>
      </c>
      <c r="BE235">
        <v>6.2367863953113556E-2</v>
      </c>
      <c r="BF235">
        <v>8.0338269472122192E-2</v>
      </c>
      <c r="BG235">
        <v>8.8794924318790436E-2</v>
      </c>
      <c r="BH235">
        <v>6.553911417722702E-2</v>
      </c>
      <c r="BI235">
        <v>6.13107830286026E-2</v>
      </c>
      <c r="BJ235">
        <v>6.2367863953113556E-2</v>
      </c>
      <c r="BK235">
        <v>8.350951224565506E-2</v>
      </c>
      <c r="BL235">
        <v>8.773784339427948E-2</v>
      </c>
      <c r="BM235">
        <v>8.8794924318790436E-2</v>
      </c>
      <c r="BN235">
        <v>6.976744532585144E-2</v>
      </c>
      <c r="BO235">
        <v>9.19661745429039E-2</v>
      </c>
      <c r="BP235">
        <v>7.5052857398986816E-2</v>
      </c>
      <c r="BQ235">
        <v>0.11839323490858078</v>
      </c>
      <c r="BR235">
        <v>0.13742071390151978</v>
      </c>
      <c r="BS235">
        <v>8.8794924318790436E-2</v>
      </c>
      <c r="BT235">
        <v>7.2938688099384308E-2</v>
      </c>
      <c r="BU235">
        <v>5.8139536529779434E-2</v>
      </c>
      <c r="BV235">
        <v>5.8139536529779434E-2</v>
      </c>
      <c r="BW235">
        <v>6.2367863953113556E-2</v>
      </c>
      <c r="BX235">
        <v>6.4482033252716064E-2</v>
      </c>
      <c r="BY235">
        <v>9.5137417316436768E-2</v>
      </c>
      <c r="BZ235">
        <v>0.11839323490858078</v>
      </c>
      <c r="CA235">
        <v>6.553911417722702E-2</v>
      </c>
      <c r="CB235">
        <v>5.496828630566597E-2</v>
      </c>
      <c r="CC235">
        <v>8.0338269472122192E-2</v>
      </c>
      <c r="CD235">
        <v>6.553911417722702E-2</v>
      </c>
      <c r="CE235">
        <v>5.919661745429039E-2</v>
      </c>
      <c r="CF235">
        <v>6.6596195101737976E-2</v>
      </c>
      <c r="CG235">
        <v>9.8308667540550232E-2</v>
      </c>
      <c r="CH235">
        <v>7.0824526250362396E-2</v>
      </c>
      <c r="CI235">
        <v>8.5623681545257568E-2</v>
      </c>
      <c r="CJ235">
        <v>7.5052857398986816E-2</v>
      </c>
      <c r="CK235">
        <v>7.6109938323497772E-2</v>
      </c>
      <c r="CL235">
        <v>6.8710356950759888E-2</v>
      </c>
      <c r="CM235">
        <v>8.5623681545257568E-2</v>
      </c>
      <c r="CN235">
        <v>7.7167019248008728E-2</v>
      </c>
      <c r="CO235">
        <v>9.3023255467414856E-2</v>
      </c>
      <c r="CP235">
        <v>7.3995769023895264E-2</v>
      </c>
      <c r="CQ235">
        <v>6.4482033252716064E-2</v>
      </c>
      <c r="CR235">
        <v>7.7167019248008728E-2</v>
      </c>
      <c r="CS235">
        <v>6.2367863953113556E-2</v>
      </c>
      <c r="CT235">
        <v>6.7653276026248932E-2</v>
      </c>
      <c r="CU235">
        <v>7.5052857398986816E-2</v>
      </c>
      <c r="CV235">
        <v>5.0739958882331848E-2</v>
      </c>
      <c r="CW235">
        <v>6.976744532585144E-2</v>
      </c>
      <c r="CX235">
        <v>5.6025370955467224E-2</v>
      </c>
      <c r="CY235">
        <v>8.4566593170166016E-2</v>
      </c>
      <c r="CZ235">
        <v>8.6680762469768524E-2</v>
      </c>
      <c r="DA235">
        <v>8.5623681545257568E-2</v>
      </c>
      <c r="DB235">
        <v>8.4566593170166016E-2</v>
      </c>
      <c r="DC235">
        <v>8.1395350396633148E-2</v>
      </c>
      <c r="DD235">
        <v>7.2938688099384308E-2</v>
      </c>
      <c r="DE235">
        <v>6.0253698378801346E-2</v>
      </c>
      <c r="DF235">
        <v>6.976744532585144E-2</v>
      </c>
      <c r="DG235">
        <v>8.6680762469768524E-2</v>
      </c>
      <c r="DH235">
        <v>5.6025370955467224E-2</v>
      </c>
      <c r="DI235">
        <v>6.7653276026248932E-2</v>
      </c>
      <c r="DJ235">
        <v>6.8710356950759888E-2</v>
      </c>
      <c r="DK235">
        <v>7.1881607174873352E-2</v>
      </c>
      <c r="DL235">
        <v>5.919661745429039E-2</v>
      </c>
      <c r="DM235">
        <v>8.4566593170166016E-2</v>
      </c>
      <c r="DN235">
        <v>7.1881607174873352E-2</v>
      </c>
      <c r="DO235">
        <v>8.350951224565506E-2</v>
      </c>
      <c r="DP235">
        <v>7.1881607174873352E-2</v>
      </c>
      <c r="DQ235">
        <v>8.1395350396633148E-2</v>
      </c>
      <c r="DR235">
        <v>8.4566593170166016E-2</v>
      </c>
      <c r="DS235">
        <v>6.7653276026248932E-2</v>
      </c>
      <c r="DT235">
        <v>9.4080336391925812E-2</v>
      </c>
      <c r="DU235">
        <v>8.6680762469768524E-2</v>
      </c>
      <c r="DV235">
        <v>0.10570824891328812</v>
      </c>
      <c r="DW235">
        <v>7.2938688099384308E-2</v>
      </c>
      <c r="DX235">
        <v>7.2938688099384308E-2</v>
      </c>
      <c r="DY235">
        <v>7.5052857398986816E-2</v>
      </c>
      <c r="DZ235">
        <v>7.0824526250362396E-2</v>
      </c>
      <c r="EA235">
        <v>7.5052857398986816E-2</v>
      </c>
      <c r="EB235">
        <v>7.0824526250362396E-2</v>
      </c>
      <c r="EC235">
        <v>0.10993657261133194</v>
      </c>
      <c r="ED235">
        <v>9.4080336391925812E-2</v>
      </c>
      <c r="EE235">
        <v>8.0338269472122192E-2</v>
      </c>
      <c r="EF235">
        <v>0.10676532983779907</v>
      </c>
      <c r="EG235">
        <v>7.7167019248008728E-2</v>
      </c>
      <c r="EH235">
        <v>6.2367863953113556E-2</v>
      </c>
      <c r="EI235">
        <v>7.6109938323497772E-2</v>
      </c>
      <c r="EJ235">
        <v>6.7653276026248932E-2</v>
      </c>
      <c r="EK235">
        <v>0.11205074191093445</v>
      </c>
      <c r="EL235">
        <v>8.5623681545257568E-2</v>
      </c>
      <c r="EM235">
        <v>7.1881607174873352E-2</v>
      </c>
      <c r="EN235">
        <v>0.10570824891328812</v>
      </c>
      <c r="EO235">
        <v>8.773784339427948E-2</v>
      </c>
      <c r="EP235">
        <v>7.7167019248008728E-2</v>
      </c>
      <c r="EQ235">
        <v>8.4566593170166016E-2</v>
      </c>
      <c r="ER235">
        <v>7.0824526250362396E-2</v>
      </c>
      <c r="ES235">
        <v>5.1797039806842804E-2</v>
      </c>
      <c r="ET235">
        <v>6.13107830286026E-2</v>
      </c>
      <c r="EU235">
        <v>8.6680762469768524E-2</v>
      </c>
      <c r="EV235">
        <v>6.4482033252716064E-2</v>
      </c>
      <c r="EW235">
        <v>7.8224100172519684E-2</v>
      </c>
      <c r="EX235">
        <v>8.350951224565506E-2</v>
      </c>
      <c r="EY235">
        <v>9.4080336391925812E-2</v>
      </c>
      <c r="EZ235">
        <v>7.1881607174873352E-2</v>
      </c>
      <c r="FA235">
        <v>5.8139536529779434E-2</v>
      </c>
      <c r="FB235">
        <v>0.11627907305955887</v>
      </c>
      <c r="FC235">
        <v>6.3424944877624512E-2</v>
      </c>
      <c r="FD235">
        <v>0.11733615398406982</v>
      </c>
      <c r="FE235">
        <v>5.2854124456644058E-2</v>
      </c>
      <c r="FF235">
        <v>7.3089703917503357E-2</v>
      </c>
      <c r="FG235">
        <v>6.5337762236595154E-2</v>
      </c>
      <c r="FH235">
        <v>5.7585824280977249E-2</v>
      </c>
      <c r="FI235">
        <v>7.419712096452713E-2</v>
      </c>
      <c r="FJ235">
        <v>6.6445179283618927E-2</v>
      </c>
      <c r="FK235">
        <v>8.3056479692459106E-2</v>
      </c>
      <c r="FL235">
        <v>6.5337762236595154E-2</v>
      </c>
      <c r="FM235">
        <v>8.0841638147830963E-2</v>
      </c>
      <c r="FN235">
        <v>7.7519379556179047E-2</v>
      </c>
      <c r="FO235">
        <v>6.866002082824707E-2</v>
      </c>
      <c r="FP235">
        <v>7.3089703917503357E-2</v>
      </c>
      <c r="FQ235">
        <v>7.973422110080719E-2</v>
      </c>
      <c r="FR235">
        <v>6.5337762236595154E-2</v>
      </c>
      <c r="FS235">
        <v>8.8593579828739166E-2</v>
      </c>
      <c r="FT235">
        <v>7.5304538011550903E-2</v>
      </c>
      <c r="FU235">
        <v>9.5238097012042999E-2</v>
      </c>
      <c r="FV235">
        <v>6.2015503644943237E-2</v>
      </c>
      <c r="FW235">
        <v>7.3089703917503357E-2</v>
      </c>
      <c r="FX235">
        <v>7.973422110080719E-2</v>
      </c>
      <c r="FY235">
        <v>7.0874862372875214E-2</v>
      </c>
      <c r="FZ235">
        <v>0.10852713137865067</v>
      </c>
      <c r="GA235">
        <v>7.862679660320282E-2</v>
      </c>
      <c r="GB235">
        <v>0.10520487278699875</v>
      </c>
      <c r="GC235">
        <v>7.3089703917503357E-2</v>
      </c>
      <c r="GD235">
        <v>8.8593579828739166E-2</v>
      </c>
      <c r="GE235">
        <v>5.4263565689325333E-2</v>
      </c>
      <c r="GF235">
        <v>7.5304538011550903E-2</v>
      </c>
      <c r="GG235">
        <v>7.973422110080719E-2</v>
      </c>
      <c r="GH235">
        <v>8.8593579828739166E-2</v>
      </c>
      <c r="GI235">
        <v>6.2015503644943237E-2</v>
      </c>
      <c r="GJ235">
        <v>5.3156144917011261E-2</v>
      </c>
      <c r="GK235">
        <v>5.8693245053291321E-2</v>
      </c>
      <c r="GL235">
        <v>5.2048727869987488E-2</v>
      </c>
      <c r="GM235">
        <v>6.5337762236595154E-2</v>
      </c>
      <c r="GN235">
        <v>7.6411962509155273E-2</v>
      </c>
      <c r="GO235">
        <v>7.7519379556179047E-2</v>
      </c>
      <c r="GP235">
        <v>6.0908082872629166E-2</v>
      </c>
      <c r="GQ235">
        <v>8.527132123708725E-2</v>
      </c>
      <c r="GR235">
        <v>6.6445179283618927E-2</v>
      </c>
      <c r="GS235">
        <v>7.1982279419898987E-2</v>
      </c>
      <c r="GT235">
        <v>7.419712096452713E-2</v>
      </c>
      <c r="GU235">
        <v>6.866002082824707E-2</v>
      </c>
      <c r="GV235">
        <v>0.10077519714832306</v>
      </c>
      <c r="GW235">
        <v>6.4230345189571381E-2</v>
      </c>
      <c r="GX235">
        <v>6.976744532585144E-2</v>
      </c>
      <c r="GY235">
        <v>6.7552603781223297E-2</v>
      </c>
      <c r="GZ235">
        <v>8.3056479692459106E-2</v>
      </c>
      <c r="HA235">
        <v>7.6411962509155273E-2</v>
      </c>
      <c r="HB235">
        <v>6.6445179283618927E-2</v>
      </c>
      <c r="HC235">
        <v>7.5304538011550903E-2</v>
      </c>
      <c r="HD235">
        <v>9.0808413922786713E-2</v>
      </c>
      <c r="HE235">
        <v>8.0841638147830963E-2</v>
      </c>
      <c r="HF235">
        <v>5.8693245053291321E-2</v>
      </c>
      <c r="HG235">
        <v>6.0908082872629166E-2</v>
      </c>
      <c r="HH235">
        <v>6.976744532585144E-2</v>
      </c>
      <c r="HI235">
        <v>7.1982279419898987E-2</v>
      </c>
      <c r="HJ235">
        <v>8.1949055194854736E-2</v>
      </c>
      <c r="HK235">
        <v>7.3089703917503357E-2</v>
      </c>
      <c r="HL235">
        <v>7.0874862372875214E-2</v>
      </c>
      <c r="HM235">
        <v>8.0841638147830963E-2</v>
      </c>
      <c r="HN235">
        <v>7.419712096452713E-2</v>
      </c>
      <c r="HO235">
        <v>8.7486155331134796E-2</v>
      </c>
    </row>
    <row r="236" spans="4:228" x14ac:dyDescent="0.25">
      <c r="D236" s="41" t="str" cm="1">
        <f t="array" ref="D236">IF(H236="","",IF(AND(E236&lt;AVERAGE(E235,E237)*($L$19/100),$D$23:D235=""),H236,""))</f>
        <v/>
      </c>
      <c r="E236" s="78">
        <f t="shared" si="4"/>
        <v>3.7579958649996276E-3</v>
      </c>
      <c r="F236" s="79"/>
      <c r="H236">
        <v>214</v>
      </c>
      <c r="I236">
        <v>7.7807995864999632E-2</v>
      </c>
      <c r="K236">
        <v>7.7167019248008728E-2</v>
      </c>
      <c r="L236">
        <v>0.10993657261133194</v>
      </c>
      <c r="M236">
        <v>7.5052857398986816E-2</v>
      </c>
      <c r="N236">
        <v>7.6109938323497772E-2</v>
      </c>
      <c r="O236">
        <v>8.9852005243301392E-2</v>
      </c>
      <c r="P236">
        <v>8.4566593170166016E-2</v>
      </c>
      <c r="Q236">
        <v>6.2367863953113556E-2</v>
      </c>
      <c r="R236">
        <v>6.976744532585144E-2</v>
      </c>
      <c r="S236">
        <v>6.8710356950759888E-2</v>
      </c>
      <c r="T236">
        <v>7.6109938323497772E-2</v>
      </c>
      <c r="U236">
        <v>8.0338269472122192E-2</v>
      </c>
      <c r="V236">
        <v>8.2452431321144104E-2</v>
      </c>
      <c r="W236">
        <v>8.6680762469768524E-2</v>
      </c>
      <c r="X236">
        <v>7.2938688099384308E-2</v>
      </c>
      <c r="Y236">
        <v>7.0824526250362396E-2</v>
      </c>
      <c r="Z236">
        <v>8.2452431321144104E-2</v>
      </c>
      <c r="AA236">
        <v>6.6596195101737976E-2</v>
      </c>
      <c r="AB236">
        <v>5.0739958882331848E-2</v>
      </c>
      <c r="AC236">
        <v>0.11416490375995636</v>
      </c>
      <c r="AD236">
        <v>5.919661745429039E-2</v>
      </c>
      <c r="AE236">
        <v>8.350951224565506E-2</v>
      </c>
      <c r="AF236">
        <v>8.6680762469768524E-2</v>
      </c>
      <c r="AG236">
        <v>8.1395350396633148E-2</v>
      </c>
      <c r="AH236">
        <v>8.0338269472122192E-2</v>
      </c>
      <c r="AI236">
        <v>7.5052857398986816E-2</v>
      </c>
      <c r="AJ236">
        <v>5.496828630566597E-2</v>
      </c>
      <c r="AK236">
        <v>9.19661745429039E-2</v>
      </c>
      <c r="AL236">
        <v>7.1881607174873352E-2</v>
      </c>
      <c r="AM236">
        <v>6.7653276026248932E-2</v>
      </c>
      <c r="AN236">
        <v>5.1797039806842804E-2</v>
      </c>
      <c r="AO236">
        <v>7.7167019248008728E-2</v>
      </c>
      <c r="AP236">
        <v>8.1395350396633148E-2</v>
      </c>
      <c r="AQ236">
        <v>0.11099366098642349</v>
      </c>
      <c r="AR236">
        <v>7.6109938323497772E-2</v>
      </c>
      <c r="AS236">
        <v>0.11522198468446732</v>
      </c>
      <c r="AT236">
        <v>6.3424944877624512E-2</v>
      </c>
      <c r="AU236">
        <v>7.928118109703064E-2</v>
      </c>
      <c r="AV236">
        <v>7.8224100172519684E-2</v>
      </c>
      <c r="AW236">
        <v>8.6680762469768524E-2</v>
      </c>
      <c r="AX236">
        <v>0.1131078228354454</v>
      </c>
      <c r="AY236">
        <v>7.5052857398986816E-2</v>
      </c>
      <c r="AZ236">
        <v>5.496828630566597E-2</v>
      </c>
      <c r="BA236">
        <v>8.773784339427948E-2</v>
      </c>
      <c r="BB236">
        <v>9.619450569152832E-2</v>
      </c>
      <c r="BC236">
        <v>9.19661745429039E-2</v>
      </c>
      <c r="BD236">
        <v>8.773784339427948E-2</v>
      </c>
      <c r="BE236">
        <v>7.3995769023895264E-2</v>
      </c>
      <c r="BF236">
        <v>5.6025370955467224E-2</v>
      </c>
      <c r="BG236">
        <v>9.0909093618392944E-2</v>
      </c>
      <c r="BH236">
        <v>7.7167019248008728E-2</v>
      </c>
      <c r="BI236">
        <v>8.1395350396633148E-2</v>
      </c>
      <c r="BJ236">
        <v>8.4566593170166016E-2</v>
      </c>
      <c r="BK236">
        <v>6.6596195101737976E-2</v>
      </c>
      <c r="BL236">
        <v>6.3424944877624512E-2</v>
      </c>
      <c r="BM236">
        <v>9.9365748465061188E-2</v>
      </c>
      <c r="BN236">
        <v>7.2938688099384308E-2</v>
      </c>
      <c r="BO236">
        <v>6.6596195101737976E-2</v>
      </c>
      <c r="BP236">
        <v>7.8224100172519684E-2</v>
      </c>
      <c r="BQ236">
        <v>6.6596195101737976E-2</v>
      </c>
      <c r="BR236">
        <v>6.7653276026248932E-2</v>
      </c>
      <c r="BS236">
        <v>8.0338269472122192E-2</v>
      </c>
      <c r="BT236">
        <v>7.2938688099384308E-2</v>
      </c>
      <c r="BU236">
        <v>7.928118109703064E-2</v>
      </c>
      <c r="BV236">
        <v>7.928118109703064E-2</v>
      </c>
      <c r="BW236">
        <v>7.7167019248008728E-2</v>
      </c>
      <c r="BX236">
        <v>9.0909093618392944E-2</v>
      </c>
      <c r="BY236">
        <v>6.0253698378801346E-2</v>
      </c>
      <c r="BZ236">
        <v>7.0824526250362396E-2</v>
      </c>
      <c r="CA236">
        <v>7.3995769023895264E-2</v>
      </c>
      <c r="CB236">
        <v>9.0909093618392944E-2</v>
      </c>
      <c r="CC236">
        <v>7.3995769023895264E-2</v>
      </c>
      <c r="CD236">
        <v>5.919661745429039E-2</v>
      </c>
      <c r="CE236">
        <v>6.7653276026248932E-2</v>
      </c>
      <c r="CF236">
        <v>0.13107822835445404</v>
      </c>
      <c r="CG236">
        <v>6.976744532585144E-2</v>
      </c>
      <c r="CH236">
        <v>6.553911417722702E-2</v>
      </c>
      <c r="CI236">
        <v>6.553911417722702E-2</v>
      </c>
      <c r="CJ236">
        <v>7.7167019248008728E-2</v>
      </c>
      <c r="CK236">
        <v>6.976744532585144E-2</v>
      </c>
      <c r="CL236">
        <v>6.2367863953113556E-2</v>
      </c>
      <c r="CM236">
        <v>9.4080336391925812E-2</v>
      </c>
      <c r="CN236">
        <v>8.5623681545257568E-2</v>
      </c>
      <c r="CO236">
        <v>8.0338269472122192E-2</v>
      </c>
      <c r="CP236">
        <v>6.8710356950759888E-2</v>
      </c>
      <c r="CQ236">
        <v>6.976744532585144E-2</v>
      </c>
      <c r="CR236">
        <v>5.708245187997818E-2</v>
      </c>
      <c r="CS236">
        <v>8.1395350396633148E-2</v>
      </c>
      <c r="CT236">
        <v>6.2367863953113556E-2</v>
      </c>
      <c r="CU236">
        <v>7.6109938323497772E-2</v>
      </c>
      <c r="CV236">
        <v>7.1881607174873352E-2</v>
      </c>
      <c r="CW236">
        <v>8.2452431321144104E-2</v>
      </c>
      <c r="CX236">
        <v>6.6596195101737976E-2</v>
      </c>
      <c r="CY236">
        <v>6.3424944877624512E-2</v>
      </c>
      <c r="CZ236">
        <v>8.6680762469768524E-2</v>
      </c>
      <c r="DA236">
        <v>7.7167019248008728E-2</v>
      </c>
      <c r="DB236">
        <v>7.1881607174873352E-2</v>
      </c>
      <c r="DC236">
        <v>6.976744532585144E-2</v>
      </c>
      <c r="DD236">
        <v>7.2938688099384308E-2</v>
      </c>
      <c r="DE236">
        <v>9.7251586616039276E-2</v>
      </c>
      <c r="DF236">
        <v>8.1395350396633148E-2</v>
      </c>
      <c r="DG236">
        <v>5.8139536529779434E-2</v>
      </c>
      <c r="DH236">
        <v>8.0338269472122192E-2</v>
      </c>
      <c r="DI236">
        <v>9.0909093618392944E-2</v>
      </c>
      <c r="DJ236">
        <v>9.619450569152832E-2</v>
      </c>
      <c r="DK236">
        <v>6.6596195101737976E-2</v>
      </c>
      <c r="DL236">
        <v>7.5052857398986816E-2</v>
      </c>
      <c r="DM236">
        <v>7.3995769023895264E-2</v>
      </c>
      <c r="DN236">
        <v>7.928118109703064E-2</v>
      </c>
      <c r="DO236">
        <v>7.5304538011550903E-2</v>
      </c>
      <c r="DP236">
        <v>0.11738649010658264</v>
      </c>
      <c r="DQ236">
        <v>9.9667772650718689E-2</v>
      </c>
      <c r="DR236">
        <v>7.1982279419898987E-2</v>
      </c>
      <c r="DS236">
        <v>6.0908082872629166E-2</v>
      </c>
      <c r="DT236">
        <v>6.866002082824707E-2</v>
      </c>
      <c r="DU236">
        <v>6.312292069196701E-2</v>
      </c>
      <c r="DV236">
        <v>6.5337762236595154E-2</v>
      </c>
      <c r="DW236">
        <v>0.1229235902428627</v>
      </c>
      <c r="DX236">
        <v>7.7519379556179047E-2</v>
      </c>
      <c r="DY236">
        <v>9.4130672514438629E-2</v>
      </c>
      <c r="DZ236">
        <v>8.1949055194854736E-2</v>
      </c>
      <c r="EA236">
        <v>6.4230345189571381E-2</v>
      </c>
      <c r="EB236">
        <v>9.3023255467414856E-2</v>
      </c>
      <c r="EC236">
        <v>8.3056479692459106E-2</v>
      </c>
      <c r="ED236">
        <v>9.8560355603694916E-2</v>
      </c>
      <c r="EE236">
        <v>9.5238097012042999E-2</v>
      </c>
      <c r="EF236">
        <v>8.9700996875762939E-2</v>
      </c>
      <c r="EG236">
        <v>7.419712096452713E-2</v>
      </c>
      <c r="EH236">
        <v>0.11627907305955887</v>
      </c>
      <c r="EI236">
        <v>7.1982279419898987E-2</v>
      </c>
      <c r="EJ236">
        <v>6.866002082824707E-2</v>
      </c>
      <c r="EK236">
        <v>5.6478403508663177E-2</v>
      </c>
      <c r="EL236">
        <v>9.3023255467414856E-2</v>
      </c>
      <c r="EM236">
        <v>7.419712096452713E-2</v>
      </c>
      <c r="EN236">
        <v>0.10299003124237061</v>
      </c>
      <c r="EO236">
        <v>5.7585824280977249E-2</v>
      </c>
      <c r="EP236">
        <v>8.416389673948288E-2</v>
      </c>
      <c r="EQ236">
        <v>9.7452931106090546E-2</v>
      </c>
      <c r="ER236">
        <v>7.3089703917503357E-2</v>
      </c>
      <c r="ES236">
        <v>7.0874862372875214E-2</v>
      </c>
      <c r="ET236">
        <v>9.5238097012042999E-2</v>
      </c>
      <c r="EU236">
        <v>5.9800665825605392E-2</v>
      </c>
      <c r="EV236">
        <v>7.973422110080719E-2</v>
      </c>
      <c r="EW236">
        <v>7.1982279419898987E-2</v>
      </c>
      <c r="EX236">
        <v>9.9667772650718689E-2</v>
      </c>
      <c r="EY236">
        <v>7.1982279419898987E-2</v>
      </c>
      <c r="EZ236">
        <v>6.6445179283618927E-2</v>
      </c>
      <c r="FA236">
        <v>5.0941307097673416E-2</v>
      </c>
      <c r="FB236">
        <v>6.866002082824707E-2</v>
      </c>
      <c r="FC236">
        <v>7.7519379556179047E-2</v>
      </c>
      <c r="FD236">
        <v>6.866002082824707E-2</v>
      </c>
      <c r="FE236">
        <v>9.5238097012042999E-2</v>
      </c>
      <c r="FF236">
        <v>6.5337762236595154E-2</v>
      </c>
      <c r="FG236">
        <v>7.3089703917503357E-2</v>
      </c>
      <c r="FH236">
        <v>7.419712096452713E-2</v>
      </c>
      <c r="FI236">
        <v>7.5304538011550903E-2</v>
      </c>
      <c r="FJ236">
        <v>6.866002082824707E-2</v>
      </c>
      <c r="FK236">
        <v>0.10409745573997498</v>
      </c>
      <c r="FL236">
        <v>7.862679660320282E-2</v>
      </c>
      <c r="FM236">
        <v>7.1982279419898987E-2</v>
      </c>
      <c r="FN236">
        <v>6.6445179283618927E-2</v>
      </c>
      <c r="FO236">
        <v>8.416389673948288E-2</v>
      </c>
      <c r="FP236">
        <v>5.5370986461639404E-2</v>
      </c>
      <c r="FQ236">
        <v>6.4230345189571381E-2</v>
      </c>
      <c r="FR236">
        <v>6.5337762236595154E-2</v>
      </c>
      <c r="FS236">
        <v>5.7585824280977249E-2</v>
      </c>
      <c r="FT236">
        <v>7.973422110080719E-2</v>
      </c>
      <c r="FU236">
        <v>7.0874862372875214E-2</v>
      </c>
      <c r="FV236">
        <v>4.8726465553045273E-2</v>
      </c>
      <c r="FW236">
        <v>6.5337762236595154E-2</v>
      </c>
      <c r="FX236">
        <v>6.976744532585144E-2</v>
      </c>
      <c r="FY236">
        <v>7.0874862372875214E-2</v>
      </c>
      <c r="FZ236">
        <v>6.7552603781223297E-2</v>
      </c>
      <c r="GA236">
        <v>7.862679660320282E-2</v>
      </c>
      <c r="GB236">
        <v>7.3089703917503357E-2</v>
      </c>
      <c r="GC236">
        <v>6.5337762236595154E-2</v>
      </c>
      <c r="GD236">
        <v>5.4263565689325333E-2</v>
      </c>
      <c r="GE236">
        <v>9.3023255467414856E-2</v>
      </c>
      <c r="GF236">
        <v>7.419712096452713E-2</v>
      </c>
      <c r="GG236">
        <v>8.3056479692459106E-2</v>
      </c>
      <c r="GH236">
        <v>6.4230345189571381E-2</v>
      </c>
      <c r="GI236">
        <v>8.416389673948288E-2</v>
      </c>
      <c r="GJ236">
        <v>7.973422110080719E-2</v>
      </c>
      <c r="GK236">
        <v>7.973422110080719E-2</v>
      </c>
      <c r="GL236">
        <v>7.0874862372875214E-2</v>
      </c>
      <c r="GM236">
        <v>0.12181616574525833</v>
      </c>
      <c r="GN236">
        <v>0.10409745573997498</v>
      </c>
      <c r="GO236">
        <v>8.7486155331134796E-2</v>
      </c>
      <c r="GP236">
        <v>8.6378738284111023E-2</v>
      </c>
      <c r="GQ236">
        <v>9.5238097012042999E-2</v>
      </c>
      <c r="GR236">
        <v>8.6378738284111023E-2</v>
      </c>
      <c r="GS236">
        <v>0.11738649010658264</v>
      </c>
      <c r="GT236">
        <v>6.312292069196701E-2</v>
      </c>
      <c r="GU236">
        <v>9.3023255467414856E-2</v>
      </c>
      <c r="GV236">
        <v>5.4263565689325333E-2</v>
      </c>
      <c r="GW236">
        <v>6.6445179283618927E-2</v>
      </c>
      <c r="GX236">
        <v>9.6345514059066772E-2</v>
      </c>
      <c r="GY236">
        <v>6.866002082824707E-2</v>
      </c>
      <c r="GZ236">
        <v>7.0874862372875214E-2</v>
      </c>
      <c r="HA236">
        <v>6.7552603781223297E-2</v>
      </c>
      <c r="HB236">
        <v>8.3056479692459106E-2</v>
      </c>
      <c r="HC236">
        <v>6.0908082872629166E-2</v>
      </c>
      <c r="HD236">
        <v>6.866002082824707E-2</v>
      </c>
      <c r="HE236">
        <v>8.8593579828739166E-2</v>
      </c>
      <c r="HF236">
        <v>8.8593579828739166E-2</v>
      </c>
      <c r="HG236">
        <v>6.866002082824707E-2</v>
      </c>
      <c r="HH236">
        <v>6.6445179283618927E-2</v>
      </c>
      <c r="HI236">
        <v>7.419712096452713E-2</v>
      </c>
      <c r="HJ236">
        <v>7.5304538011550903E-2</v>
      </c>
      <c r="HK236">
        <v>9.9667772650718689E-2</v>
      </c>
      <c r="HL236">
        <v>6.0908082872629166E-2</v>
      </c>
      <c r="HM236">
        <v>6.6445179283618927E-2</v>
      </c>
      <c r="HN236">
        <v>7.1982279419898987E-2</v>
      </c>
      <c r="HO236">
        <v>9.7452931106090546E-2</v>
      </c>
      <c r="HP236">
        <v>7.6411962509155273E-2</v>
      </c>
    </row>
    <row r="237" spans="4:228" x14ac:dyDescent="0.25">
      <c r="D237" s="41" t="str" cm="1">
        <f t="array" ref="D237">IF(H237="","",IF(AND(E237&lt;AVERAGE(E236,E238)*($L$19/100),$D$23:D236=""),H237,""))</f>
        <v/>
      </c>
      <c r="E237" s="78">
        <f t="shared" si="4"/>
        <v>1.6961034801117186E-3</v>
      </c>
      <c r="F237" s="79"/>
      <c r="H237">
        <v>215</v>
      </c>
      <c r="I237">
        <v>7.5746103480111723E-2</v>
      </c>
      <c r="K237">
        <v>6.7653276026248932E-2</v>
      </c>
      <c r="L237">
        <v>0.11522198468446732</v>
      </c>
      <c r="M237">
        <v>7.928118109703064E-2</v>
      </c>
      <c r="N237">
        <v>8.2452431321144104E-2</v>
      </c>
      <c r="O237">
        <v>8.9852005243301392E-2</v>
      </c>
      <c r="P237">
        <v>6.8710356950759888E-2</v>
      </c>
      <c r="Q237">
        <v>5.708245187997818E-2</v>
      </c>
      <c r="R237">
        <v>7.1881607174873352E-2</v>
      </c>
      <c r="S237">
        <v>5.919661745429039E-2</v>
      </c>
      <c r="T237">
        <v>6.7653276026248932E-2</v>
      </c>
      <c r="U237">
        <v>5.8139536529779434E-2</v>
      </c>
      <c r="V237">
        <v>7.2938688099384308E-2</v>
      </c>
      <c r="W237">
        <v>7.6109938323497772E-2</v>
      </c>
      <c r="X237">
        <v>6.6596195101737976E-2</v>
      </c>
      <c r="Y237">
        <v>0.10782241076231003</v>
      </c>
      <c r="Z237">
        <v>8.4566593170166016E-2</v>
      </c>
      <c r="AA237">
        <v>8.8794924318790436E-2</v>
      </c>
      <c r="AB237">
        <v>8.773784339427948E-2</v>
      </c>
      <c r="AC237">
        <v>6.0253698378801346E-2</v>
      </c>
      <c r="AD237">
        <v>6.553911417722702E-2</v>
      </c>
      <c r="AE237">
        <v>6.8710356950759888E-2</v>
      </c>
      <c r="AF237">
        <v>6.2367863953113556E-2</v>
      </c>
      <c r="AG237">
        <v>7.7167019248008728E-2</v>
      </c>
      <c r="AH237">
        <v>6.0253698378801346E-2</v>
      </c>
      <c r="AI237">
        <v>7.1881607174873352E-2</v>
      </c>
      <c r="AJ237">
        <v>8.8794924318790436E-2</v>
      </c>
      <c r="AK237">
        <v>7.8224100172519684E-2</v>
      </c>
      <c r="AL237">
        <v>7.0824526250362396E-2</v>
      </c>
      <c r="AM237">
        <v>6.976744532585144E-2</v>
      </c>
      <c r="AN237">
        <v>9.19661745429039E-2</v>
      </c>
      <c r="AO237">
        <v>6.2367863953113556E-2</v>
      </c>
      <c r="AP237">
        <v>8.8794924318790436E-2</v>
      </c>
      <c r="AQ237">
        <v>5.919661745429039E-2</v>
      </c>
      <c r="AR237">
        <v>7.3995769023895264E-2</v>
      </c>
      <c r="AS237">
        <v>5.2854124456644058E-2</v>
      </c>
      <c r="AT237">
        <v>8.1395350396633148E-2</v>
      </c>
      <c r="AU237">
        <v>7.7167019248008728E-2</v>
      </c>
      <c r="AV237">
        <v>7.1881607174873352E-2</v>
      </c>
      <c r="AW237">
        <v>5.8139536529779434E-2</v>
      </c>
      <c r="AX237">
        <v>7.3995769023895264E-2</v>
      </c>
      <c r="AY237">
        <v>9.0909093618392944E-2</v>
      </c>
      <c r="AZ237">
        <v>6.2367863953113556E-2</v>
      </c>
      <c r="BA237">
        <v>0.10253699868917465</v>
      </c>
      <c r="BB237">
        <v>6.2367863953113556E-2</v>
      </c>
      <c r="BC237">
        <v>9.619450569152832E-2</v>
      </c>
      <c r="BD237">
        <v>6.3424944877624512E-2</v>
      </c>
      <c r="BE237">
        <v>6.7653276026248932E-2</v>
      </c>
      <c r="BF237">
        <v>5.496828630566597E-2</v>
      </c>
      <c r="BG237">
        <v>8.1395350396633148E-2</v>
      </c>
      <c r="BH237">
        <v>5.0739958882331848E-2</v>
      </c>
      <c r="BI237">
        <v>6.4482033252716064E-2</v>
      </c>
      <c r="BJ237">
        <v>8.9852005243301392E-2</v>
      </c>
      <c r="BK237">
        <v>6.13107830286026E-2</v>
      </c>
      <c r="BL237">
        <v>7.5052857398986816E-2</v>
      </c>
      <c r="BM237">
        <v>6.976744532585144E-2</v>
      </c>
      <c r="BN237">
        <v>8.4566593170166016E-2</v>
      </c>
      <c r="BO237">
        <v>5.2854124456644058E-2</v>
      </c>
      <c r="BP237">
        <v>9.3023255467414856E-2</v>
      </c>
      <c r="BQ237">
        <v>8.773784339427948E-2</v>
      </c>
      <c r="BR237">
        <v>8.1395350396633148E-2</v>
      </c>
      <c r="BS237">
        <v>8.773784339427948E-2</v>
      </c>
      <c r="BT237">
        <v>7.928118109703064E-2</v>
      </c>
      <c r="BU237">
        <v>6.8710356950759888E-2</v>
      </c>
      <c r="BV237">
        <v>7.6109938323497772E-2</v>
      </c>
      <c r="BW237">
        <v>7.1881607174873352E-2</v>
      </c>
      <c r="BX237">
        <v>8.0841638147830963E-2</v>
      </c>
      <c r="BY237">
        <v>7.6411962509155273E-2</v>
      </c>
      <c r="BZ237">
        <v>5.9800665825605392E-2</v>
      </c>
      <c r="CA237">
        <v>9.7452931106090546E-2</v>
      </c>
      <c r="CB237">
        <v>9.6345514059066772E-2</v>
      </c>
      <c r="CC237">
        <v>6.976744532585144E-2</v>
      </c>
      <c r="CD237">
        <v>0.10299003124237061</v>
      </c>
      <c r="CE237">
        <v>7.3089703917503357E-2</v>
      </c>
      <c r="CF237">
        <v>7.5304538011550903E-2</v>
      </c>
      <c r="CG237">
        <v>8.3056479692459106E-2</v>
      </c>
      <c r="CH237">
        <v>7.0874862372875214E-2</v>
      </c>
      <c r="CI237">
        <v>8.416389673948288E-2</v>
      </c>
      <c r="CJ237">
        <v>7.7519379556179047E-2</v>
      </c>
      <c r="CK237">
        <v>8.1949055194854736E-2</v>
      </c>
      <c r="CL237">
        <v>7.3089703917503357E-2</v>
      </c>
      <c r="CM237">
        <v>8.0841638147830963E-2</v>
      </c>
      <c r="CN237">
        <v>7.5304538011550903E-2</v>
      </c>
      <c r="CO237">
        <v>6.866002082824707E-2</v>
      </c>
      <c r="CP237">
        <v>7.419712096452713E-2</v>
      </c>
      <c r="CQ237">
        <v>7.7519379556179047E-2</v>
      </c>
      <c r="CR237">
        <v>7.419712096452713E-2</v>
      </c>
      <c r="CS237">
        <v>7.973422110080719E-2</v>
      </c>
      <c r="CT237">
        <v>7.6411962509155273E-2</v>
      </c>
      <c r="CU237">
        <v>7.5304538011550903E-2</v>
      </c>
      <c r="CV237">
        <v>7.1982279419898987E-2</v>
      </c>
      <c r="CW237">
        <v>7.419712096452713E-2</v>
      </c>
      <c r="CX237">
        <v>7.5304538011550903E-2</v>
      </c>
      <c r="CY237">
        <v>6.866002082824707E-2</v>
      </c>
      <c r="CZ237">
        <v>9.1915838420391083E-2</v>
      </c>
      <c r="DA237">
        <v>6.976744532585144E-2</v>
      </c>
      <c r="DB237">
        <v>9.1915838420391083E-2</v>
      </c>
      <c r="DC237">
        <v>6.976744532585144E-2</v>
      </c>
      <c r="DD237">
        <v>6.5337762236595154E-2</v>
      </c>
      <c r="DE237">
        <v>9.6345514059066772E-2</v>
      </c>
      <c r="DF237">
        <v>7.419712096452713E-2</v>
      </c>
      <c r="DG237">
        <v>9.4130672514438629E-2</v>
      </c>
      <c r="DH237">
        <v>6.5337762236595154E-2</v>
      </c>
      <c r="DI237">
        <v>8.416389673948288E-2</v>
      </c>
      <c r="DJ237">
        <v>6.312292069196701E-2</v>
      </c>
      <c r="DK237">
        <v>7.5304538011550903E-2</v>
      </c>
      <c r="DL237">
        <v>0.10077519714832306</v>
      </c>
      <c r="DM237">
        <v>8.6378738284111023E-2</v>
      </c>
      <c r="DN237">
        <v>7.7519379556179047E-2</v>
      </c>
      <c r="DO237">
        <v>6.5337762236595154E-2</v>
      </c>
      <c r="DP237">
        <v>8.527132123708725E-2</v>
      </c>
      <c r="DQ237">
        <v>9.6345514059066772E-2</v>
      </c>
      <c r="DR237">
        <v>6.866002082824707E-2</v>
      </c>
      <c r="DS237">
        <v>5.2048727869987488E-2</v>
      </c>
      <c r="DT237">
        <v>7.419712096452713E-2</v>
      </c>
      <c r="DU237">
        <v>6.6445179283618927E-2</v>
      </c>
      <c r="DV237">
        <v>7.7519379556179047E-2</v>
      </c>
      <c r="DW237">
        <v>8.1949055194854736E-2</v>
      </c>
      <c r="DX237">
        <v>9.1915838420391083E-2</v>
      </c>
      <c r="DY237">
        <v>8.416389673948288E-2</v>
      </c>
      <c r="DZ237">
        <v>9.6345514059066772E-2</v>
      </c>
      <c r="EA237">
        <v>7.6411962509155273E-2</v>
      </c>
      <c r="EB237">
        <v>9.8560355603694916E-2</v>
      </c>
      <c r="EC237">
        <v>6.4230345189571381E-2</v>
      </c>
      <c r="ED237">
        <v>7.7519379556179047E-2</v>
      </c>
      <c r="EE237">
        <v>5.6478403508663177E-2</v>
      </c>
      <c r="EF237">
        <v>8.0841638147830963E-2</v>
      </c>
      <c r="EG237">
        <v>6.7552603781223297E-2</v>
      </c>
      <c r="EH237">
        <v>5.8693245053291321E-2</v>
      </c>
      <c r="EI237">
        <v>7.6411962509155273E-2</v>
      </c>
      <c r="EJ237">
        <v>6.0908082872629166E-2</v>
      </c>
      <c r="EK237">
        <v>6.5337762236595154E-2</v>
      </c>
      <c r="EL237">
        <v>6.2015503644943237E-2</v>
      </c>
      <c r="EM237">
        <v>7.0874862372875214E-2</v>
      </c>
      <c r="EN237">
        <v>6.5337762236595154E-2</v>
      </c>
      <c r="EO237">
        <v>6.6445179283618927E-2</v>
      </c>
      <c r="EP237">
        <v>9.1915838420391083E-2</v>
      </c>
      <c r="EQ237">
        <v>5.8693245053291321E-2</v>
      </c>
      <c r="ER237">
        <v>9.3023255467414856E-2</v>
      </c>
      <c r="ES237">
        <v>8.416389673948288E-2</v>
      </c>
      <c r="ET237">
        <v>7.6411962509155273E-2</v>
      </c>
      <c r="EU237">
        <v>5.0941307097673416E-2</v>
      </c>
      <c r="EV237">
        <v>7.7519379556179047E-2</v>
      </c>
      <c r="EW237">
        <v>5.4263565689325333E-2</v>
      </c>
      <c r="EX237">
        <v>6.5337762236595154E-2</v>
      </c>
      <c r="EY237">
        <v>7.0874862372875214E-2</v>
      </c>
      <c r="EZ237">
        <v>6.7552603781223297E-2</v>
      </c>
      <c r="FA237">
        <v>8.527132123708725E-2</v>
      </c>
      <c r="FB237">
        <v>8.9700996875762939E-2</v>
      </c>
      <c r="FC237">
        <v>6.5337762236595154E-2</v>
      </c>
      <c r="FD237">
        <v>7.1982279419898987E-2</v>
      </c>
      <c r="FE237">
        <v>5.7585824280977249E-2</v>
      </c>
      <c r="FF237">
        <v>6.5337762236595154E-2</v>
      </c>
      <c r="FG237">
        <v>7.7519379556179047E-2</v>
      </c>
      <c r="FH237">
        <v>6.5337762236595154E-2</v>
      </c>
      <c r="FI237">
        <v>7.7519379556179047E-2</v>
      </c>
      <c r="FJ237">
        <v>0.12624584138393402</v>
      </c>
      <c r="FK237">
        <v>6.312292069196701E-2</v>
      </c>
      <c r="FL237">
        <v>7.0874862372875214E-2</v>
      </c>
      <c r="FM237">
        <v>5.4263565689325333E-2</v>
      </c>
      <c r="FN237">
        <v>0.10852713137865067</v>
      </c>
      <c r="FO237">
        <v>7.862679660320282E-2</v>
      </c>
      <c r="FP237">
        <v>7.419712096452713E-2</v>
      </c>
      <c r="FQ237">
        <v>5.2048727869987488E-2</v>
      </c>
      <c r="FR237">
        <v>7.862679660320282E-2</v>
      </c>
      <c r="FS237">
        <v>6.976744532585144E-2</v>
      </c>
      <c r="FT237">
        <v>5.0941307097673416E-2</v>
      </c>
      <c r="FU237">
        <v>6.976744532585144E-2</v>
      </c>
      <c r="FV237">
        <v>6.4230345189571381E-2</v>
      </c>
      <c r="FW237">
        <v>0.1627907007932663</v>
      </c>
      <c r="FX237">
        <v>6.312292069196701E-2</v>
      </c>
      <c r="FY237">
        <v>7.6411962509155273E-2</v>
      </c>
      <c r="FZ237">
        <v>7.6411962509155273E-2</v>
      </c>
      <c r="GA237">
        <v>6.312292069196701E-2</v>
      </c>
      <c r="GB237">
        <v>6.6445179283618927E-2</v>
      </c>
      <c r="GC237">
        <v>6.6445179283618927E-2</v>
      </c>
      <c r="GD237">
        <v>0.10299003124237061</v>
      </c>
      <c r="GE237">
        <v>6.312292069196701E-2</v>
      </c>
      <c r="GF237">
        <v>9.1915838420391083E-2</v>
      </c>
      <c r="GG237">
        <v>6.4230345189571381E-2</v>
      </c>
      <c r="GH237">
        <v>9.4130672514438629E-2</v>
      </c>
      <c r="GI237">
        <v>7.7519379556179047E-2</v>
      </c>
      <c r="GJ237">
        <v>6.312292069196701E-2</v>
      </c>
      <c r="GK237">
        <v>6.7552603781223297E-2</v>
      </c>
      <c r="GL237">
        <v>8.416389673948288E-2</v>
      </c>
      <c r="GM237">
        <v>0.11627907305955887</v>
      </c>
      <c r="GN237">
        <v>0.10409745573997498</v>
      </c>
      <c r="GO237">
        <v>8.527132123708725E-2</v>
      </c>
      <c r="GP237">
        <v>5.7585824280977249E-2</v>
      </c>
      <c r="GQ237">
        <v>7.6411962509155273E-2</v>
      </c>
      <c r="GR237">
        <v>6.7552603781223297E-2</v>
      </c>
      <c r="GS237">
        <v>8.3056479692459106E-2</v>
      </c>
      <c r="GT237">
        <v>7.0874862372875214E-2</v>
      </c>
      <c r="GU237">
        <v>9.9667772650718689E-2</v>
      </c>
      <c r="GV237">
        <v>7.7519379556179047E-2</v>
      </c>
      <c r="GW237">
        <v>0.10520487278699875</v>
      </c>
      <c r="GX237">
        <v>6.7552603781223297E-2</v>
      </c>
      <c r="GY237">
        <v>4.6511627733707428E-2</v>
      </c>
      <c r="GZ237">
        <v>0.10741971433162689</v>
      </c>
      <c r="HA237">
        <v>5.4263565689325333E-2</v>
      </c>
      <c r="HB237">
        <v>7.5304538011550903E-2</v>
      </c>
      <c r="HC237">
        <v>6.976744532585144E-2</v>
      </c>
      <c r="HD237">
        <v>6.7552603781223297E-2</v>
      </c>
      <c r="HE237">
        <v>6.5337762236595154E-2</v>
      </c>
      <c r="HF237">
        <v>5.9800665825605392E-2</v>
      </c>
      <c r="HG237">
        <v>7.1982279419898987E-2</v>
      </c>
      <c r="HH237">
        <v>6.0908082872629166E-2</v>
      </c>
      <c r="HI237">
        <v>6.7552603781223297E-2</v>
      </c>
      <c r="HJ237">
        <v>5.4263565689325333E-2</v>
      </c>
      <c r="HK237">
        <v>7.5304538011550903E-2</v>
      </c>
      <c r="HL237">
        <v>7.973422110080719E-2</v>
      </c>
      <c r="HM237">
        <v>6.2015503644943237E-2</v>
      </c>
      <c r="HN237">
        <v>9.8560355603694916E-2</v>
      </c>
      <c r="HO237">
        <v>7.1982279419898987E-2</v>
      </c>
      <c r="HP237">
        <v>8.9700996875762939E-2</v>
      </c>
      <c r="HQ237">
        <v>9.3023255467414856E-2</v>
      </c>
    </row>
    <row r="238" spans="4:228" x14ac:dyDescent="0.25">
      <c r="D238" s="41" t="str" cm="1">
        <f t="array" ref="D238">IF(H238="","",IF(AND(E238&lt;AVERAGE(E237,E239)*($L$19/100),$D$23:D237=""),H238,""))</f>
        <v/>
      </c>
      <c r="E238" s="78">
        <f t="shared" si="4"/>
        <v>1.8315545036836911E-3</v>
      </c>
      <c r="F238" s="79"/>
      <c r="H238">
        <v>216</v>
      </c>
      <c r="I238">
        <v>7.5881554503683696E-2</v>
      </c>
      <c r="K238">
        <v>7.3995769023895264E-2</v>
      </c>
      <c r="L238">
        <v>7.5052857398986816E-2</v>
      </c>
      <c r="M238">
        <v>7.3995769023895264E-2</v>
      </c>
      <c r="N238">
        <v>7.3995769023895264E-2</v>
      </c>
      <c r="O238">
        <v>0.11416490375995636</v>
      </c>
      <c r="P238">
        <v>5.919661745429039E-2</v>
      </c>
      <c r="Q238">
        <v>0.10570824891328812</v>
      </c>
      <c r="R238">
        <v>5.919661745429039E-2</v>
      </c>
      <c r="S238">
        <v>7.0824526250362396E-2</v>
      </c>
      <c r="T238">
        <v>5.708245187997818E-2</v>
      </c>
      <c r="U238">
        <v>8.5623681545257568E-2</v>
      </c>
      <c r="V238">
        <v>6.6596195101737976E-2</v>
      </c>
      <c r="W238">
        <v>7.928118109703064E-2</v>
      </c>
      <c r="X238">
        <v>8.4566593170166016E-2</v>
      </c>
      <c r="Y238">
        <v>6.13107830286026E-2</v>
      </c>
      <c r="Z238">
        <v>6.13107830286026E-2</v>
      </c>
      <c r="AA238">
        <v>0.10570824891328812</v>
      </c>
      <c r="AB238">
        <v>6.976744532585144E-2</v>
      </c>
      <c r="AC238">
        <v>8.350951224565506E-2</v>
      </c>
      <c r="AD238">
        <v>6.2367863953113556E-2</v>
      </c>
      <c r="AE238">
        <v>8.0338269472122192E-2</v>
      </c>
      <c r="AF238">
        <v>8.1395350396633148E-2</v>
      </c>
      <c r="AG238">
        <v>8.1949055194854736E-2</v>
      </c>
      <c r="AH238">
        <v>9.7452931106090546E-2</v>
      </c>
      <c r="AI238">
        <v>7.0874862372875214E-2</v>
      </c>
      <c r="AJ238">
        <v>6.2015503644943237E-2</v>
      </c>
      <c r="AK238">
        <v>6.0908082872629166E-2</v>
      </c>
      <c r="AL238">
        <v>5.4263565689325333E-2</v>
      </c>
      <c r="AM238">
        <v>7.5304538011550903E-2</v>
      </c>
      <c r="AN238">
        <v>8.7486155331134796E-2</v>
      </c>
      <c r="AO238">
        <v>5.9800665825605392E-2</v>
      </c>
      <c r="AP238">
        <v>6.976744532585144E-2</v>
      </c>
      <c r="AQ238">
        <v>6.0908082872629166E-2</v>
      </c>
      <c r="AR238">
        <v>7.6411962509155273E-2</v>
      </c>
      <c r="AS238">
        <v>8.1949055194854736E-2</v>
      </c>
      <c r="AT238">
        <v>7.419712096452713E-2</v>
      </c>
      <c r="AU238">
        <v>7.7519379556179047E-2</v>
      </c>
      <c r="AV238">
        <v>5.9800665825605392E-2</v>
      </c>
      <c r="AW238">
        <v>6.866002082824707E-2</v>
      </c>
      <c r="AX238">
        <v>7.1982279419898987E-2</v>
      </c>
      <c r="AY238">
        <v>8.3056479692459106E-2</v>
      </c>
      <c r="AZ238">
        <v>6.6445179283618927E-2</v>
      </c>
      <c r="BA238">
        <v>6.0908082872629166E-2</v>
      </c>
      <c r="BB238">
        <v>6.312292069196701E-2</v>
      </c>
      <c r="BC238">
        <v>7.862679660320282E-2</v>
      </c>
      <c r="BD238">
        <v>0.11184938997030258</v>
      </c>
      <c r="BE238">
        <v>6.5337762236595154E-2</v>
      </c>
      <c r="BF238">
        <v>7.5304538011550903E-2</v>
      </c>
      <c r="BG238">
        <v>9.1915838420391083E-2</v>
      </c>
      <c r="BH238">
        <v>6.4230345189571381E-2</v>
      </c>
      <c r="BI238">
        <v>7.5304538011550903E-2</v>
      </c>
      <c r="BJ238">
        <v>7.862679660320282E-2</v>
      </c>
      <c r="BK238">
        <v>6.312292069196701E-2</v>
      </c>
      <c r="BL238">
        <v>9.4130672514438629E-2</v>
      </c>
      <c r="BM238">
        <v>6.7552603781223297E-2</v>
      </c>
      <c r="BN238">
        <v>7.6411962509155273E-2</v>
      </c>
      <c r="BO238">
        <v>9.1915838420391083E-2</v>
      </c>
      <c r="BP238">
        <v>9.8560355603694916E-2</v>
      </c>
      <c r="BQ238">
        <v>6.866002082824707E-2</v>
      </c>
      <c r="BR238">
        <v>7.6411962509155273E-2</v>
      </c>
      <c r="BS238">
        <v>6.0908082872629166E-2</v>
      </c>
      <c r="BT238">
        <v>8.9700996875762939E-2</v>
      </c>
      <c r="BU238">
        <v>6.976744532585144E-2</v>
      </c>
      <c r="BV238">
        <v>8.9700996875762939E-2</v>
      </c>
      <c r="BW238">
        <v>6.5337762236595154E-2</v>
      </c>
      <c r="BX238">
        <v>8.6378738284111023E-2</v>
      </c>
      <c r="BY238">
        <v>7.5304538011550903E-2</v>
      </c>
      <c r="BZ238">
        <v>5.6478403508663177E-2</v>
      </c>
      <c r="CA238">
        <v>8.416389673948288E-2</v>
      </c>
      <c r="CB238">
        <v>8.6378738284111023E-2</v>
      </c>
      <c r="CC238">
        <v>6.2015503644943237E-2</v>
      </c>
      <c r="CD238">
        <v>8.7486155331134796E-2</v>
      </c>
      <c r="CE238">
        <v>5.2048727869987488E-2</v>
      </c>
      <c r="CF238">
        <v>6.7552603781223297E-2</v>
      </c>
      <c r="CG238">
        <v>9.3023255467414856E-2</v>
      </c>
      <c r="CH238">
        <v>7.6411962509155273E-2</v>
      </c>
      <c r="CI238">
        <v>7.6411962509155273E-2</v>
      </c>
      <c r="CJ238">
        <v>8.1949055194854736E-2</v>
      </c>
      <c r="CK238">
        <v>8.3056479692459106E-2</v>
      </c>
      <c r="CL238">
        <v>8.416389673948288E-2</v>
      </c>
      <c r="CM238">
        <v>7.419712096452713E-2</v>
      </c>
      <c r="CN238">
        <v>7.7519379556179047E-2</v>
      </c>
      <c r="CO238">
        <v>7.0874862372875214E-2</v>
      </c>
      <c r="CP238">
        <v>6.976744532585144E-2</v>
      </c>
      <c r="CQ238">
        <v>7.3089703917503357E-2</v>
      </c>
      <c r="CR238">
        <v>7.0874862372875214E-2</v>
      </c>
      <c r="CS238">
        <v>7.3089703917503357E-2</v>
      </c>
      <c r="CT238">
        <v>8.527132123708725E-2</v>
      </c>
      <c r="CU238">
        <v>7.6411962509155273E-2</v>
      </c>
      <c r="CV238">
        <v>8.7486155331134796E-2</v>
      </c>
      <c r="CW238">
        <v>6.976744532585144E-2</v>
      </c>
      <c r="CX238">
        <v>7.973422110080719E-2</v>
      </c>
      <c r="CY238">
        <v>0.10188261419534683</v>
      </c>
      <c r="CZ238">
        <v>8.6378738284111023E-2</v>
      </c>
      <c r="DA238">
        <v>6.976744532585144E-2</v>
      </c>
      <c r="DB238">
        <v>6.5337762236595154E-2</v>
      </c>
      <c r="DC238">
        <v>7.419712096452713E-2</v>
      </c>
      <c r="DD238">
        <v>6.976744532585144E-2</v>
      </c>
      <c r="DE238">
        <v>7.3089703917503357E-2</v>
      </c>
      <c r="DF238">
        <v>8.527132123708725E-2</v>
      </c>
      <c r="DG238">
        <v>5.0941307097673416E-2</v>
      </c>
      <c r="DH238">
        <v>0.10188261419534683</v>
      </c>
      <c r="DI238">
        <v>7.5304538011550903E-2</v>
      </c>
      <c r="DJ238">
        <v>5.5370986461639404E-2</v>
      </c>
      <c r="DK238">
        <v>8.0841638147830963E-2</v>
      </c>
      <c r="DL238">
        <v>7.973422110080719E-2</v>
      </c>
      <c r="DM238">
        <v>7.0874862372875214E-2</v>
      </c>
      <c r="DN238">
        <v>6.0908082872629166E-2</v>
      </c>
      <c r="DO238">
        <v>6.6445179283618927E-2</v>
      </c>
      <c r="DP238">
        <v>6.2015503644943237E-2</v>
      </c>
      <c r="DQ238">
        <v>6.866002082824707E-2</v>
      </c>
      <c r="DR238">
        <v>9.5238097012042999E-2</v>
      </c>
      <c r="DS238">
        <v>7.7519379556179047E-2</v>
      </c>
      <c r="DT238">
        <v>7.6411962509155273E-2</v>
      </c>
      <c r="DU238">
        <v>6.976744532585144E-2</v>
      </c>
      <c r="DV238">
        <v>7.862679660320282E-2</v>
      </c>
      <c r="DW238">
        <v>0.12735326588153839</v>
      </c>
      <c r="DX238">
        <v>7.3089703917503357E-2</v>
      </c>
      <c r="DY238">
        <v>5.7585824280977249E-2</v>
      </c>
      <c r="DZ238">
        <v>9.0808413922786713E-2</v>
      </c>
      <c r="EA238">
        <v>8.7486155331134796E-2</v>
      </c>
      <c r="EB238">
        <v>5.9800665825605392E-2</v>
      </c>
      <c r="EC238">
        <v>8.416389673948288E-2</v>
      </c>
      <c r="ED238">
        <v>6.976744532585144E-2</v>
      </c>
      <c r="EE238">
        <v>4.9833886325359344E-2</v>
      </c>
      <c r="EF238">
        <v>8.416389673948288E-2</v>
      </c>
      <c r="EG238">
        <v>7.6411962509155273E-2</v>
      </c>
      <c r="EH238">
        <v>5.8693245053291321E-2</v>
      </c>
      <c r="EI238">
        <v>6.976744532585144E-2</v>
      </c>
      <c r="EJ238">
        <v>6.0908082872629166E-2</v>
      </c>
      <c r="EK238">
        <v>6.5337762236595154E-2</v>
      </c>
      <c r="EL238">
        <v>8.8593579828739166E-2</v>
      </c>
      <c r="EM238">
        <v>5.3156144917011261E-2</v>
      </c>
      <c r="EN238">
        <v>6.0908082872629166E-2</v>
      </c>
      <c r="EO238">
        <v>7.973422110080719E-2</v>
      </c>
      <c r="EP238">
        <v>5.8693245053291321E-2</v>
      </c>
      <c r="EQ238">
        <v>9.3023255467414856E-2</v>
      </c>
      <c r="ER238">
        <v>6.0908082872629166E-2</v>
      </c>
      <c r="ES238">
        <v>8.416389673948288E-2</v>
      </c>
      <c r="ET238">
        <v>7.862679660320282E-2</v>
      </c>
      <c r="EU238">
        <v>8.3056479692459106E-2</v>
      </c>
      <c r="EV238">
        <v>7.5304538011550903E-2</v>
      </c>
      <c r="EW238">
        <v>7.0874862372875214E-2</v>
      </c>
      <c r="EX238">
        <v>6.6445179283618927E-2</v>
      </c>
      <c r="EY238">
        <v>5.5370986461639404E-2</v>
      </c>
      <c r="EZ238">
        <v>9.6345514059066772E-2</v>
      </c>
      <c r="FA238">
        <v>8.0841638147830963E-2</v>
      </c>
      <c r="FB238">
        <v>7.7519379556179047E-2</v>
      </c>
      <c r="FC238">
        <v>8.527132123708725E-2</v>
      </c>
      <c r="FD238">
        <v>5.7585824280977249E-2</v>
      </c>
      <c r="FE238">
        <v>0.10741971433162689</v>
      </c>
      <c r="FF238">
        <v>7.973422110080719E-2</v>
      </c>
      <c r="FG238">
        <v>5.2048727869987488E-2</v>
      </c>
      <c r="FH238">
        <v>6.4230345189571381E-2</v>
      </c>
      <c r="FI238">
        <v>7.5304538011550903E-2</v>
      </c>
      <c r="FJ238">
        <v>6.5337762236595154E-2</v>
      </c>
      <c r="FK238">
        <v>0.12070874869823456</v>
      </c>
      <c r="FL238">
        <v>7.973422110080719E-2</v>
      </c>
      <c r="FM238">
        <v>7.1982279419898987E-2</v>
      </c>
      <c r="FN238">
        <v>8.1949055194854736E-2</v>
      </c>
      <c r="FO238">
        <v>6.312292069196701E-2</v>
      </c>
      <c r="FP238">
        <v>7.419712096452713E-2</v>
      </c>
      <c r="FQ238">
        <v>9.5238097012042999E-2</v>
      </c>
      <c r="FR238">
        <v>0.11295680701732635</v>
      </c>
      <c r="FS238">
        <v>6.5337762236595154E-2</v>
      </c>
      <c r="FT238">
        <v>9.7452931106090546E-2</v>
      </c>
      <c r="FU238">
        <v>0.10520487278699875</v>
      </c>
      <c r="FV238">
        <v>7.7519379556179047E-2</v>
      </c>
      <c r="FW238">
        <v>5.8693245053291321E-2</v>
      </c>
      <c r="FX238">
        <v>7.5304538011550903E-2</v>
      </c>
      <c r="FY238">
        <v>5.6478403508663177E-2</v>
      </c>
      <c r="FZ238">
        <v>6.866002082824707E-2</v>
      </c>
      <c r="GA238">
        <v>8.416389673948288E-2</v>
      </c>
      <c r="GB238">
        <v>7.3089703917503357E-2</v>
      </c>
      <c r="GC238">
        <v>8.8593579828739166E-2</v>
      </c>
      <c r="GD238">
        <v>6.866002082824707E-2</v>
      </c>
      <c r="GE238">
        <v>8.0841638147830963E-2</v>
      </c>
      <c r="GF238">
        <v>5.8693245053291321E-2</v>
      </c>
      <c r="GG238">
        <v>6.866002082824707E-2</v>
      </c>
      <c r="GH238">
        <v>6.0908082872629166E-2</v>
      </c>
      <c r="GI238">
        <v>7.1982279419898987E-2</v>
      </c>
      <c r="GJ238">
        <v>5.8693245053291321E-2</v>
      </c>
      <c r="GK238">
        <v>9.1915838420391083E-2</v>
      </c>
      <c r="GL238">
        <v>7.7519379556179047E-2</v>
      </c>
      <c r="GM238">
        <v>5.2048727869987488E-2</v>
      </c>
      <c r="GN238">
        <v>0.10299003124237061</v>
      </c>
      <c r="GO238">
        <v>6.7552603781223297E-2</v>
      </c>
      <c r="GP238">
        <v>9.4130672514438629E-2</v>
      </c>
      <c r="GQ238">
        <v>6.312292069196701E-2</v>
      </c>
      <c r="GR238">
        <v>6.7552603781223297E-2</v>
      </c>
      <c r="GS238">
        <v>8.9700996875762939E-2</v>
      </c>
      <c r="GT238">
        <v>6.0908082872629166E-2</v>
      </c>
      <c r="GU238">
        <v>7.973422110080719E-2</v>
      </c>
      <c r="GV238">
        <v>5.7585824280977249E-2</v>
      </c>
      <c r="GW238">
        <v>6.6445179283618927E-2</v>
      </c>
      <c r="GX238">
        <v>6.7552603781223297E-2</v>
      </c>
      <c r="GY238">
        <v>6.0908082872629166E-2</v>
      </c>
      <c r="GZ238">
        <v>0.11074197292327881</v>
      </c>
      <c r="HA238">
        <v>6.0908082872629166E-2</v>
      </c>
      <c r="HB238">
        <v>8.6378738284111023E-2</v>
      </c>
      <c r="HC238">
        <v>0.10741971433162689</v>
      </c>
      <c r="HD238">
        <v>3.8759689778089523E-2</v>
      </c>
      <c r="HE238">
        <v>0.11738649010658264</v>
      </c>
      <c r="HF238">
        <v>6.0908082872629166E-2</v>
      </c>
      <c r="HG238">
        <v>8.0841638147830963E-2</v>
      </c>
      <c r="HH238">
        <v>6.5337762236595154E-2</v>
      </c>
      <c r="HI238">
        <v>8.6378738284111023E-2</v>
      </c>
      <c r="HJ238">
        <v>5.6478403508663177E-2</v>
      </c>
      <c r="HK238">
        <v>7.862679660320282E-2</v>
      </c>
      <c r="HL238">
        <v>8.1949055194854736E-2</v>
      </c>
      <c r="HM238">
        <v>5.5370986461639404E-2</v>
      </c>
      <c r="HN238">
        <v>6.4230345189571381E-2</v>
      </c>
      <c r="HO238">
        <v>0.1151716485619545</v>
      </c>
      <c r="HP238">
        <v>8.0841638147830963E-2</v>
      </c>
      <c r="HQ238">
        <v>8.527132123708725E-2</v>
      </c>
      <c r="HR238">
        <v>0.11295680701732635</v>
      </c>
    </row>
    <row r="239" spans="4:228" x14ac:dyDescent="0.25">
      <c r="D239" s="41" t="str" cm="1">
        <f t="array" ref="D239">IF(H239="","",IF(AND(E239&lt;AVERAGE(E238,E240)*($L$19/100),$D$23:D238=""),H239,""))</f>
        <v/>
      </c>
      <c r="E239" s="78">
        <f t="shared" si="4"/>
        <v>2.8834942583114836E-3</v>
      </c>
      <c r="F239" s="79"/>
      <c r="H239">
        <v>217</v>
      </c>
      <c r="I239">
        <v>7.6933494258311488E-2</v>
      </c>
      <c r="K239">
        <v>6.7552603781223297E-2</v>
      </c>
      <c r="L239">
        <v>7.973422110080719E-2</v>
      </c>
      <c r="M239">
        <v>6.0908082872629166E-2</v>
      </c>
      <c r="N239">
        <v>6.5337762236595154E-2</v>
      </c>
      <c r="O239">
        <v>6.6445179283618927E-2</v>
      </c>
      <c r="P239">
        <v>0.10409745573997498</v>
      </c>
      <c r="Q239">
        <v>7.419712096452713E-2</v>
      </c>
      <c r="R239">
        <v>8.0841638147830963E-2</v>
      </c>
      <c r="S239">
        <v>7.5304538011550903E-2</v>
      </c>
      <c r="T239">
        <v>7.419712096452713E-2</v>
      </c>
      <c r="U239">
        <v>9.3023255467414856E-2</v>
      </c>
      <c r="V239">
        <v>0.10852713137865067</v>
      </c>
      <c r="W239">
        <v>8.1949055194854736E-2</v>
      </c>
      <c r="X239">
        <v>6.976744532585144E-2</v>
      </c>
      <c r="Y239">
        <v>7.5304538011550903E-2</v>
      </c>
      <c r="Z239">
        <v>8.1949055194854736E-2</v>
      </c>
      <c r="AA239">
        <v>7.419712096452713E-2</v>
      </c>
      <c r="AB239">
        <v>7.3089703917503357E-2</v>
      </c>
      <c r="AC239">
        <v>6.2015503644943237E-2</v>
      </c>
      <c r="AD239">
        <v>8.8593579828739166E-2</v>
      </c>
      <c r="AE239">
        <v>6.5337762236595154E-2</v>
      </c>
      <c r="AF239">
        <v>7.0874862372875214E-2</v>
      </c>
      <c r="AG239">
        <v>6.976744532585144E-2</v>
      </c>
      <c r="AH239">
        <v>0.12624584138393402</v>
      </c>
      <c r="AI239">
        <v>6.976744532585144E-2</v>
      </c>
      <c r="AJ239">
        <v>8.0841638147830963E-2</v>
      </c>
      <c r="AK239">
        <v>8.0841638147830963E-2</v>
      </c>
      <c r="AL239">
        <v>6.976744532585144E-2</v>
      </c>
      <c r="AM239">
        <v>6.312292069196701E-2</v>
      </c>
      <c r="AN239">
        <v>8.3056479692459106E-2</v>
      </c>
      <c r="AO239">
        <v>9.3023255467414856E-2</v>
      </c>
      <c r="AP239">
        <v>7.0874862372875214E-2</v>
      </c>
      <c r="AQ239">
        <v>6.0908082872629166E-2</v>
      </c>
      <c r="AR239">
        <v>0.10188261419534683</v>
      </c>
      <c r="AS239">
        <v>8.0841638147830963E-2</v>
      </c>
      <c r="AT239">
        <v>6.866002082824707E-2</v>
      </c>
      <c r="AU239">
        <v>8.0841638147830963E-2</v>
      </c>
      <c r="AV239">
        <v>6.976744532585144E-2</v>
      </c>
      <c r="AW239">
        <v>0.11184938997030258</v>
      </c>
      <c r="AX239">
        <v>6.6445179283618927E-2</v>
      </c>
      <c r="AY239">
        <v>9.3023255467414856E-2</v>
      </c>
      <c r="AZ239">
        <v>8.3056479692459106E-2</v>
      </c>
      <c r="BA239">
        <v>7.0874862372875214E-2</v>
      </c>
      <c r="BB239">
        <v>8.8593579828739166E-2</v>
      </c>
      <c r="BC239">
        <v>0.10077519714832306</v>
      </c>
      <c r="BD239">
        <v>6.6445179283618927E-2</v>
      </c>
      <c r="BE239">
        <v>7.7519379556179047E-2</v>
      </c>
      <c r="BF239">
        <v>0.10188261419534683</v>
      </c>
      <c r="BG239">
        <v>7.6411962509155273E-2</v>
      </c>
      <c r="BH239">
        <v>9.6345514059066772E-2</v>
      </c>
      <c r="BI239">
        <v>8.0841638147830963E-2</v>
      </c>
      <c r="BJ239">
        <v>8.3056479692459106E-2</v>
      </c>
      <c r="BK239">
        <v>0.11849390715360641</v>
      </c>
      <c r="BL239">
        <v>7.7519379556179047E-2</v>
      </c>
      <c r="BM239">
        <v>8.1949055194854736E-2</v>
      </c>
      <c r="BN239">
        <v>6.2015503644943237E-2</v>
      </c>
      <c r="BO239">
        <v>7.1982279419898987E-2</v>
      </c>
      <c r="BP239">
        <v>6.7552603781223297E-2</v>
      </c>
      <c r="BQ239">
        <v>7.6411962509155273E-2</v>
      </c>
      <c r="BR239">
        <v>9.1915838420391083E-2</v>
      </c>
      <c r="BS239">
        <v>7.3089703917503357E-2</v>
      </c>
      <c r="BT239">
        <v>6.312292069196701E-2</v>
      </c>
      <c r="BU239">
        <v>6.976744532585144E-2</v>
      </c>
      <c r="BV239">
        <v>7.6411962509155273E-2</v>
      </c>
      <c r="BW239">
        <v>0.12846069037914276</v>
      </c>
      <c r="BX239">
        <v>6.0908082872629166E-2</v>
      </c>
      <c r="BY239">
        <v>8.8593579828739166E-2</v>
      </c>
      <c r="BZ239">
        <v>7.6411962509155273E-2</v>
      </c>
      <c r="CA239">
        <v>6.5337762236595154E-2</v>
      </c>
      <c r="CB239">
        <v>8.1949055194854736E-2</v>
      </c>
      <c r="CC239">
        <v>6.976744532585144E-2</v>
      </c>
      <c r="CD239">
        <v>8.7486155331134796E-2</v>
      </c>
      <c r="CE239">
        <v>8.527132123708725E-2</v>
      </c>
      <c r="CF239">
        <v>8.3056479692459106E-2</v>
      </c>
      <c r="CG239">
        <v>6.976744532585144E-2</v>
      </c>
      <c r="CH239">
        <v>8.527132123708725E-2</v>
      </c>
      <c r="CI239">
        <v>7.0874862372875214E-2</v>
      </c>
      <c r="CJ239">
        <v>8.416389673948288E-2</v>
      </c>
      <c r="CK239">
        <v>7.7519379556179047E-2</v>
      </c>
      <c r="CL239">
        <v>0.10188261419534683</v>
      </c>
      <c r="CM239">
        <v>7.3089703917503357E-2</v>
      </c>
      <c r="CN239">
        <v>8.9700996875762939E-2</v>
      </c>
      <c r="CO239">
        <v>7.7519379556179047E-2</v>
      </c>
      <c r="CP239">
        <v>6.4230345189571381E-2</v>
      </c>
      <c r="CQ239">
        <v>6.5337762236595154E-2</v>
      </c>
      <c r="CR239">
        <v>6.2015503644943237E-2</v>
      </c>
      <c r="CS239">
        <v>6.976744532585144E-2</v>
      </c>
      <c r="CT239">
        <v>6.6445179283618927E-2</v>
      </c>
      <c r="CU239">
        <v>6.2015503644943237E-2</v>
      </c>
      <c r="CV239">
        <v>8.9700996875762939E-2</v>
      </c>
      <c r="CW239">
        <v>7.0874862372875214E-2</v>
      </c>
      <c r="CX239">
        <v>7.5304538011550903E-2</v>
      </c>
      <c r="CY239">
        <v>5.2048727869987488E-2</v>
      </c>
      <c r="CZ239">
        <v>8.1949055194854736E-2</v>
      </c>
      <c r="DA239">
        <v>8.1949055194854736E-2</v>
      </c>
      <c r="DB239">
        <v>7.0874862372875214E-2</v>
      </c>
      <c r="DC239">
        <v>0.10409745573997498</v>
      </c>
      <c r="DD239">
        <v>8.0841638147830963E-2</v>
      </c>
      <c r="DE239">
        <v>8.1949055194854736E-2</v>
      </c>
      <c r="DF239">
        <v>8.416389673948288E-2</v>
      </c>
      <c r="DG239">
        <v>8.8593579828739166E-2</v>
      </c>
      <c r="DH239">
        <v>0.10520487278699875</v>
      </c>
      <c r="DI239">
        <v>7.7519379556179047E-2</v>
      </c>
      <c r="DJ239">
        <v>7.1982279419898987E-2</v>
      </c>
      <c r="DK239">
        <v>5.7585824280977249E-2</v>
      </c>
      <c r="DL239">
        <v>7.419712096452713E-2</v>
      </c>
      <c r="DM239">
        <v>8.3056479692459106E-2</v>
      </c>
      <c r="DN239">
        <v>7.973422110080719E-2</v>
      </c>
      <c r="DO239">
        <v>7.7519379556179047E-2</v>
      </c>
      <c r="DP239">
        <v>8.416389673948288E-2</v>
      </c>
      <c r="DQ239">
        <v>6.0908082872629166E-2</v>
      </c>
      <c r="DR239">
        <v>5.7585824280977249E-2</v>
      </c>
      <c r="DS239">
        <v>8.9700996875762939E-2</v>
      </c>
      <c r="DT239">
        <v>7.3089703917503357E-2</v>
      </c>
      <c r="DU239">
        <v>6.7552603781223297E-2</v>
      </c>
      <c r="DV239">
        <v>9.3023255467414856E-2</v>
      </c>
      <c r="DW239">
        <v>7.0874862372875214E-2</v>
      </c>
      <c r="DX239">
        <v>7.7519379556179047E-2</v>
      </c>
      <c r="DY239">
        <v>6.866002082824707E-2</v>
      </c>
      <c r="DZ239">
        <v>6.866002082824707E-2</v>
      </c>
      <c r="EA239">
        <v>5.9800665825605392E-2</v>
      </c>
      <c r="EB239">
        <v>0.10409745573997498</v>
      </c>
      <c r="EC239">
        <v>7.6411962509155273E-2</v>
      </c>
      <c r="ED239">
        <v>7.6411962509155273E-2</v>
      </c>
      <c r="EE239">
        <v>6.6445179283618927E-2</v>
      </c>
      <c r="EF239">
        <v>7.973422110080719E-2</v>
      </c>
      <c r="EG239">
        <v>5.8693245053291321E-2</v>
      </c>
      <c r="EH239">
        <v>9.1915838420391083E-2</v>
      </c>
      <c r="EI239">
        <v>6.4230345189571381E-2</v>
      </c>
      <c r="EJ239">
        <v>6.2015503644943237E-2</v>
      </c>
      <c r="EK239">
        <v>9.3023255467414856E-2</v>
      </c>
      <c r="EL239">
        <v>6.312292069196701E-2</v>
      </c>
      <c r="EM239">
        <v>8.9700996875762939E-2</v>
      </c>
      <c r="EN239">
        <v>7.1982279419898987E-2</v>
      </c>
      <c r="EO239">
        <v>0.11406423151493073</v>
      </c>
      <c r="EP239">
        <v>8.7486155331134796E-2</v>
      </c>
      <c r="EQ239">
        <v>7.1982279419898987E-2</v>
      </c>
      <c r="ER239">
        <v>6.7552603781223297E-2</v>
      </c>
      <c r="ES239">
        <v>7.1982279419898987E-2</v>
      </c>
      <c r="ET239">
        <v>9.4130672514438629E-2</v>
      </c>
      <c r="EU239">
        <v>8.7486155331134796E-2</v>
      </c>
      <c r="EV239">
        <v>7.7519379556179047E-2</v>
      </c>
      <c r="EW239">
        <v>9.9667772650718689E-2</v>
      </c>
      <c r="EX239">
        <v>6.976744532585144E-2</v>
      </c>
      <c r="EY239">
        <v>8.0841638147830963E-2</v>
      </c>
      <c r="EZ239">
        <v>8.3056479692459106E-2</v>
      </c>
      <c r="FA239">
        <v>7.862679660320282E-2</v>
      </c>
      <c r="FB239">
        <v>5.9800665825605392E-2</v>
      </c>
      <c r="FC239">
        <v>6.2015503644943237E-2</v>
      </c>
      <c r="FD239">
        <v>8.7486155331134796E-2</v>
      </c>
      <c r="FE239">
        <v>7.6411962509155273E-2</v>
      </c>
      <c r="FF239">
        <v>0.10409745573997498</v>
      </c>
      <c r="FG239">
        <v>4.9833886325359344E-2</v>
      </c>
      <c r="FH239">
        <v>6.0908082872629166E-2</v>
      </c>
      <c r="FI239">
        <v>9.4130672514438629E-2</v>
      </c>
      <c r="FJ239">
        <v>5.9800665825605392E-2</v>
      </c>
      <c r="FK239">
        <v>7.3089703917503357E-2</v>
      </c>
      <c r="FL239">
        <v>9.0808413922786713E-2</v>
      </c>
      <c r="FM239">
        <v>7.973422110080719E-2</v>
      </c>
      <c r="FN239">
        <v>6.2015503644943237E-2</v>
      </c>
      <c r="FO239">
        <v>6.5337762236595154E-2</v>
      </c>
      <c r="FP239">
        <v>6.866002082824707E-2</v>
      </c>
      <c r="FQ239">
        <v>6.312292069196701E-2</v>
      </c>
      <c r="FR239">
        <v>7.419712096452713E-2</v>
      </c>
      <c r="FS239">
        <v>7.7519379556179047E-2</v>
      </c>
      <c r="FT239">
        <v>5.7585824280977249E-2</v>
      </c>
      <c r="FU239">
        <v>0.10520487278699875</v>
      </c>
      <c r="FV239">
        <v>7.1982279419898987E-2</v>
      </c>
      <c r="FW239">
        <v>6.976744532585144E-2</v>
      </c>
      <c r="FX239">
        <v>9.4130672514438629E-2</v>
      </c>
      <c r="FY239">
        <v>7.0874862372875214E-2</v>
      </c>
      <c r="FZ239">
        <v>6.866002082824707E-2</v>
      </c>
      <c r="GA239">
        <v>8.6378738284111023E-2</v>
      </c>
      <c r="GB239">
        <v>8.6378738284111023E-2</v>
      </c>
      <c r="GC239">
        <v>7.3089703917503357E-2</v>
      </c>
      <c r="GD239">
        <v>8.0841638147830963E-2</v>
      </c>
      <c r="GE239">
        <v>6.976744532585144E-2</v>
      </c>
      <c r="GF239">
        <v>0.10188261419534683</v>
      </c>
      <c r="GG239">
        <v>8.6378738284111023E-2</v>
      </c>
      <c r="GH239">
        <v>5.8693245053291321E-2</v>
      </c>
      <c r="GI239">
        <v>7.862679660320282E-2</v>
      </c>
      <c r="GJ239">
        <v>6.312292069196701E-2</v>
      </c>
      <c r="GK239">
        <v>5.6478403508663177E-2</v>
      </c>
      <c r="GL239">
        <v>7.7519379556179047E-2</v>
      </c>
      <c r="GM239">
        <v>6.6445179283618927E-2</v>
      </c>
      <c r="GN239">
        <v>5.3156144917011261E-2</v>
      </c>
      <c r="GO239">
        <v>7.5304538011550903E-2</v>
      </c>
      <c r="GP239">
        <v>8.7486155331134796E-2</v>
      </c>
      <c r="GQ239">
        <v>6.976744532585144E-2</v>
      </c>
      <c r="GR239">
        <v>5.7585824280977249E-2</v>
      </c>
      <c r="GS239">
        <v>7.3089703917503357E-2</v>
      </c>
      <c r="GT239">
        <v>5.9800665825605392E-2</v>
      </c>
      <c r="GU239">
        <v>6.4230345189571381E-2</v>
      </c>
      <c r="GV239">
        <v>5.2048727869987488E-2</v>
      </c>
      <c r="GW239">
        <v>6.2015503644943237E-2</v>
      </c>
      <c r="GX239">
        <v>5.0941307097673416E-2</v>
      </c>
      <c r="GY239">
        <v>8.4785133600234985E-2</v>
      </c>
      <c r="GZ239">
        <v>6.2717773020267487E-2</v>
      </c>
      <c r="HA239">
        <v>5.3426247090101242E-2</v>
      </c>
      <c r="HB239">
        <v>0.10801393538713455</v>
      </c>
      <c r="HC239">
        <v>6.3879206776618958E-2</v>
      </c>
      <c r="HD239">
        <v>9.4076655805110931E-2</v>
      </c>
      <c r="HE239">
        <v>5.6910570710897446E-2</v>
      </c>
      <c r="HF239">
        <v>0.11962834000587463</v>
      </c>
      <c r="HG239">
        <v>7.7816493809223175E-2</v>
      </c>
      <c r="HH239">
        <v>6.155632808804512E-2</v>
      </c>
      <c r="HI239">
        <v>7.0847854018211365E-2</v>
      </c>
      <c r="HJ239">
        <v>6.0394890606403351E-2</v>
      </c>
      <c r="HK239">
        <v>7.5493611395359039E-2</v>
      </c>
      <c r="HL239">
        <v>7.5493611395359039E-2</v>
      </c>
      <c r="HM239">
        <v>8.0139376223087311E-2</v>
      </c>
      <c r="HN239">
        <v>6.155632808804512E-2</v>
      </c>
      <c r="HO239">
        <v>8.3623692393302917E-2</v>
      </c>
      <c r="HP239">
        <v>6.9686412811279297E-2</v>
      </c>
      <c r="HQ239">
        <v>5.8072008192539215E-2</v>
      </c>
      <c r="HR239">
        <v>8.246225118637085E-2</v>
      </c>
      <c r="HS239">
        <v>7.5493611395359039E-2</v>
      </c>
    </row>
    <row r="240" spans="4:228" x14ac:dyDescent="0.25">
      <c r="D240" s="41" t="str" cm="1">
        <f t="array" ref="D240">IF(H240="","",IF(AND(E240&lt;AVERAGE(E239,E241)*($L$19/100),$D$23:D239=""),H240,""))</f>
        <v/>
      </c>
      <c r="E240" s="78">
        <f t="shared" si="4"/>
        <v>2.5808916339633559E-3</v>
      </c>
      <c r="F240" s="79"/>
      <c r="H240">
        <v>218</v>
      </c>
      <c r="I240">
        <v>7.6630891633963361E-2</v>
      </c>
      <c r="K240">
        <v>7.7519379556179047E-2</v>
      </c>
      <c r="L240">
        <v>7.7519379556179047E-2</v>
      </c>
      <c r="M240">
        <v>7.7519379556179047E-2</v>
      </c>
      <c r="N240">
        <v>7.3089703917503357E-2</v>
      </c>
      <c r="O240">
        <v>5.3156144917011261E-2</v>
      </c>
      <c r="P240">
        <v>7.5304538011550903E-2</v>
      </c>
      <c r="Q240">
        <v>9.7452931106090546E-2</v>
      </c>
      <c r="R240">
        <v>6.4230345189571381E-2</v>
      </c>
      <c r="S240">
        <v>6.5337762236595154E-2</v>
      </c>
      <c r="T240">
        <v>8.6378738284111023E-2</v>
      </c>
      <c r="U240">
        <v>7.7519379556179047E-2</v>
      </c>
      <c r="V240">
        <v>0.10409745573997498</v>
      </c>
      <c r="W240">
        <v>7.6411962509155273E-2</v>
      </c>
      <c r="X240">
        <v>6.4230345189571381E-2</v>
      </c>
      <c r="Y240">
        <v>7.6411962509155273E-2</v>
      </c>
      <c r="Z240">
        <v>7.7519379556179047E-2</v>
      </c>
      <c r="AA240">
        <v>6.4230345189571381E-2</v>
      </c>
      <c r="AB240">
        <v>9.8560355603694916E-2</v>
      </c>
      <c r="AC240">
        <v>5.8693245053291321E-2</v>
      </c>
      <c r="AD240">
        <v>9.6345514059066772E-2</v>
      </c>
      <c r="AE240">
        <v>6.2015503644943237E-2</v>
      </c>
      <c r="AF240">
        <v>6.0908082872629166E-2</v>
      </c>
      <c r="AG240">
        <v>8.1949055194854736E-2</v>
      </c>
      <c r="AH240">
        <v>6.4230345189571381E-2</v>
      </c>
      <c r="AI240">
        <v>6.7552603781223297E-2</v>
      </c>
      <c r="AJ240">
        <v>9.4130672514438629E-2</v>
      </c>
      <c r="AK240">
        <v>8.7486155331134796E-2</v>
      </c>
      <c r="AL240">
        <v>8.1949055194854736E-2</v>
      </c>
      <c r="AM240">
        <v>7.419712096452713E-2</v>
      </c>
      <c r="AN240">
        <v>7.5304538011550903E-2</v>
      </c>
      <c r="AO240">
        <v>6.2015503644943237E-2</v>
      </c>
      <c r="AP240">
        <v>6.312292069196701E-2</v>
      </c>
      <c r="AQ240">
        <v>7.973422110080719E-2</v>
      </c>
      <c r="AR240">
        <v>8.8593579828739166E-2</v>
      </c>
      <c r="AS240">
        <v>8.9700996875762939E-2</v>
      </c>
      <c r="AT240">
        <v>7.862679660320282E-2</v>
      </c>
      <c r="AU240">
        <v>5.9800665825605392E-2</v>
      </c>
      <c r="AV240">
        <v>6.2015503644943237E-2</v>
      </c>
      <c r="AW240">
        <v>8.416389673948288E-2</v>
      </c>
      <c r="AX240">
        <v>8.6378738284111023E-2</v>
      </c>
      <c r="AY240">
        <v>8.6378738284111023E-2</v>
      </c>
      <c r="AZ240">
        <v>9.8560355603694916E-2</v>
      </c>
      <c r="BA240">
        <v>7.7519379556179047E-2</v>
      </c>
      <c r="BB240">
        <v>7.3089703917503357E-2</v>
      </c>
      <c r="BC240">
        <v>8.8593579828739166E-2</v>
      </c>
      <c r="BD240">
        <v>0.10077519714832306</v>
      </c>
      <c r="BE240">
        <v>7.3089703917503357E-2</v>
      </c>
      <c r="BF240">
        <v>0.11960133165121078</v>
      </c>
      <c r="BG240">
        <v>0.10520487278699875</v>
      </c>
      <c r="BH240">
        <v>8.6378738284111023E-2</v>
      </c>
      <c r="BI240">
        <v>8.1949055194854736E-2</v>
      </c>
      <c r="BJ240">
        <v>9.8560355603694916E-2</v>
      </c>
      <c r="BK240">
        <v>7.862679660320282E-2</v>
      </c>
      <c r="BL240">
        <v>7.0874862372875214E-2</v>
      </c>
      <c r="BM240">
        <v>6.4230345189571381E-2</v>
      </c>
      <c r="BN240">
        <v>7.862679660320282E-2</v>
      </c>
      <c r="BO240">
        <v>7.862679660320282E-2</v>
      </c>
      <c r="BP240">
        <v>8.0841638147830963E-2</v>
      </c>
      <c r="BQ240">
        <v>6.4230345189571381E-2</v>
      </c>
      <c r="BR240">
        <v>8.8593579828739166E-2</v>
      </c>
      <c r="BS240">
        <v>7.3089703917503357E-2</v>
      </c>
      <c r="BT240">
        <v>8.6378738284111023E-2</v>
      </c>
      <c r="BU240">
        <v>6.7552603781223297E-2</v>
      </c>
      <c r="BV240">
        <v>7.3089703917503357E-2</v>
      </c>
      <c r="BW240">
        <v>7.973422110080719E-2</v>
      </c>
      <c r="BX240">
        <v>6.2015503644943237E-2</v>
      </c>
      <c r="BY240">
        <v>6.866002082824707E-2</v>
      </c>
      <c r="BZ240">
        <v>5.8693245053291321E-2</v>
      </c>
      <c r="CA240">
        <v>0.11960133165121078</v>
      </c>
      <c r="CB240">
        <v>7.3089703917503357E-2</v>
      </c>
      <c r="CC240">
        <v>9.6345514059066772E-2</v>
      </c>
      <c r="CD240">
        <v>0.11184938997030258</v>
      </c>
      <c r="CE240">
        <v>7.5304538011550903E-2</v>
      </c>
      <c r="CF240">
        <v>7.419712096452713E-2</v>
      </c>
      <c r="CG240">
        <v>7.0874862372875214E-2</v>
      </c>
      <c r="CH240">
        <v>6.2015503644943237E-2</v>
      </c>
      <c r="CI240">
        <v>5.6478403508663177E-2</v>
      </c>
      <c r="CJ240">
        <v>7.973422110080719E-2</v>
      </c>
      <c r="CK240">
        <v>8.1949055194854736E-2</v>
      </c>
      <c r="CL240">
        <v>8.1949055194854736E-2</v>
      </c>
      <c r="CM240">
        <v>7.0874862372875214E-2</v>
      </c>
      <c r="CN240">
        <v>6.976744532585144E-2</v>
      </c>
      <c r="CO240">
        <v>6.312292069196701E-2</v>
      </c>
      <c r="CP240">
        <v>9.3023255467414856E-2</v>
      </c>
      <c r="CQ240">
        <v>8.0841638147830963E-2</v>
      </c>
      <c r="CR240">
        <v>5.8693245053291321E-2</v>
      </c>
      <c r="CS240">
        <v>0.10852713137865067</v>
      </c>
      <c r="CT240">
        <v>7.0874862372875214E-2</v>
      </c>
      <c r="CU240">
        <v>0.10963454842567444</v>
      </c>
      <c r="CV240">
        <v>6.0908082872629166E-2</v>
      </c>
      <c r="CW240">
        <v>5.8693245053291321E-2</v>
      </c>
      <c r="CX240">
        <v>8.416389673948288E-2</v>
      </c>
      <c r="CY240">
        <v>6.2015503644943237E-2</v>
      </c>
      <c r="CZ240">
        <v>6.866002082824707E-2</v>
      </c>
      <c r="DA240">
        <v>9.8560355603694916E-2</v>
      </c>
      <c r="DB240">
        <v>6.2015503644943237E-2</v>
      </c>
      <c r="DC240">
        <v>7.6411962509155273E-2</v>
      </c>
      <c r="DD240">
        <v>7.5304538011550903E-2</v>
      </c>
      <c r="DE240">
        <v>6.866002082824707E-2</v>
      </c>
      <c r="DF240">
        <v>9.9667772650718689E-2</v>
      </c>
      <c r="DG240">
        <v>6.7552603781223297E-2</v>
      </c>
      <c r="DH240">
        <v>9.0808413922786713E-2</v>
      </c>
      <c r="DI240">
        <v>6.312292069196701E-2</v>
      </c>
      <c r="DJ240">
        <v>4.208194836974144E-2</v>
      </c>
      <c r="DK240">
        <v>8.0841638147830963E-2</v>
      </c>
      <c r="DL240">
        <v>6.312292069196701E-2</v>
      </c>
      <c r="DM240">
        <v>6.6445179283618927E-2</v>
      </c>
      <c r="DN240">
        <v>8.0841638147830963E-2</v>
      </c>
      <c r="DO240">
        <v>6.866002082824707E-2</v>
      </c>
      <c r="DP240">
        <v>5.6478403508663177E-2</v>
      </c>
      <c r="DQ240">
        <v>7.973422110080719E-2</v>
      </c>
      <c r="DR240">
        <v>7.419712096452713E-2</v>
      </c>
      <c r="DS240">
        <v>9.9667772650718689E-2</v>
      </c>
      <c r="DT240">
        <v>8.1949055194854736E-2</v>
      </c>
      <c r="DU240">
        <v>7.862679660320282E-2</v>
      </c>
      <c r="DV240">
        <v>8.527132123708725E-2</v>
      </c>
      <c r="DW240">
        <v>6.4230345189571381E-2</v>
      </c>
      <c r="DX240">
        <v>7.0874862372875214E-2</v>
      </c>
      <c r="DY240">
        <v>9.3023255467414856E-2</v>
      </c>
      <c r="DZ240">
        <v>7.0874862372875214E-2</v>
      </c>
      <c r="EA240">
        <v>0.10963454842567444</v>
      </c>
      <c r="EB240">
        <v>6.7552603781223297E-2</v>
      </c>
      <c r="EC240">
        <v>6.5337762236595154E-2</v>
      </c>
      <c r="ED240">
        <v>0.11849390715360641</v>
      </c>
      <c r="EE240">
        <v>5.5370986461639404E-2</v>
      </c>
      <c r="EF240">
        <v>5.4263565689325333E-2</v>
      </c>
      <c r="EG240">
        <v>9.9667772650718689E-2</v>
      </c>
      <c r="EH240">
        <v>7.5304538011550903E-2</v>
      </c>
      <c r="EI240">
        <v>7.0874862372875214E-2</v>
      </c>
      <c r="EJ240">
        <v>5.8693245053291321E-2</v>
      </c>
      <c r="EK240">
        <v>8.1949055194854736E-2</v>
      </c>
      <c r="EL240">
        <v>8.3056479692459106E-2</v>
      </c>
      <c r="EM240">
        <v>8.9700996875762939E-2</v>
      </c>
      <c r="EN240">
        <v>5.8693245053291321E-2</v>
      </c>
      <c r="EO240">
        <v>8.416389673948288E-2</v>
      </c>
      <c r="EP240">
        <v>6.7552603781223297E-2</v>
      </c>
      <c r="EQ240">
        <v>6.6445179283618927E-2</v>
      </c>
      <c r="ER240">
        <v>6.866002082824707E-2</v>
      </c>
      <c r="ES240">
        <v>8.3056479692459106E-2</v>
      </c>
      <c r="ET240">
        <v>5.7585824280977249E-2</v>
      </c>
      <c r="EU240">
        <v>8.6378738284111023E-2</v>
      </c>
      <c r="EV240">
        <v>7.0874862372875214E-2</v>
      </c>
      <c r="EW240">
        <v>4.0974527597427368E-2</v>
      </c>
      <c r="EX240">
        <v>6.7552603781223297E-2</v>
      </c>
      <c r="EY240">
        <v>9.1915838420391083E-2</v>
      </c>
      <c r="EZ240">
        <v>5.7585824280977249E-2</v>
      </c>
      <c r="FA240">
        <v>7.5304538011550903E-2</v>
      </c>
      <c r="FB240">
        <v>6.312292069196701E-2</v>
      </c>
      <c r="FC240">
        <v>9.8560355603694916E-2</v>
      </c>
      <c r="FD240">
        <v>7.419712096452713E-2</v>
      </c>
      <c r="FE240">
        <v>6.976744532585144E-2</v>
      </c>
      <c r="FF240">
        <v>8.9700996875762939E-2</v>
      </c>
      <c r="FG240">
        <v>7.5304538011550903E-2</v>
      </c>
      <c r="FH240">
        <v>5.7585824280977249E-2</v>
      </c>
      <c r="FI240">
        <v>8.0139376223087311E-2</v>
      </c>
      <c r="FJ240">
        <v>9.7560971975326538E-2</v>
      </c>
      <c r="FK240">
        <v>8.246225118637085E-2</v>
      </c>
      <c r="FL240">
        <v>5.9233449399471283E-2</v>
      </c>
      <c r="FM240">
        <v>4.8780485987663269E-2</v>
      </c>
      <c r="FN240">
        <v>7.5493611395359039E-2</v>
      </c>
      <c r="FO240">
        <v>6.5040647983551025E-2</v>
      </c>
      <c r="FP240">
        <v>8.8269457221031189E-2</v>
      </c>
      <c r="FQ240">
        <v>8.4785133600234985E-2</v>
      </c>
      <c r="FR240">
        <v>7.4332170188426971E-2</v>
      </c>
      <c r="FS240">
        <v>8.943089097738266E-2</v>
      </c>
      <c r="FT240">
        <v>6.5040647983551025E-2</v>
      </c>
      <c r="FU240">
        <v>6.6202089190483093E-2</v>
      </c>
      <c r="FV240">
        <v>6.2717773020267487E-2</v>
      </c>
      <c r="FW240">
        <v>7.2009295225143433E-2</v>
      </c>
      <c r="FX240">
        <v>0.10220673680305481</v>
      </c>
      <c r="FY240">
        <v>7.3170728981494904E-2</v>
      </c>
      <c r="FZ240">
        <v>6.155632808804512E-2</v>
      </c>
      <c r="GA240">
        <v>7.7816493809223175E-2</v>
      </c>
      <c r="GB240">
        <v>6.8524971604347229E-2</v>
      </c>
      <c r="GC240">
        <v>5.5749129503965378E-2</v>
      </c>
      <c r="GD240">
        <v>6.7363530397415161E-2</v>
      </c>
      <c r="GE240">
        <v>9.1753773391246796E-2</v>
      </c>
      <c r="GF240">
        <v>6.0394890606403351E-2</v>
      </c>
      <c r="GG240">
        <v>9.5238097012042999E-2</v>
      </c>
      <c r="GH240">
        <v>6.5040647983551025E-2</v>
      </c>
      <c r="GI240">
        <v>5.1103368401527405E-2</v>
      </c>
      <c r="GJ240">
        <v>9.7560971975326538E-2</v>
      </c>
      <c r="GK240">
        <v>0.10104529559612274</v>
      </c>
      <c r="GL240">
        <v>7.6655052602291107E-2</v>
      </c>
      <c r="GM240">
        <v>5.5749129503965378E-2</v>
      </c>
      <c r="GN240">
        <v>0.10569106042385101</v>
      </c>
      <c r="GO240">
        <v>6.3879206776618958E-2</v>
      </c>
      <c r="GP240">
        <v>7.4332170188426971E-2</v>
      </c>
      <c r="GQ240">
        <v>0.11033681780099869</v>
      </c>
      <c r="GR240">
        <v>5.2264809608459473E-2</v>
      </c>
      <c r="GS240">
        <v>7.8977935016155243E-2</v>
      </c>
      <c r="GT240">
        <v>9.4076655805110931E-2</v>
      </c>
      <c r="GU240">
        <v>7.5493611395359039E-2</v>
      </c>
      <c r="GV240">
        <v>8.246225118637085E-2</v>
      </c>
      <c r="GW240">
        <v>7.7816493809223175E-2</v>
      </c>
      <c r="GX240">
        <v>6.7363530397415161E-2</v>
      </c>
      <c r="GY240">
        <v>6.8524971604347229E-2</v>
      </c>
      <c r="GZ240">
        <v>6.155632808804512E-2</v>
      </c>
      <c r="HA240">
        <v>0.11382114142179489</v>
      </c>
      <c r="HB240">
        <v>8.7108016014099121E-2</v>
      </c>
      <c r="HC240">
        <v>6.155632808804512E-2</v>
      </c>
      <c r="HD240">
        <v>0.10104529559612274</v>
      </c>
      <c r="HE240">
        <v>9.4076655805110931E-2</v>
      </c>
      <c r="HF240">
        <v>6.7363530397415161E-2</v>
      </c>
      <c r="HG240">
        <v>6.8524971604347229E-2</v>
      </c>
      <c r="HH240">
        <v>7.7816493809223175E-2</v>
      </c>
      <c r="HI240">
        <v>6.2717773020267487E-2</v>
      </c>
      <c r="HJ240">
        <v>6.7363530397415161E-2</v>
      </c>
      <c r="HK240">
        <v>7.0847854018211365E-2</v>
      </c>
      <c r="HL240">
        <v>6.6202089190483093E-2</v>
      </c>
      <c r="HM240">
        <v>7.6655052602291107E-2</v>
      </c>
      <c r="HN240">
        <v>8.8269457221031189E-2</v>
      </c>
      <c r="HO240">
        <v>9.4076655805110931E-2</v>
      </c>
      <c r="HP240">
        <v>7.2009295225143433E-2</v>
      </c>
      <c r="HQ240">
        <v>6.155632808804512E-2</v>
      </c>
      <c r="HR240">
        <v>6.6202089190483093E-2</v>
      </c>
      <c r="HS240">
        <v>7.4332170188426971E-2</v>
      </c>
      <c r="HT240">
        <v>6.2717773020267487E-2</v>
      </c>
    </row>
    <row r="241" spans="4:244" x14ac:dyDescent="0.25">
      <c r="D241" s="41" t="str" cm="1">
        <f t="array" ref="D241">IF(H241="","",IF(AND(E241&lt;AVERAGE(E240,E242)*($L$19/100),$D$23:D240=""),H241,""))</f>
        <v/>
      </c>
      <c r="E241" s="78">
        <f t="shared" si="4"/>
        <v>2.9136348298151177E-3</v>
      </c>
      <c r="F241" s="79"/>
      <c r="H241">
        <v>219</v>
      </c>
      <c r="I241">
        <v>7.6963634829815122E-2</v>
      </c>
      <c r="K241">
        <v>6.6445179283618927E-2</v>
      </c>
      <c r="L241">
        <v>6.2015503644943237E-2</v>
      </c>
      <c r="M241">
        <v>7.5304538011550903E-2</v>
      </c>
      <c r="N241">
        <v>6.5337762236595154E-2</v>
      </c>
      <c r="O241">
        <v>8.527132123708725E-2</v>
      </c>
      <c r="P241">
        <v>7.1982279419898987E-2</v>
      </c>
      <c r="Q241">
        <v>8.7486155331134796E-2</v>
      </c>
      <c r="R241">
        <v>5.9800665825605392E-2</v>
      </c>
      <c r="S241">
        <v>8.7486155331134796E-2</v>
      </c>
      <c r="T241">
        <v>7.6411962509155273E-2</v>
      </c>
      <c r="U241">
        <v>7.419712096452713E-2</v>
      </c>
      <c r="V241">
        <v>8.7486155331134796E-2</v>
      </c>
      <c r="W241">
        <v>7.5304538011550903E-2</v>
      </c>
      <c r="X241">
        <v>5.0941307097673416E-2</v>
      </c>
      <c r="Y241">
        <v>5.6478403508663177E-2</v>
      </c>
      <c r="Z241">
        <v>6.4230345189571381E-2</v>
      </c>
      <c r="AA241">
        <v>6.0908082872629166E-2</v>
      </c>
      <c r="AB241">
        <v>0.12735326588153839</v>
      </c>
      <c r="AC241">
        <v>9.6345514059066772E-2</v>
      </c>
      <c r="AD241">
        <v>7.6411962509155273E-2</v>
      </c>
      <c r="AE241">
        <v>9.6345514059066772E-2</v>
      </c>
      <c r="AF241">
        <v>8.3056479692459106E-2</v>
      </c>
      <c r="AG241">
        <v>8.3056479692459106E-2</v>
      </c>
      <c r="AH241">
        <v>0.10852713137865067</v>
      </c>
      <c r="AI241">
        <v>5.7585824280977249E-2</v>
      </c>
      <c r="AJ241">
        <v>7.7519379556179047E-2</v>
      </c>
      <c r="AK241">
        <v>7.862679660320282E-2</v>
      </c>
      <c r="AL241">
        <v>6.312292069196701E-2</v>
      </c>
      <c r="AM241">
        <v>7.5304538011550903E-2</v>
      </c>
      <c r="AN241">
        <v>6.4230345189571381E-2</v>
      </c>
      <c r="AO241">
        <v>5.9800665825605392E-2</v>
      </c>
      <c r="AP241">
        <v>7.419712096452713E-2</v>
      </c>
      <c r="AQ241">
        <v>6.7552603781223297E-2</v>
      </c>
      <c r="AR241">
        <v>9.0808413922786713E-2</v>
      </c>
      <c r="AS241">
        <v>5.7585824280977249E-2</v>
      </c>
      <c r="AT241">
        <v>9.5238097012042999E-2</v>
      </c>
      <c r="AU241">
        <v>6.6445179283618927E-2</v>
      </c>
      <c r="AV241">
        <v>6.2015503644943237E-2</v>
      </c>
      <c r="AW241">
        <v>8.9700996875762939E-2</v>
      </c>
      <c r="AX241">
        <v>6.6445179283618927E-2</v>
      </c>
      <c r="AY241">
        <v>6.866002082824707E-2</v>
      </c>
      <c r="AZ241">
        <v>7.862679660320282E-2</v>
      </c>
      <c r="BA241">
        <v>7.5304538011550903E-2</v>
      </c>
      <c r="BB241">
        <v>8.7486155331134796E-2</v>
      </c>
      <c r="BC241">
        <v>7.862679660320282E-2</v>
      </c>
      <c r="BD241">
        <v>9.9667772650718689E-2</v>
      </c>
      <c r="BE241">
        <v>6.7552603781223297E-2</v>
      </c>
      <c r="BF241">
        <v>7.5304538011550903E-2</v>
      </c>
      <c r="BG241">
        <v>6.4230345189571381E-2</v>
      </c>
      <c r="BH241">
        <v>7.7519379556179047E-2</v>
      </c>
      <c r="BI241">
        <v>5.7585824280977249E-2</v>
      </c>
      <c r="BJ241">
        <v>0.12846069037914276</v>
      </c>
      <c r="BK241">
        <v>7.5304538011550903E-2</v>
      </c>
      <c r="BL241">
        <v>0.10188261419534683</v>
      </c>
      <c r="BM241">
        <v>7.419712096452713E-2</v>
      </c>
      <c r="BN241">
        <v>8.3056479692459106E-2</v>
      </c>
      <c r="BO241">
        <v>6.4230345189571381E-2</v>
      </c>
      <c r="BP241">
        <v>9.5238097012042999E-2</v>
      </c>
      <c r="BQ241">
        <v>7.3089703917503357E-2</v>
      </c>
      <c r="BR241">
        <v>6.2015503644943237E-2</v>
      </c>
      <c r="BS241">
        <v>6.312292069196701E-2</v>
      </c>
      <c r="BT241">
        <v>8.416389673948288E-2</v>
      </c>
      <c r="BU241">
        <v>5.5370986461639404E-2</v>
      </c>
      <c r="BV241">
        <v>7.3089703917503357E-2</v>
      </c>
      <c r="BW241">
        <v>0.12513843178749084</v>
      </c>
      <c r="BX241">
        <v>7.0874862372875214E-2</v>
      </c>
      <c r="BY241">
        <v>7.973422110080719E-2</v>
      </c>
      <c r="BZ241">
        <v>9.0808413922786713E-2</v>
      </c>
      <c r="CA241">
        <v>7.0874862372875214E-2</v>
      </c>
      <c r="CB241">
        <v>8.3056479692459106E-2</v>
      </c>
      <c r="CC241">
        <v>0.10963454842567444</v>
      </c>
      <c r="CD241">
        <v>0.10631228983402252</v>
      </c>
      <c r="CE241">
        <v>6.5337762236595154E-2</v>
      </c>
      <c r="CF241">
        <v>6.5337762236595154E-2</v>
      </c>
      <c r="CG241">
        <v>7.973422110080719E-2</v>
      </c>
      <c r="CH241">
        <v>7.862679660320282E-2</v>
      </c>
      <c r="CI241">
        <v>0.11074197292327881</v>
      </c>
      <c r="CJ241">
        <v>9.4130672514438629E-2</v>
      </c>
      <c r="CK241">
        <v>9.3023255467414856E-2</v>
      </c>
      <c r="CL241">
        <v>9.1915838420391083E-2</v>
      </c>
      <c r="CM241">
        <v>7.1982279419898987E-2</v>
      </c>
      <c r="CN241">
        <v>6.0908082872629166E-2</v>
      </c>
      <c r="CO241">
        <v>6.4230345189571381E-2</v>
      </c>
      <c r="CP241">
        <v>7.5304538011550903E-2</v>
      </c>
      <c r="CQ241">
        <v>8.0841638147830963E-2</v>
      </c>
      <c r="CR241">
        <v>8.1949055194854736E-2</v>
      </c>
      <c r="CS241">
        <v>9.7452931106090546E-2</v>
      </c>
      <c r="CT241">
        <v>6.6445179283618927E-2</v>
      </c>
      <c r="CU241">
        <v>7.1982279419898987E-2</v>
      </c>
      <c r="CV241">
        <v>7.7519379556179047E-2</v>
      </c>
      <c r="CW241">
        <v>5.7585824280977249E-2</v>
      </c>
      <c r="CX241">
        <v>6.866002082824707E-2</v>
      </c>
      <c r="CY241">
        <v>6.7552603781223297E-2</v>
      </c>
      <c r="CZ241">
        <v>0.11738649010658264</v>
      </c>
      <c r="DA241">
        <v>9.1915838420391083E-2</v>
      </c>
      <c r="DB241">
        <v>6.5337762236595154E-2</v>
      </c>
      <c r="DC241">
        <v>8.527132123708725E-2</v>
      </c>
      <c r="DD241">
        <v>6.2015503644943237E-2</v>
      </c>
      <c r="DE241">
        <v>9.1915838420391083E-2</v>
      </c>
      <c r="DF241">
        <v>6.7552603781223297E-2</v>
      </c>
      <c r="DG241">
        <v>7.973422110080719E-2</v>
      </c>
      <c r="DH241">
        <v>6.976744532585144E-2</v>
      </c>
      <c r="DI241">
        <v>7.862679660320282E-2</v>
      </c>
      <c r="DJ241">
        <v>7.3089703917503357E-2</v>
      </c>
      <c r="DK241">
        <v>7.862679660320282E-2</v>
      </c>
      <c r="DL241">
        <v>7.5304538011550903E-2</v>
      </c>
      <c r="DM241">
        <v>7.6411962509155273E-2</v>
      </c>
      <c r="DN241">
        <v>7.973422110080719E-2</v>
      </c>
      <c r="DO241">
        <v>7.7519379556179047E-2</v>
      </c>
      <c r="DP241">
        <v>6.866002082824707E-2</v>
      </c>
      <c r="DQ241">
        <v>7.5304538011550903E-2</v>
      </c>
      <c r="DR241">
        <v>4.9833886325359344E-2</v>
      </c>
      <c r="DS241">
        <v>8.7108016014099121E-2</v>
      </c>
      <c r="DT241">
        <v>8.5946574807167053E-2</v>
      </c>
      <c r="DU241">
        <v>7.0847854018211365E-2</v>
      </c>
      <c r="DV241">
        <v>7.7816493809223175E-2</v>
      </c>
      <c r="DW241">
        <v>7.3170728981494904E-2</v>
      </c>
      <c r="DX241">
        <v>7.5493611395359039E-2</v>
      </c>
      <c r="DY241">
        <v>6.8524971604347229E-2</v>
      </c>
      <c r="DZ241">
        <v>0.12195122241973877</v>
      </c>
      <c r="EA241">
        <v>6.6202089190483093E-2</v>
      </c>
      <c r="EB241">
        <v>8.1300809979438782E-2</v>
      </c>
      <c r="EC241">
        <v>8.7108016014099121E-2</v>
      </c>
      <c r="ED241">
        <v>6.8524971604347229E-2</v>
      </c>
      <c r="EE241">
        <v>8.4785133600234985E-2</v>
      </c>
      <c r="EF241">
        <v>8.3623692393302917E-2</v>
      </c>
      <c r="EG241">
        <v>6.8524971604347229E-2</v>
      </c>
      <c r="EH241">
        <v>7.8977935016155243E-2</v>
      </c>
      <c r="EI241">
        <v>7.6655052602291107E-2</v>
      </c>
      <c r="EJ241">
        <v>6.7363530397415161E-2</v>
      </c>
      <c r="EK241">
        <v>7.0847854018211365E-2</v>
      </c>
      <c r="EL241">
        <v>7.7816493809223175E-2</v>
      </c>
      <c r="EM241">
        <v>6.9686412811279297E-2</v>
      </c>
      <c r="EN241">
        <v>7.0847854018211365E-2</v>
      </c>
      <c r="EO241">
        <v>6.0394890606403351E-2</v>
      </c>
      <c r="EP241">
        <v>9.5238097012042999E-2</v>
      </c>
      <c r="EQ241">
        <v>5.458768829703331E-2</v>
      </c>
      <c r="ER241">
        <v>0.10452961921691895</v>
      </c>
      <c r="ES241">
        <v>8.7108016014099121E-2</v>
      </c>
      <c r="ET241">
        <v>6.0394890606403351E-2</v>
      </c>
      <c r="EU241">
        <v>9.2915214598178864E-2</v>
      </c>
      <c r="EV241">
        <v>6.7363530397415161E-2</v>
      </c>
      <c r="EW241">
        <v>6.6202089190483093E-2</v>
      </c>
      <c r="EX241">
        <v>6.9686412811279297E-2</v>
      </c>
      <c r="EY241">
        <v>7.7816493809223175E-2</v>
      </c>
      <c r="EZ241">
        <v>9.9883854389190674E-2</v>
      </c>
      <c r="FA241">
        <v>7.4332170188426971E-2</v>
      </c>
      <c r="FB241">
        <v>7.5493611395359039E-2</v>
      </c>
      <c r="FC241">
        <v>7.5493611395359039E-2</v>
      </c>
      <c r="FD241">
        <v>5.5749129503965378E-2</v>
      </c>
      <c r="FE241">
        <v>0.10336817800998688</v>
      </c>
      <c r="FF241">
        <v>5.5749129503965378E-2</v>
      </c>
      <c r="FG241">
        <v>6.9686412811279297E-2</v>
      </c>
      <c r="FH241">
        <v>6.6202089190483093E-2</v>
      </c>
      <c r="FI241">
        <v>7.7816493809223175E-2</v>
      </c>
      <c r="FJ241">
        <v>7.0847854018211365E-2</v>
      </c>
      <c r="FK241">
        <v>8.5946574807167053E-2</v>
      </c>
      <c r="FL241">
        <v>0.12311265617609024</v>
      </c>
      <c r="FM241">
        <v>6.2717773020267487E-2</v>
      </c>
      <c r="FN241">
        <v>6.155632808804512E-2</v>
      </c>
      <c r="FO241">
        <v>8.1300809979438782E-2</v>
      </c>
      <c r="FP241">
        <v>4.2973287403583527E-2</v>
      </c>
      <c r="FQ241">
        <v>7.5493611395359039E-2</v>
      </c>
      <c r="FR241">
        <v>0.1173054575920105</v>
      </c>
      <c r="FS241">
        <v>0.10569106042385101</v>
      </c>
      <c r="FT241">
        <v>5.3426247090101242E-2</v>
      </c>
      <c r="FU241">
        <v>9.6399538218975067E-2</v>
      </c>
      <c r="FV241">
        <v>6.8524971604347229E-2</v>
      </c>
      <c r="FW241">
        <v>8.4785133600234985E-2</v>
      </c>
      <c r="FX241">
        <v>4.5296166092157364E-2</v>
      </c>
      <c r="FY241">
        <v>6.5040647983551025E-2</v>
      </c>
      <c r="FZ241">
        <v>6.8524971604347229E-2</v>
      </c>
      <c r="GA241">
        <v>6.3879206776618958E-2</v>
      </c>
      <c r="GB241">
        <v>7.0847854018211365E-2</v>
      </c>
      <c r="GC241">
        <v>6.2717773020267487E-2</v>
      </c>
      <c r="GD241">
        <v>0.11033681780099869</v>
      </c>
      <c r="GE241">
        <v>7.7816493809223175E-2</v>
      </c>
      <c r="GF241">
        <v>6.7363530397415161E-2</v>
      </c>
      <c r="GG241">
        <v>6.9686412811279297E-2</v>
      </c>
      <c r="GH241">
        <v>8.3623692393302917E-2</v>
      </c>
      <c r="GI241">
        <v>6.7363530397415161E-2</v>
      </c>
      <c r="GJ241">
        <v>6.7363530397415161E-2</v>
      </c>
      <c r="GK241">
        <v>0.12195122241973877</v>
      </c>
      <c r="GL241">
        <v>6.2717773020267487E-2</v>
      </c>
      <c r="GM241">
        <v>8.5946574807167053E-2</v>
      </c>
      <c r="GN241">
        <v>8.943089097738266E-2</v>
      </c>
      <c r="GO241">
        <v>8.943089097738266E-2</v>
      </c>
      <c r="GP241">
        <v>7.4332170188426971E-2</v>
      </c>
      <c r="GQ241">
        <v>6.5040647983551025E-2</v>
      </c>
      <c r="GR241">
        <v>6.5040647983551025E-2</v>
      </c>
      <c r="GS241">
        <v>6.7363530397415161E-2</v>
      </c>
      <c r="GT241">
        <v>5.8072008192539215E-2</v>
      </c>
      <c r="GU241">
        <v>7.3170728981494904E-2</v>
      </c>
      <c r="GV241">
        <v>6.3879206776618958E-2</v>
      </c>
      <c r="GW241">
        <v>8.3623692393302917E-2</v>
      </c>
      <c r="GX241">
        <v>5.3426247090101242E-2</v>
      </c>
      <c r="GY241">
        <v>6.155632808804512E-2</v>
      </c>
      <c r="GZ241">
        <v>9.6399538218975067E-2</v>
      </c>
      <c r="HA241">
        <v>5.3426247090101242E-2</v>
      </c>
      <c r="HB241">
        <v>8.4785133600234985E-2</v>
      </c>
      <c r="HC241">
        <v>6.155632808804512E-2</v>
      </c>
      <c r="HD241">
        <v>6.5040647983551025E-2</v>
      </c>
      <c r="HE241">
        <v>8.4785133600234985E-2</v>
      </c>
      <c r="HF241">
        <v>7.0847854018211365E-2</v>
      </c>
      <c r="HG241">
        <v>8.943089097738266E-2</v>
      </c>
      <c r="HH241">
        <v>7.2009295225143433E-2</v>
      </c>
      <c r="HI241">
        <v>7.7816493809223175E-2</v>
      </c>
      <c r="HJ241">
        <v>7.6655052602291107E-2</v>
      </c>
      <c r="HK241">
        <v>6.155632808804512E-2</v>
      </c>
      <c r="HL241">
        <v>6.5040647983551025E-2</v>
      </c>
      <c r="HM241">
        <v>6.7363530397415161E-2</v>
      </c>
      <c r="HN241">
        <v>7.4332170188426971E-2</v>
      </c>
      <c r="HO241">
        <v>7.4332170188426971E-2</v>
      </c>
      <c r="HP241">
        <v>7.8977935016155243E-2</v>
      </c>
      <c r="HQ241">
        <v>8.3623692393302917E-2</v>
      </c>
      <c r="HR241">
        <v>9.2915214598178864E-2</v>
      </c>
      <c r="HS241">
        <v>7.3170728981494904E-2</v>
      </c>
      <c r="HT241">
        <v>7.6655052602291107E-2</v>
      </c>
      <c r="HU241">
        <v>9.6399538218975067E-2</v>
      </c>
    </row>
    <row r="242" spans="4:244" x14ac:dyDescent="0.25">
      <c r="D242" s="41" t="str" cm="1">
        <f t="array" ref="D242">IF(H242="","",IF(AND(E242&lt;AVERAGE(E241,E243)*($L$19/100),$D$23:D241=""),H242,""))</f>
        <v/>
      </c>
      <c r="E242" s="78">
        <f t="shared" si="4"/>
        <v>3.5863834908062692E-3</v>
      </c>
      <c r="F242" s="79"/>
      <c r="H242">
        <v>220</v>
      </c>
      <c r="I242">
        <v>7.7636383490806274E-2</v>
      </c>
      <c r="K242">
        <v>8.7486155331134796E-2</v>
      </c>
      <c r="L242">
        <v>8.416389673948288E-2</v>
      </c>
      <c r="M242">
        <v>7.7519379556179047E-2</v>
      </c>
      <c r="N242">
        <v>4.9833886325359344E-2</v>
      </c>
      <c r="O242">
        <v>5.9800665825605392E-2</v>
      </c>
      <c r="P242">
        <v>6.976744532585144E-2</v>
      </c>
      <c r="Q242">
        <v>7.0874862372875214E-2</v>
      </c>
      <c r="R242">
        <v>7.973422110080719E-2</v>
      </c>
      <c r="S242">
        <v>6.5337762236595154E-2</v>
      </c>
      <c r="T242">
        <v>8.7486155331134796E-2</v>
      </c>
      <c r="U242">
        <v>7.973422110080719E-2</v>
      </c>
      <c r="V242">
        <v>7.5304538011550903E-2</v>
      </c>
      <c r="W242">
        <v>6.312292069196701E-2</v>
      </c>
      <c r="X242">
        <v>0.11960133165121078</v>
      </c>
      <c r="Y242">
        <v>7.1982279419898987E-2</v>
      </c>
      <c r="Z242">
        <v>0.13621261715888977</v>
      </c>
      <c r="AA242">
        <v>7.3089703917503357E-2</v>
      </c>
      <c r="AB242">
        <v>6.6445179283618927E-2</v>
      </c>
      <c r="AC242">
        <v>0.12956809997558594</v>
      </c>
      <c r="AD242">
        <v>7.6411962509155273E-2</v>
      </c>
      <c r="AE242">
        <v>5.0941307097673416E-2</v>
      </c>
      <c r="AF242">
        <v>6.866002082824707E-2</v>
      </c>
      <c r="AG242">
        <v>6.312292069196701E-2</v>
      </c>
      <c r="AH242">
        <v>5.2048727869987488E-2</v>
      </c>
      <c r="AI242">
        <v>8.7486155331134796E-2</v>
      </c>
      <c r="AJ242">
        <v>8.1949055194854736E-2</v>
      </c>
      <c r="AK242">
        <v>0.10963454842567444</v>
      </c>
      <c r="AL242">
        <v>5.3156144917011261E-2</v>
      </c>
      <c r="AM242">
        <v>7.1982279419898987E-2</v>
      </c>
      <c r="AN242">
        <v>6.5337762236595154E-2</v>
      </c>
      <c r="AO242">
        <v>7.1982279419898987E-2</v>
      </c>
      <c r="AP242">
        <v>7.3089703917503357E-2</v>
      </c>
      <c r="AQ242">
        <v>6.4230345189571381E-2</v>
      </c>
      <c r="AR242">
        <v>5.8693245053291321E-2</v>
      </c>
      <c r="AS242">
        <v>5.5370986461639404E-2</v>
      </c>
      <c r="AT242">
        <v>0.11627907305955887</v>
      </c>
      <c r="AU242">
        <v>7.419712096452713E-2</v>
      </c>
      <c r="AV242">
        <v>7.1982279419898987E-2</v>
      </c>
      <c r="AW242">
        <v>7.7519379556179047E-2</v>
      </c>
      <c r="AX242">
        <v>8.9700996875762939E-2</v>
      </c>
      <c r="AY242">
        <v>8.7486155331134796E-2</v>
      </c>
      <c r="AZ242">
        <v>7.5304538011550903E-2</v>
      </c>
      <c r="BA242">
        <v>7.973422110080719E-2</v>
      </c>
      <c r="BB242">
        <v>8.527132123708725E-2</v>
      </c>
      <c r="BC242">
        <v>0.12070874869823456</v>
      </c>
      <c r="BD242">
        <v>6.7552603781223297E-2</v>
      </c>
      <c r="BE242">
        <v>9.6345514059066772E-2</v>
      </c>
      <c r="BF242">
        <v>4.76190485060215E-2</v>
      </c>
      <c r="BG242">
        <v>8.0841638147830963E-2</v>
      </c>
      <c r="BH242">
        <v>9.6345514059066772E-2</v>
      </c>
      <c r="BI242">
        <v>5.3156144917011261E-2</v>
      </c>
      <c r="BJ242">
        <v>6.976744532585144E-2</v>
      </c>
      <c r="BK242">
        <v>0.10963454842567444</v>
      </c>
      <c r="BL242">
        <v>6.4230345189571381E-2</v>
      </c>
      <c r="BM242">
        <v>5.8693245053291321E-2</v>
      </c>
      <c r="BN242">
        <v>9.5238097012042999E-2</v>
      </c>
      <c r="BO242">
        <v>6.976744532585144E-2</v>
      </c>
      <c r="BP242">
        <v>6.2015503644943237E-2</v>
      </c>
      <c r="BQ242">
        <v>7.3089703917503357E-2</v>
      </c>
      <c r="BR242">
        <v>8.7486155331134796E-2</v>
      </c>
      <c r="BS242">
        <v>7.6411962509155273E-2</v>
      </c>
      <c r="BT242">
        <v>8.7486155331134796E-2</v>
      </c>
      <c r="BU242">
        <v>8.7486155331134796E-2</v>
      </c>
      <c r="BV242">
        <v>8.0841638147830963E-2</v>
      </c>
      <c r="BW242">
        <v>7.7519379556179047E-2</v>
      </c>
      <c r="BX242">
        <v>6.0908082872629166E-2</v>
      </c>
      <c r="BY242">
        <v>7.5304538011550903E-2</v>
      </c>
      <c r="BZ242">
        <v>0.11738649010658264</v>
      </c>
      <c r="CA242">
        <v>6.7552603781223297E-2</v>
      </c>
      <c r="CB242">
        <v>6.312292069196701E-2</v>
      </c>
      <c r="CC242">
        <v>6.0394890606403351E-2</v>
      </c>
      <c r="CD242">
        <v>6.9686412811279297E-2</v>
      </c>
      <c r="CE242">
        <v>8.0139376223087311E-2</v>
      </c>
      <c r="CF242">
        <v>6.8524971604347229E-2</v>
      </c>
      <c r="CG242">
        <v>8.3623692393302917E-2</v>
      </c>
      <c r="CH242">
        <v>6.0394890606403351E-2</v>
      </c>
      <c r="CI242">
        <v>0.1173054575920105</v>
      </c>
      <c r="CJ242">
        <v>7.7816493809223175E-2</v>
      </c>
      <c r="CK242">
        <v>8.8269457221031189E-2</v>
      </c>
      <c r="CL242">
        <v>8.3623692393302917E-2</v>
      </c>
      <c r="CM242">
        <v>7.0847854018211365E-2</v>
      </c>
      <c r="CN242">
        <v>6.0394890606403351E-2</v>
      </c>
      <c r="CO242">
        <v>8.3623692393302917E-2</v>
      </c>
      <c r="CP242">
        <v>7.3170728981494904E-2</v>
      </c>
      <c r="CQ242">
        <v>9.9883854389190674E-2</v>
      </c>
      <c r="CR242">
        <v>5.2264809608459473E-2</v>
      </c>
      <c r="CS242">
        <v>0.10801393538713455</v>
      </c>
      <c r="CT242">
        <v>7.5493611395359039E-2</v>
      </c>
      <c r="CU242">
        <v>7.2009295225143433E-2</v>
      </c>
      <c r="CV242">
        <v>8.5946574807167053E-2</v>
      </c>
      <c r="CW242">
        <v>7.0847854018211365E-2</v>
      </c>
      <c r="CX242">
        <v>6.2717773020267487E-2</v>
      </c>
      <c r="CY242">
        <v>7.8977935016155243E-2</v>
      </c>
      <c r="CZ242">
        <v>7.2009295225143433E-2</v>
      </c>
      <c r="DA242">
        <v>8.246225118637085E-2</v>
      </c>
      <c r="DB242">
        <v>6.7363530397415161E-2</v>
      </c>
      <c r="DC242">
        <v>8.3623692393302917E-2</v>
      </c>
      <c r="DD242">
        <v>8.1300809979438782E-2</v>
      </c>
      <c r="DE242">
        <v>6.8524971604347229E-2</v>
      </c>
      <c r="DF242">
        <v>7.5493611395359039E-2</v>
      </c>
      <c r="DG242">
        <v>0.15098722279071808</v>
      </c>
      <c r="DH242">
        <v>6.0394890606403351E-2</v>
      </c>
      <c r="DI242">
        <v>5.8072008192539215E-2</v>
      </c>
      <c r="DJ242">
        <v>8.4785133600234985E-2</v>
      </c>
      <c r="DK242">
        <v>6.2717773020267487E-2</v>
      </c>
      <c r="DL242">
        <v>8.0139376223087311E-2</v>
      </c>
      <c r="DM242">
        <v>0.1173054575920105</v>
      </c>
      <c r="DN242">
        <v>6.8524971604347229E-2</v>
      </c>
      <c r="DO242">
        <v>6.0394890606403351E-2</v>
      </c>
      <c r="DP242">
        <v>8.5946574807167053E-2</v>
      </c>
      <c r="DQ242">
        <v>7.8977935016155243E-2</v>
      </c>
      <c r="DR242">
        <v>6.7363530397415161E-2</v>
      </c>
      <c r="DS242">
        <v>9.5238097012042999E-2</v>
      </c>
      <c r="DT242">
        <v>8.0139376223087311E-2</v>
      </c>
      <c r="DU242">
        <v>6.9686412811279297E-2</v>
      </c>
      <c r="DV242">
        <v>9.9883854389190674E-2</v>
      </c>
      <c r="DW242">
        <v>6.7363530397415161E-2</v>
      </c>
      <c r="DX242">
        <v>7.2009295225143433E-2</v>
      </c>
      <c r="DY242">
        <v>7.5493611395359039E-2</v>
      </c>
      <c r="DZ242">
        <v>7.4332170188426971E-2</v>
      </c>
      <c r="EA242">
        <v>7.7816493809223175E-2</v>
      </c>
      <c r="EB242">
        <v>8.4785133600234985E-2</v>
      </c>
      <c r="EC242">
        <v>6.3879206776618958E-2</v>
      </c>
      <c r="ED242">
        <v>9.4076655805110931E-2</v>
      </c>
      <c r="EE242">
        <v>7.7816493809223175E-2</v>
      </c>
      <c r="EF242">
        <v>8.3623692393302917E-2</v>
      </c>
      <c r="EG242">
        <v>8.3623692393302917E-2</v>
      </c>
      <c r="EH242">
        <v>6.9686412811279297E-2</v>
      </c>
      <c r="EI242">
        <v>7.0847854018211365E-2</v>
      </c>
      <c r="EJ242">
        <v>8.4785133600234985E-2</v>
      </c>
      <c r="EK242">
        <v>6.7363530397415161E-2</v>
      </c>
      <c r="EL242">
        <v>5.6910570710897446E-2</v>
      </c>
      <c r="EM242">
        <v>9.5238097012042999E-2</v>
      </c>
      <c r="EN242">
        <v>8.5946574807167053E-2</v>
      </c>
      <c r="EO242">
        <v>7.5493611395359039E-2</v>
      </c>
      <c r="EP242">
        <v>6.9686412811279297E-2</v>
      </c>
      <c r="EQ242">
        <v>8.4785133600234985E-2</v>
      </c>
      <c r="ER242">
        <v>8.7108016014099121E-2</v>
      </c>
      <c r="ES242">
        <v>0.10336817800998688</v>
      </c>
      <c r="ET242">
        <v>4.6457607299089432E-2</v>
      </c>
      <c r="EU242">
        <v>9.0592332184314728E-2</v>
      </c>
      <c r="EV242">
        <v>7.3170728981494904E-2</v>
      </c>
      <c r="EW242">
        <v>7.0847854018211365E-2</v>
      </c>
      <c r="EX242">
        <v>7.2009295225143433E-2</v>
      </c>
      <c r="EY242">
        <v>9.6399538218975067E-2</v>
      </c>
      <c r="EZ242">
        <v>6.8524971604347229E-2</v>
      </c>
      <c r="FA242">
        <v>5.9233449399471283E-2</v>
      </c>
      <c r="FB242">
        <v>8.1300809979438782E-2</v>
      </c>
      <c r="FC242">
        <v>8.5946574807167053E-2</v>
      </c>
      <c r="FD242">
        <v>5.8072008192539215E-2</v>
      </c>
      <c r="FE242">
        <v>0.11614401638507843</v>
      </c>
      <c r="FF242">
        <v>7.8977935016155243E-2</v>
      </c>
      <c r="FG242">
        <v>7.7816493809223175E-2</v>
      </c>
      <c r="FH242">
        <v>5.2264809608459473E-2</v>
      </c>
      <c r="FI242">
        <v>7.3170728981494904E-2</v>
      </c>
      <c r="FJ242">
        <v>7.6655052602291107E-2</v>
      </c>
      <c r="FK242">
        <v>5.1103368401527405E-2</v>
      </c>
      <c r="FL242">
        <v>7.4332170188426971E-2</v>
      </c>
      <c r="FM242">
        <v>6.2717773020267487E-2</v>
      </c>
      <c r="FN242">
        <v>5.9233449399471283E-2</v>
      </c>
      <c r="FO242">
        <v>6.9686412811279297E-2</v>
      </c>
      <c r="FP242">
        <v>8.8269457221031189E-2</v>
      </c>
      <c r="FQ242">
        <v>6.0394890606403351E-2</v>
      </c>
      <c r="FR242">
        <v>7.2009295225143433E-2</v>
      </c>
      <c r="FS242">
        <v>8.0139376223087311E-2</v>
      </c>
      <c r="FT242">
        <v>5.5749129503965378E-2</v>
      </c>
      <c r="FU242">
        <v>8.1300809979438782E-2</v>
      </c>
      <c r="FV242">
        <v>6.5040647983551025E-2</v>
      </c>
      <c r="FW242">
        <v>0.11033681780099869</v>
      </c>
      <c r="FX242">
        <v>8.1300809979438782E-2</v>
      </c>
      <c r="FY242">
        <v>7.8977935016155243E-2</v>
      </c>
      <c r="FZ242">
        <v>6.8524971604347229E-2</v>
      </c>
      <c r="GA242">
        <v>8.0139376223087311E-2</v>
      </c>
      <c r="GB242">
        <v>9.8722413182258606E-2</v>
      </c>
      <c r="GC242">
        <v>6.9686412811279297E-2</v>
      </c>
      <c r="GD242">
        <v>7.2009295225143433E-2</v>
      </c>
      <c r="GE242">
        <v>8.943089097738266E-2</v>
      </c>
      <c r="GF242">
        <v>7.7816493809223175E-2</v>
      </c>
      <c r="GG242">
        <v>6.8524971604347229E-2</v>
      </c>
      <c r="GH242">
        <v>9.1753773391246796E-2</v>
      </c>
      <c r="GI242">
        <v>6.3879206776618958E-2</v>
      </c>
      <c r="GJ242">
        <v>8.7108016014099121E-2</v>
      </c>
      <c r="GK242">
        <v>8.1300809979438782E-2</v>
      </c>
      <c r="GL242">
        <v>7.6655052602291107E-2</v>
      </c>
      <c r="GM242">
        <v>7.0847854018211365E-2</v>
      </c>
      <c r="GN242">
        <v>4.6457607299089432E-2</v>
      </c>
      <c r="GO242">
        <v>6.7363530397415161E-2</v>
      </c>
      <c r="GP242">
        <v>0.10104529559612274</v>
      </c>
      <c r="GQ242">
        <v>7.5493611395359039E-2</v>
      </c>
      <c r="GR242">
        <v>9.6399538218975067E-2</v>
      </c>
      <c r="GS242">
        <v>7.6655052602291107E-2</v>
      </c>
      <c r="GT242">
        <v>0.10801393538713455</v>
      </c>
      <c r="GU242">
        <v>7.6655052602291107E-2</v>
      </c>
      <c r="GV242">
        <v>6.2717773020267487E-2</v>
      </c>
      <c r="GW242">
        <v>6.6202089190483093E-2</v>
      </c>
      <c r="GX242">
        <v>7.0847854018211365E-2</v>
      </c>
      <c r="GY242">
        <v>7.3170728981494904E-2</v>
      </c>
      <c r="GZ242">
        <v>8.1300809979438782E-2</v>
      </c>
      <c r="HA242">
        <v>6.7363530397415161E-2</v>
      </c>
      <c r="HB242">
        <v>5.8072008192539215E-2</v>
      </c>
      <c r="HC242">
        <v>9.5238097012042999E-2</v>
      </c>
      <c r="HD242">
        <v>5.5749129503965378E-2</v>
      </c>
      <c r="HE242">
        <v>6.8524971604347229E-2</v>
      </c>
      <c r="HF242">
        <v>7.2009295225143433E-2</v>
      </c>
      <c r="HG242">
        <v>6.2717773020267487E-2</v>
      </c>
      <c r="HH242">
        <v>7.3170728981494904E-2</v>
      </c>
      <c r="HI242">
        <v>8.7108016014099121E-2</v>
      </c>
      <c r="HJ242">
        <v>7.6655052602291107E-2</v>
      </c>
      <c r="HK242">
        <v>9.6399538218975067E-2</v>
      </c>
      <c r="HL242">
        <v>6.7363530397415161E-2</v>
      </c>
      <c r="HM242">
        <v>0.11033681780099869</v>
      </c>
      <c r="HN242">
        <v>7.0847854018211365E-2</v>
      </c>
      <c r="HO242">
        <v>7.2009295225143433E-2</v>
      </c>
      <c r="HP242">
        <v>7.6655052602291107E-2</v>
      </c>
      <c r="HQ242">
        <v>6.9686412811279297E-2</v>
      </c>
      <c r="HR242">
        <v>8.5946574807167053E-2</v>
      </c>
      <c r="HS242">
        <v>9.0592332184314728E-2</v>
      </c>
      <c r="HT242">
        <v>0.11382114142179489</v>
      </c>
      <c r="HU242">
        <v>7.3170728981494904E-2</v>
      </c>
      <c r="HV242">
        <v>7.3170728981494904E-2</v>
      </c>
    </row>
    <row r="243" spans="4:244" x14ac:dyDescent="0.25">
      <c r="D243" s="41" t="str" cm="1">
        <f t="array" ref="D243">IF(H243="","",IF(AND(E243&lt;AVERAGE(E242,E244)*($L$19/100),$D$23:D242=""),H243,""))</f>
        <v/>
      </c>
      <c r="E243" s="78">
        <f t="shared" si="4"/>
        <v>2.0874577677627432E-3</v>
      </c>
      <c r="F243" s="79"/>
      <c r="H243">
        <v>221</v>
      </c>
      <c r="I243">
        <v>7.6137457767762748E-2</v>
      </c>
      <c r="K243">
        <v>6.6445179283618927E-2</v>
      </c>
      <c r="L243">
        <v>8.3056479692459106E-2</v>
      </c>
      <c r="M243">
        <v>7.419712096452713E-2</v>
      </c>
      <c r="N243">
        <v>7.0874862372875214E-2</v>
      </c>
      <c r="O243">
        <v>9.3023255467414856E-2</v>
      </c>
      <c r="P243">
        <v>6.5337762236595154E-2</v>
      </c>
      <c r="Q243">
        <v>0.10741971433162689</v>
      </c>
      <c r="R243">
        <v>7.5304538011550903E-2</v>
      </c>
      <c r="S243">
        <v>5.5370986461639404E-2</v>
      </c>
      <c r="T243">
        <v>6.976744532585144E-2</v>
      </c>
      <c r="U243">
        <v>7.0874862372875214E-2</v>
      </c>
      <c r="V243">
        <v>9.8560355603694916E-2</v>
      </c>
      <c r="W243">
        <v>9.0808413922786713E-2</v>
      </c>
      <c r="X243">
        <v>9.3023255467414856E-2</v>
      </c>
      <c r="Y243">
        <v>5.3156144917011261E-2</v>
      </c>
      <c r="Z243">
        <v>9.8560355603694916E-2</v>
      </c>
      <c r="AA243">
        <v>7.419712096452713E-2</v>
      </c>
      <c r="AB243">
        <v>9.7452931106090546E-2</v>
      </c>
      <c r="AC243">
        <v>7.973422110080719E-2</v>
      </c>
      <c r="AD243">
        <v>7.3089703917503357E-2</v>
      </c>
      <c r="AE243">
        <v>6.7552603781223297E-2</v>
      </c>
      <c r="AF243">
        <v>7.0874862372875214E-2</v>
      </c>
      <c r="AG243">
        <v>5.6478403508663177E-2</v>
      </c>
      <c r="AH243">
        <v>8.416389673948288E-2</v>
      </c>
      <c r="AI243">
        <v>8.0841638147830963E-2</v>
      </c>
      <c r="AJ243">
        <v>5.7585824280977249E-2</v>
      </c>
      <c r="AK243">
        <v>8.7486155331134796E-2</v>
      </c>
      <c r="AL243">
        <v>8.3056479692459106E-2</v>
      </c>
      <c r="AM243">
        <v>8.1300809979438782E-2</v>
      </c>
      <c r="AN243">
        <v>7.5493611395359039E-2</v>
      </c>
      <c r="AO243">
        <v>7.8977935016155243E-2</v>
      </c>
      <c r="AP243">
        <v>6.0394890606403351E-2</v>
      </c>
      <c r="AQ243">
        <v>6.8524971604347229E-2</v>
      </c>
      <c r="AR243">
        <v>9.7560971975326538E-2</v>
      </c>
      <c r="AS243">
        <v>7.0847854018211365E-2</v>
      </c>
      <c r="AT243">
        <v>7.5493611395359039E-2</v>
      </c>
      <c r="AU243">
        <v>6.5040647983551025E-2</v>
      </c>
      <c r="AV243">
        <v>7.5493611395359039E-2</v>
      </c>
      <c r="AW243">
        <v>5.5749129503965378E-2</v>
      </c>
      <c r="AX243">
        <v>7.5493611395359039E-2</v>
      </c>
      <c r="AY243">
        <v>6.3879206776618958E-2</v>
      </c>
      <c r="AZ243">
        <v>6.5040647983551025E-2</v>
      </c>
      <c r="BA243">
        <v>8.1300809979438782E-2</v>
      </c>
      <c r="BB243">
        <v>7.6655052602291107E-2</v>
      </c>
      <c r="BC243">
        <v>8.7108016014099121E-2</v>
      </c>
      <c r="BD243">
        <v>9.6399538218975067E-2</v>
      </c>
      <c r="BE243">
        <v>6.7363530397415161E-2</v>
      </c>
      <c r="BF243">
        <v>6.155632808804512E-2</v>
      </c>
      <c r="BG243">
        <v>7.2009295225143433E-2</v>
      </c>
      <c r="BH243">
        <v>5.2264809608459473E-2</v>
      </c>
      <c r="BI243">
        <v>0.11149825900793076</v>
      </c>
      <c r="BJ243">
        <v>6.7363530397415161E-2</v>
      </c>
      <c r="BK243">
        <v>6.8524971604347229E-2</v>
      </c>
      <c r="BL243">
        <v>4.9941927194595337E-2</v>
      </c>
      <c r="BM243">
        <v>5.458768829703331E-2</v>
      </c>
      <c r="BN243">
        <v>7.0847854018211365E-2</v>
      </c>
      <c r="BO243">
        <v>8.246225118637085E-2</v>
      </c>
      <c r="BP243">
        <v>8.4785133600234985E-2</v>
      </c>
      <c r="BQ243">
        <v>5.458768829703331E-2</v>
      </c>
      <c r="BR243">
        <v>8.8269457221031189E-2</v>
      </c>
      <c r="BS243">
        <v>7.0847854018211365E-2</v>
      </c>
      <c r="BT243">
        <v>6.6202089190483093E-2</v>
      </c>
      <c r="BU243">
        <v>8.0139376223087311E-2</v>
      </c>
      <c r="BV243">
        <v>6.7363530397415161E-2</v>
      </c>
      <c r="BW243">
        <v>7.4332170188426971E-2</v>
      </c>
      <c r="BX243">
        <v>0.11033681780099869</v>
      </c>
      <c r="BY243">
        <v>7.3170728981494904E-2</v>
      </c>
      <c r="BZ243">
        <v>6.2717773020267487E-2</v>
      </c>
      <c r="CA243">
        <v>0.10104529559612274</v>
      </c>
      <c r="CB243">
        <v>6.0394890606403351E-2</v>
      </c>
      <c r="CC243">
        <v>6.8524971604347229E-2</v>
      </c>
      <c r="CD243">
        <v>5.1103368401527405E-2</v>
      </c>
      <c r="CE243">
        <v>6.2717773020267487E-2</v>
      </c>
      <c r="CF243">
        <v>6.3879206776618958E-2</v>
      </c>
      <c r="CG243">
        <v>0.13124273717403412</v>
      </c>
      <c r="CH243">
        <v>7.4332170188426971E-2</v>
      </c>
      <c r="CI243">
        <v>9.6399538218975067E-2</v>
      </c>
      <c r="CJ243">
        <v>9.9883854389190674E-2</v>
      </c>
      <c r="CK243">
        <v>7.7816493809223175E-2</v>
      </c>
      <c r="CL243">
        <v>7.8977935016155243E-2</v>
      </c>
      <c r="CM243">
        <v>9.4076655805110931E-2</v>
      </c>
      <c r="CN243">
        <v>8.246225118637085E-2</v>
      </c>
      <c r="CO243">
        <v>8.4785133600234985E-2</v>
      </c>
      <c r="CP243">
        <v>7.0847854018211365E-2</v>
      </c>
      <c r="CQ243">
        <v>6.0394890606403351E-2</v>
      </c>
      <c r="CR243">
        <v>0.10104529559612274</v>
      </c>
      <c r="CS243">
        <v>6.9686412811279297E-2</v>
      </c>
      <c r="CT243">
        <v>8.0139376223087311E-2</v>
      </c>
      <c r="CU243">
        <v>5.9233449399471283E-2</v>
      </c>
      <c r="CV243">
        <v>7.0847854018211365E-2</v>
      </c>
      <c r="CW243">
        <v>7.5493611395359039E-2</v>
      </c>
      <c r="CX243">
        <v>7.6655052602291107E-2</v>
      </c>
      <c r="CY243">
        <v>9.1753773391246796E-2</v>
      </c>
      <c r="CZ243">
        <v>5.8072008192539215E-2</v>
      </c>
      <c r="DA243">
        <v>6.2717773020267487E-2</v>
      </c>
      <c r="DB243">
        <v>5.5749129503965378E-2</v>
      </c>
      <c r="DC243">
        <v>7.6655052602291107E-2</v>
      </c>
      <c r="DD243">
        <v>7.8977935016155243E-2</v>
      </c>
      <c r="DE243">
        <v>5.2264809608459473E-2</v>
      </c>
      <c r="DF243">
        <v>7.2009295225143433E-2</v>
      </c>
      <c r="DG243">
        <v>7.7816493809223175E-2</v>
      </c>
      <c r="DH243">
        <v>8.246225118637085E-2</v>
      </c>
      <c r="DI243">
        <v>8.943089097738266E-2</v>
      </c>
      <c r="DJ243">
        <v>5.5749129503965378E-2</v>
      </c>
      <c r="DK243">
        <v>9.8722413182258606E-2</v>
      </c>
      <c r="DL243">
        <v>8.5946574807167053E-2</v>
      </c>
      <c r="DM243">
        <v>7.4332170188426971E-2</v>
      </c>
      <c r="DN243">
        <v>7.5493611395359039E-2</v>
      </c>
      <c r="DO243">
        <v>7.3170728981494904E-2</v>
      </c>
      <c r="DP243">
        <v>7.6655052602291107E-2</v>
      </c>
      <c r="DQ243">
        <v>7.2009295225143433E-2</v>
      </c>
      <c r="DR243">
        <v>5.8072008192539215E-2</v>
      </c>
      <c r="DS243">
        <v>6.5040647983551025E-2</v>
      </c>
      <c r="DT243">
        <v>7.3170728981494904E-2</v>
      </c>
      <c r="DU243">
        <v>7.3170728981494904E-2</v>
      </c>
      <c r="DV243">
        <v>9.2915214598178864E-2</v>
      </c>
      <c r="DW243">
        <v>8.3623692393302917E-2</v>
      </c>
      <c r="DX243">
        <v>7.3170728981494904E-2</v>
      </c>
      <c r="DY243">
        <v>5.6910570710897446E-2</v>
      </c>
      <c r="DZ243">
        <v>9.6399538218975067E-2</v>
      </c>
      <c r="EA243">
        <v>0.12543554604053497</v>
      </c>
      <c r="EB243">
        <v>8.246225118637085E-2</v>
      </c>
      <c r="EC243">
        <v>6.7363530397415161E-2</v>
      </c>
      <c r="ED243">
        <v>7.4332170188426971E-2</v>
      </c>
      <c r="EE243">
        <v>0.11033681780099869</v>
      </c>
      <c r="EF243">
        <v>7.2009295225143433E-2</v>
      </c>
      <c r="EG243">
        <v>8.246225118637085E-2</v>
      </c>
      <c r="EH243">
        <v>6.5040647983551025E-2</v>
      </c>
      <c r="EI243">
        <v>7.4332170188426971E-2</v>
      </c>
      <c r="EJ243">
        <v>9.2915214598178864E-2</v>
      </c>
      <c r="EK243">
        <v>5.2264809608459473E-2</v>
      </c>
      <c r="EL243">
        <v>6.8524971604347229E-2</v>
      </c>
      <c r="EM243">
        <v>8.7108016014099121E-2</v>
      </c>
      <c r="EN243">
        <v>8.4785133600234985E-2</v>
      </c>
      <c r="EO243">
        <v>0.11498257517814636</v>
      </c>
      <c r="EP243">
        <v>8.4785133600234985E-2</v>
      </c>
      <c r="EQ243">
        <v>7.7816493809223175E-2</v>
      </c>
      <c r="ER243">
        <v>7.6655052602291107E-2</v>
      </c>
      <c r="ES243">
        <v>6.8524971604347229E-2</v>
      </c>
      <c r="ET243">
        <v>6.3879206776618958E-2</v>
      </c>
      <c r="EU243">
        <v>7.0847854018211365E-2</v>
      </c>
      <c r="EV243">
        <v>8.7108016014099121E-2</v>
      </c>
      <c r="EW243">
        <v>8.943089097738266E-2</v>
      </c>
      <c r="EX243">
        <v>7.4332170188426971E-2</v>
      </c>
      <c r="EY243">
        <v>7.2009295225143433E-2</v>
      </c>
      <c r="EZ243">
        <v>6.2717773020267487E-2</v>
      </c>
      <c r="FA243">
        <v>6.6202089190483093E-2</v>
      </c>
      <c r="FB243">
        <v>5.5749129503965378E-2</v>
      </c>
      <c r="FC243">
        <v>9.7560971975326538E-2</v>
      </c>
      <c r="FD243">
        <v>0.13240417838096619</v>
      </c>
      <c r="FE243">
        <v>7.4332170188426971E-2</v>
      </c>
      <c r="FF243">
        <v>6.3879206776618958E-2</v>
      </c>
      <c r="FG243">
        <v>7.2009295225143433E-2</v>
      </c>
      <c r="FH243">
        <v>6.5040647983551025E-2</v>
      </c>
      <c r="FI243">
        <v>8.943089097738266E-2</v>
      </c>
      <c r="FJ243">
        <v>7.5493611395359039E-2</v>
      </c>
      <c r="FK243">
        <v>7.3170728981494904E-2</v>
      </c>
      <c r="FL243">
        <v>6.5040647983551025E-2</v>
      </c>
      <c r="FM243">
        <v>6.6202089190483093E-2</v>
      </c>
      <c r="FN243">
        <v>5.9233449399471283E-2</v>
      </c>
      <c r="FO243">
        <v>8.0139376223087311E-2</v>
      </c>
      <c r="FP243">
        <v>7.3170728981494904E-2</v>
      </c>
      <c r="FQ243">
        <v>6.6202089190483093E-2</v>
      </c>
      <c r="FR243">
        <v>6.155632808804512E-2</v>
      </c>
      <c r="FS243">
        <v>8.0139376223087311E-2</v>
      </c>
      <c r="FT243">
        <v>7.2009295225143433E-2</v>
      </c>
      <c r="FU243">
        <v>8.943089097738266E-2</v>
      </c>
      <c r="FV243">
        <v>9.8722413182258606E-2</v>
      </c>
      <c r="FW243">
        <v>9.0592332184314728E-2</v>
      </c>
      <c r="FX243">
        <v>7.8977935016155243E-2</v>
      </c>
      <c r="FY243">
        <v>8.4785133600234985E-2</v>
      </c>
      <c r="FZ243">
        <v>5.3426247090101242E-2</v>
      </c>
      <c r="GA243">
        <v>8.1300809979438782E-2</v>
      </c>
      <c r="GB243">
        <v>5.6910570710897446E-2</v>
      </c>
      <c r="GC243">
        <v>7.5493611395359039E-2</v>
      </c>
      <c r="GD243">
        <v>8.943089097738266E-2</v>
      </c>
      <c r="GE243">
        <v>9.0592332184314728E-2</v>
      </c>
      <c r="GF243">
        <v>6.155632808804512E-2</v>
      </c>
      <c r="GG243">
        <v>7.3170728981494904E-2</v>
      </c>
      <c r="GH243">
        <v>5.458768829703331E-2</v>
      </c>
      <c r="GI243">
        <v>7.0847854018211365E-2</v>
      </c>
      <c r="GJ243">
        <v>0.10917537659406662</v>
      </c>
      <c r="GK243">
        <v>8.4785133600234985E-2</v>
      </c>
      <c r="GL243">
        <v>5.8072008192539215E-2</v>
      </c>
      <c r="GM243">
        <v>8.246225118637085E-2</v>
      </c>
      <c r="GN243">
        <v>7.5493611395359039E-2</v>
      </c>
      <c r="GO243">
        <v>7.6655052602291107E-2</v>
      </c>
      <c r="GP243">
        <v>7.7816493809223175E-2</v>
      </c>
      <c r="GQ243">
        <v>7.0847854018211365E-2</v>
      </c>
      <c r="GR243">
        <v>8.246225118637085E-2</v>
      </c>
      <c r="GS243">
        <v>8.3623692393302917E-2</v>
      </c>
      <c r="GT243">
        <v>8.0139376223087311E-2</v>
      </c>
      <c r="GU243">
        <v>0.10104529559612274</v>
      </c>
      <c r="GV243">
        <v>5.9233449399471283E-2</v>
      </c>
      <c r="GW243">
        <v>8.3623692393302917E-2</v>
      </c>
      <c r="GX243">
        <v>6.3879206776618958E-2</v>
      </c>
      <c r="GY243">
        <v>6.5040647983551025E-2</v>
      </c>
      <c r="GZ243">
        <v>8.0139376223087311E-2</v>
      </c>
      <c r="HA243">
        <v>7.7816493809223175E-2</v>
      </c>
      <c r="HB243">
        <v>6.6202089190483093E-2</v>
      </c>
      <c r="HC243">
        <v>7.8977935016155243E-2</v>
      </c>
      <c r="HD243">
        <v>7.7816493809223175E-2</v>
      </c>
      <c r="HE243">
        <v>6.7363530397415161E-2</v>
      </c>
      <c r="HF243">
        <v>8.0139376223087311E-2</v>
      </c>
      <c r="HG243">
        <v>9.0592332184314728E-2</v>
      </c>
      <c r="HH243">
        <v>8.246225118637085E-2</v>
      </c>
      <c r="HI243">
        <v>8.1300809979438782E-2</v>
      </c>
      <c r="HJ243">
        <v>5.9233449399471283E-2</v>
      </c>
      <c r="HK243">
        <v>7.3170728981494904E-2</v>
      </c>
      <c r="HL243">
        <v>5.8072008192539215E-2</v>
      </c>
      <c r="HM243">
        <v>7.3170728981494904E-2</v>
      </c>
      <c r="HN243">
        <v>8.943089097738266E-2</v>
      </c>
      <c r="HO243">
        <v>7.4332170188426971E-2</v>
      </c>
      <c r="HP243">
        <v>5.8072008192539215E-2</v>
      </c>
      <c r="HQ243">
        <v>6.9686412811279297E-2</v>
      </c>
      <c r="HR243">
        <v>8.246225118637085E-2</v>
      </c>
      <c r="HS243">
        <v>7.2009295225143433E-2</v>
      </c>
      <c r="HT243">
        <v>6.8524971604347229E-2</v>
      </c>
      <c r="HU243">
        <v>6.2717773020267487E-2</v>
      </c>
      <c r="HV243">
        <v>7.2009295225143433E-2</v>
      </c>
      <c r="HW243">
        <v>6.0394890606403351E-2</v>
      </c>
    </row>
    <row r="244" spans="4:244" x14ac:dyDescent="0.25">
      <c r="D244" s="41" t="str" cm="1">
        <f t="array" ref="D244">IF(H244="","",IF(AND(E244&lt;AVERAGE(E243,E245)*($L$19/100),$D$23:D243=""),H244,""))</f>
        <v/>
      </c>
      <c r="E244" s="78">
        <f t="shared" si="4"/>
        <v>4.6213544480703944E-3</v>
      </c>
      <c r="F244" s="79"/>
      <c r="H244">
        <v>222</v>
      </c>
      <c r="I244">
        <v>7.8671354448070399E-2</v>
      </c>
      <c r="K244">
        <v>0.10336817800998688</v>
      </c>
      <c r="L244">
        <v>5.3426247090101242E-2</v>
      </c>
      <c r="M244">
        <v>6.9686412811279297E-2</v>
      </c>
      <c r="N244">
        <v>7.5493611395359039E-2</v>
      </c>
      <c r="O244">
        <v>8.4785133600234985E-2</v>
      </c>
      <c r="P244">
        <v>9.4076655805110931E-2</v>
      </c>
      <c r="Q244">
        <v>8.1300809979438782E-2</v>
      </c>
      <c r="R244">
        <v>8.0139376223087311E-2</v>
      </c>
      <c r="S244">
        <v>9.4076655805110931E-2</v>
      </c>
      <c r="T244">
        <v>8.0139376223087311E-2</v>
      </c>
      <c r="U244">
        <v>8.4785133600234985E-2</v>
      </c>
      <c r="V244">
        <v>9.5238097012042999E-2</v>
      </c>
      <c r="W244">
        <v>5.9233449399471283E-2</v>
      </c>
      <c r="X244">
        <v>8.8269457221031189E-2</v>
      </c>
      <c r="Y244">
        <v>9.4076655805110931E-2</v>
      </c>
      <c r="Z244">
        <v>8.5946574807167053E-2</v>
      </c>
      <c r="AA244">
        <v>8.5946574807167053E-2</v>
      </c>
      <c r="AB244">
        <v>6.9686412811279297E-2</v>
      </c>
      <c r="AC244">
        <v>8.3623692393302917E-2</v>
      </c>
      <c r="AD244">
        <v>5.2264809608459473E-2</v>
      </c>
      <c r="AE244">
        <v>6.9686412811279297E-2</v>
      </c>
      <c r="AF244">
        <v>8.0139376223087311E-2</v>
      </c>
      <c r="AG244">
        <v>5.2264809608459473E-2</v>
      </c>
      <c r="AH244">
        <v>7.7816493809223175E-2</v>
      </c>
      <c r="AI244">
        <v>6.6202089190483093E-2</v>
      </c>
      <c r="AJ244">
        <v>0.11149825900793076</v>
      </c>
      <c r="AK244">
        <v>5.5749129503965378E-2</v>
      </c>
      <c r="AL244">
        <v>9.6399538218975067E-2</v>
      </c>
      <c r="AM244">
        <v>0.10220673680305481</v>
      </c>
      <c r="AN244">
        <v>8.8269457221031189E-2</v>
      </c>
      <c r="AO244">
        <v>6.8524971604347229E-2</v>
      </c>
      <c r="AP244">
        <v>6.9686412811279297E-2</v>
      </c>
      <c r="AQ244">
        <v>8.246225118637085E-2</v>
      </c>
      <c r="AR244">
        <v>5.6910570710897446E-2</v>
      </c>
      <c r="AS244">
        <v>7.5493611395359039E-2</v>
      </c>
      <c r="AT244">
        <v>6.155632808804512E-2</v>
      </c>
      <c r="AU244">
        <v>0.10801393538713455</v>
      </c>
      <c r="AV244">
        <v>8.1300809979438782E-2</v>
      </c>
      <c r="AW244">
        <v>6.5040647983551025E-2</v>
      </c>
      <c r="AX244">
        <v>0.14866434037685394</v>
      </c>
      <c r="AY244">
        <v>6.6202089190483093E-2</v>
      </c>
      <c r="AZ244">
        <v>7.2009295225143433E-2</v>
      </c>
      <c r="BA244">
        <v>8.246225118637085E-2</v>
      </c>
      <c r="BB244">
        <v>5.9233449399471283E-2</v>
      </c>
      <c r="BC244">
        <v>0.10104529559612274</v>
      </c>
      <c r="BD244">
        <v>8.5946574807167053E-2</v>
      </c>
      <c r="BE244">
        <v>8.0139376223087311E-2</v>
      </c>
      <c r="BF244">
        <v>9.6399538218975067E-2</v>
      </c>
      <c r="BG244">
        <v>9.0592332184314728E-2</v>
      </c>
      <c r="BH244">
        <v>9.1753773391246796E-2</v>
      </c>
      <c r="BI244">
        <v>8.4785133600234985E-2</v>
      </c>
      <c r="BJ244">
        <v>7.5493611395359039E-2</v>
      </c>
      <c r="BK244">
        <v>7.4332170188426971E-2</v>
      </c>
      <c r="BL244">
        <v>6.7363530397415161E-2</v>
      </c>
      <c r="BM244">
        <v>9.6399538218975067E-2</v>
      </c>
      <c r="BN244">
        <v>8.5946574807167053E-2</v>
      </c>
      <c r="BO244">
        <v>6.5040647983551025E-2</v>
      </c>
      <c r="BP244">
        <v>6.5040647983551025E-2</v>
      </c>
      <c r="BQ244">
        <v>8.0139376223087311E-2</v>
      </c>
      <c r="BR244">
        <v>7.3170728981494904E-2</v>
      </c>
      <c r="BS244">
        <v>9.0592332184314728E-2</v>
      </c>
      <c r="BT244">
        <v>7.4332170188426971E-2</v>
      </c>
      <c r="BU244">
        <v>5.8072008192539215E-2</v>
      </c>
      <c r="BV244">
        <v>0.14053426682949066</v>
      </c>
      <c r="BW244">
        <v>7.2009295225143433E-2</v>
      </c>
      <c r="BX244">
        <v>7.3170728981494904E-2</v>
      </c>
      <c r="BY244">
        <v>8.246225118637085E-2</v>
      </c>
      <c r="BZ244">
        <v>6.6202089190483093E-2</v>
      </c>
      <c r="CA244">
        <v>8.1300809979438782E-2</v>
      </c>
      <c r="CB244">
        <v>5.2264809608459473E-2</v>
      </c>
      <c r="CC244">
        <v>9.9883854389190674E-2</v>
      </c>
      <c r="CD244">
        <v>8.0139376223087311E-2</v>
      </c>
      <c r="CE244">
        <v>9.0592332184314728E-2</v>
      </c>
      <c r="CF244">
        <v>8.3623692393302917E-2</v>
      </c>
      <c r="CG244">
        <v>7.8977935016155243E-2</v>
      </c>
      <c r="CH244">
        <v>9.1753773391246796E-2</v>
      </c>
      <c r="CI244">
        <v>5.2264809608459473E-2</v>
      </c>
      <c r="CJ244">
        <v>8.3623692393302917E-2</v>
      </c>
      <c r="CK244">
        <v>7.6655052602291107E-2</v>
      </c>
      <c r="CL244">
        <v>7.8977935016155243E-2</v>
      </c>
      <c r="CM244">
        <v>8.246225118637085E-2</v>
      </c>
      <c r="CN244">
        <v>6.8524971604347229E-2</v>
      </c>
      <c r="CO244">
        <v>6.2717773020267487E-2</v>
      </c>
      <c r="CP244">
        <v>6.9686412811279297E-2</v>
      </c>
      <c r="CQ244">
        <v>0.11498257517814636</v>
      </c>
      <c r="CR244">
        <v>5.6910570710897446E-2</v>
      </c>
      <c r="CS244">
        <v>9.7560971975326538E-2</v>
      </c>
      <c r="CT244">
        <v>7.5493611395359039E-2</v>
      </c>
      <c r="CU244">
        <v>5.5749129503965378E-2</v>
      </c>
      <c r="CV244">
        <v>9.7560971975326538E-2</v>
      </c>
      <c r="CW244">
        <v>7.2009295225143433E-2</v>
      </c>
      <c r="CX244">
        <v>7.0847854018211365E-2</v>
      </c>
      <c r="CY244">
        <v>8.5946574807167053E-2</v>
      </c>
      <c r="CZ244">
        <v>5.458768829703331E-2</v>
      </c>
      <c r="DA244">
        <v>9.9883854389190674E-2</v>
      </c>
      <c r="DB244">
        <v>7.2009295225143433E-2</v>
      </c>
      <c r="DC244">
        <v>6.2717773020267487E-2</v>
      </c>
      <c r="DD244">
        <v>6.6202089190483093E-2</v>
      </c>
      <c r="DE244">
        <v>0.11846689879894257</v>
      </c>
      <c r="DF244">
        <v>7.2009295225143433E-2</v>
      </c>
      <c r="DG244">
        <v>5.6910570710897446E-2</v>
      </c>
      <c r="DH244">
        <v>0.1207897812128067</v>
      </c>
      <c r="DI244">
        <v>6.6202089190483093E-2</v>
      </c>
      <c r="DJ244">
        <v>6.155632808804512E-2</v>
      </c>
      <c r="DK244">
        <v>8.0139376223087311E-2</v>
      </c>
      <c r="DL244">
        <v>6.3879206776618958E-2</v>
      </c>
      <c r="DM244">
        <v>6.6202089190483093E-2</v>
      </c>
      <c r="DN244">
        <v>6.8524971604347229E-2</v>
      </c>
      <c r="DO244">
        <v>6.0394890606403351E-2</v>
      </c>
      <c r="DP244">
        <v>6.5040647983551025E-2</v>
      </c>
      <c r="DQ244">
        <v>6.3879206776618958E-2</v>
      </c>
      <c r="DR244">
        <v>5.9233449399471283E-2</v>
      </c>
      <c r="DS244">
        <v>9.9883854389190674E-2</v>
      </c>
      <c r="DT244">
        <v>8.8269457221031189E-2</v>
      </c>
      <c r="DU244">
        <v>7.6655052602291107E-2</v>
      </c>
      <c r="DV244">
        <v>8.943089097738266E-2</v>
      </c>
      <c r="DW244">
        <v>7.0847854018211365E-2</v>
      </c>
      <c r="DX244">
        <v>7.8977935016155243E-2</v>
      </c>
      <c r="DY244">
        <v>7.7816493809223175E-2</v>
      </c>
      <c r="DZ244">
        <v>8.943089097738266E-2</v>
      </c>
      <c r="EA244">
        <v>7.4332170188426971E-2</v>
      </c>
      <c r="EB244">
        <v>7.4332170188426971E-2</v>
      </c>
      <c r="EC244">
        <v>7.3170728981494904E-2</v>
      </c>
      <c r="ED244">
        <v>4.9941927194595337E-2</v>
      </c>
      <c r="EE244">
        <v>7.2009295225143433E-2</v>
      </c>
      <c r="EF244">
        <v>6.8524971604347229E-2</v>
      </c>
      <c r="EG244">
        <v>8.3623692393302917E-2</v>
      </c>
      <c r="EH244">
        <v>7.6655052602291107E-2</v>
      </c>
      <c r="EI244">
        <v>0.1428571492433548</v>
      </c>
      <c r="EJ244">
        <v>6.2717773020267487E-2</v>
      </c>
      <c r="EK244">
        <v>6.8524971604347229E-2</v>
      </c>
      <c r="EL244">
        <v>0.1173054575920105</v>
      </c>
      <c r="EM244">
        <v>6.3879206776618958E-2</v>
      </c>
      <c r="EN244">
        <v>9.1753773391246796E-2</v>
      </c>
      <c r="EO244">
        <v>8.1300809979438782E-2</v>
      </c>
      <c r="EP244">
        <v>8.246225118637085E-2</v>
      </c>
      <c r="EQ244">
        <v>7.0847854018211365E-2</v>
      </c>
      <c r="ER244">
        <v>0.12891985476016998</v>
      </c>
      <c r="ES244">
        <v>7.8977935016155243E-2</v>
      </c>
      <c r="ET244">
        <v>6.5040647983551025E-2</v>
      </c>
      <c r="EU244">
        <v>9.6399538218975067E-2</v>
      </c>
      <c r="EV244">
        <v>6.3879206776618958E-2</v>
      </c>
      <c r="EW244">
        <v>7.8977935016155243E-2</v>
      </c>
      <c r="EX244">
        <v>6.8524971604347229E-2</v>
      </c>
      <c r="EY244">
        <v>8.1300809979438782E-2</v>
      </c>
      <c r="EZ244">
        <v>9.5238097012042999E-2</v>
      </c>
      <c r="FA244">
        <v>5.458768829703331E-2</v>
      </c>
      <c r="FB244">
        <v>6.0394890606403351E-2</v>
      </c>
      <c r="FC244">
        <v>8.8269457221031189E-2</v>
      </c>
      <c r="FD244">
        <v>7.7816493809223175E-2</v>
      </c>
      <c r="FE244">
        <v>7.7816493809223175E-2</v>
      </c>
      <c r="FF244">
        <v>8.1300809979438782E-2</v>
      </c>
      <c r="FG244">
        <v>6.0394890606403351E-2</v>
      </c>
      <c r="FH244">
        <v>7.2009295225143433E-2</v>
      </c>
      <c r="FI244">
        <v>9.2915214598178864E-2</v>
      </c>
      <c r="FJ244">
        <v>6.5040647983551025E-2</v>
      </c>
      <c r="FK244">
        <v>7.3170728981494904E-2</v>
      </c>
      <c r="FL244">
        <v>8.7108016014099121E-2</v>
      </c>
      <c r="FM244">
        <v>9.1753773391246796E-2</v>
      </c>
      <c r="FN244">
        <v>5.6910570710897446E-2</v>
      </c>
      <c r="FO244">
        <v>0.11498257517814636</v>
      </c>
      <c r="FP244">
        <v>0.10685249418020248</v>
      </c>
      <c r="FQ244">
        <v>5.2264809608459473E-2</v>
      </c>
      <c r="FR244">
        <v>8.5946574807167053E-2</v>
      </c>
      <c r="FS244">
        <v>0.10336817800998688</v>
      </c>
      <c r="FT244">
        <v>6.7363530397415161E-2</v>
      </c>
      <c r="FU244">
        <v>0.10685249418020248</v>
      </c>
      <c r="FV244">
        <v>6.5040647983551025E-2</v>
      </c>
      <c r="FW244">
        <v>6.9686412811279297E-2</v>
      </c>
      <c r="FX244">
        <v>9.4076655805110931E-2</v>
      </c>
      <c r="FY244">
        <v>8.4785133600234985E-2</v>
      </c>
      <c r="FZ244">
        <v>7.5493611395359039E-2</v>
      </c>
      <c r="GA244">
        <v>9.2915214598178864E-2</v>
      </c>
      <c r="GB244">
        <v>6.3879206776618958E-2</v>
      </c>
      <c r="GC244">
        <v>8.3623692393302917E-2</v>
      </c>
      <c r="GD244">
        <v>6.3879206776618958E-2</v>
      </c>
      <c r="GE244">
        <v>6.0394890606403351E-2</v>
      </c>
      <c r="GF244">
        <v>9.7560971975326538E-2</v>
      </c>
      <c r="GG244">
        <v>7.2009295225143433E-2</v>
      </c>
      <c r="GH244">
        <v>7.0847854018211365E-2</v>
      </c>
      <c r="GI244">
        <v>6.7363530397415161E-2</v>
      </c>
      <c r="GJ244">
        <v>8.246225118637085E-2</v>
      </c>
      <c r="GK244">
        <v>8.4785133600234985E-2</v>
      </c>
      <c r="GL244">
        <v>6.7363530397415161E-2</v>
      </c>
      <c r="GM244">
        <v>7.2009295225143433E-2</v>
      </c>
      <c r="GN244">
        <v>6.9686412811279297E-2</v>
      </c>
      <c r="GO244">
        <v>5.1103368401527405E-2</v>
      </c>
      <c r="GP244">
        <v>6.9686412811279297E-2</v>
      </c>
      <c r="GQ244">
        <v>8.0139376223087311E-2</v>
      </c>
      <c r="GR244">
        <v>8.7108016014099121E-2</v>
      </c>
      <c r="GS244">
        <v>6.6202089190483093E-2</v>
      </c>
      <c r="GT244">
        <v>6.8524971604347229E-2</v>
      </c>
      <c r="GU244">
        <v>0.15679442882537842</v>
      </c>
      <c r="GV244">
        <v>6.7363530397415161E-2</v>
      </c>
      <c r="GW244">
        <v>6.2717773020267487E-2</v>
      </c>
      <c r="GX244">
        <v>9.1753773391246796E-2</v>
      </c>
      <c r="GY244">
        <v>7.8977935016155243E-2</v>
      </c>
      <c r="GZ244">
        <v>6.8524971604347229E-2</v>
      </c>
      <c r="HA244">
        <v>8.943089097738266E-2</v>
      </c>
      <c r="HB244">
        <v>5.2264809608459473E-2</v>
      </c>
      <c r="HC244">
        <v>6.7363530397415161E-2</v>
      </c>
      <c r="HD244">
        <v>7.4332170188426971E-2</v>
      </c>
      <c r="HE244">
        <v>7.6655052602291107E-2</v>
      </c>
      <c r="HF244">
        <v>7.7816493809223175E-2</v>
      </c>
      <c r="HG244">
        <v>8.3623692393302917E-2</v>
      </c>
      <c r="HH244">
        <v>6.9686412811279297E-2</v>
      </c>
      <c r="HI244">
        <v>9.1753773391246796E-2</v>
      </c>
      <c r="HJ244">
        <v>7.7816493809223175E-2</v>
      </c>
      <c r="HK244">
        <v>5.3658537566661835E-2</v>
      </c>
      <c r="HL244">
        <v>7.4390247464179993E-2</v>
      </c>
      <c r="HM244">
        <v>6.7073173820972443E-2</v>
      </c>
      <c r="HN244">
        <v>7.9268291592597961E-2</v>
      </c>
      <c r="HO244">
        <v>7.4390247464179993E-2</v>
      </c>
      <c r="HP244">
        <v>6.9512195885181427E-2</v>
      </c>
      <c r="HQ244">
        <v>9.6341460943222046E-2</v>
      </c>
      <c r="HR244">
        <v>6.9512195885181427E-2</v>
      </c>
      <c r="HS244">
        <v>9.2682927846908569E-2</v>
      </c>
      <c r="HT244">
        <v>7.5609758496284485E-2</v>
      </c>
      <c r="HU244">
        <v>8.5365854203701019E-2</v>
      </c>
      <c r="HV244">
        <v>6.5853655338287354E-2</v>
      </c>
      <c r="HW244">
        <v>6.0975611209869385E-2</v>
      </c>
      <c r="HX244">
        <v>6.9512195885181427E-2</v>
      </c>
    </row>
    <row r="245" spans="4:244" x14ac:dyDescent="0.25">
      <c r="D245" s="41" t="str" cm="1">
        <f t="array" ref="D245">IF(H245="","",IF(AND(E245&lt;AVERAGE(E244,E246)*($L$19/100),$D$23:D244=""),H245,""))</f>
        <v/>
      </c>
      <c r="E245" s="78">
        <f t="shared" si="4"/>
        <v>2.7120815122875924E-3</v>
      </c>
      <c r="F245" s="79"/>
      <c r="H245">
        <v>223</v>
      </c>
      <c r="I245">
        <v>7.6762081512287597E-2</v>
      </c>
      <c r="K245">
        <v>8.1300809979438782E-2</v>
      </c>
      <c r="L245">
        <v>7.4332170188426971E-2</v>
      </c>
      <c r="M245">
        <v>8.3623692393302917E-2</v>
      </c>
      <c r="N245">
        <v>5.2264809608459473E-2</v>
      </c>
      <c r="O245">
        <v>8.4785133600234985E-2</v>
      </c>
      <c r="P245">
        <v>8.943089097738266E-2</v>
      </c>
      <c r="Q245">
        <v>9.8722413182258606E-2</v>
      </c>
      <c r="R245">
        <v>8.246225118637085E-2</v>
      </c>
      <c r="S245">
        <v>0.10220673680305481</v>
      </c>
      <c r="T245">
        <v>6.6202089190483093E-2</v>
      </c>
      <c r="U245">
        <v>9.7560971975326538E-2</v>
      </c>
      <c r="V245">
        <v>5.6910570710897446E-2</v>
      </c>
      <c r="W245">
        <v>0.10104529559612274</v>
      </c>
      <c r="X245">
        <v>5.1103368401527405E-2</v>
      </c>
      <c r="Y245">
        <v>6.9686412811279297E-2</v>
      </c>
      <c r="Z245">
        <v>8.246225118637085E-2</v>
      </c>
      <c r="AA245">
        <v>6.6202089190483093E-2</v>
      </c>
      <c r="AB245">
        <v>6.8524971604347229E-2</v>
      </c>
      <c r="AC245">
        <v>9.1753773391246796E-2</v>
      </c>
      <c r="AD245">
        <v>0.11498257517814636</v>
      </c>
      <c r="AE245">
        <v>9.7560971975326538E-2</v>
      </c>
      <c r="AF245">
        <v>7.0847854018211365E-2</v>
      </c>
      <c r="AG245">
        <v>9.2915214598178864E-2</v>
      </c>
      <c r="AH245">
        <v>6.9686412811279297E-2</v>
      </c>
      <c r="AI245">
        <v>8.246225118637085E-2</v>
      </c>
      <c r="AJ245">
        <v>6.6202089190483093E-2</v>
      </c>
      <c r="AK245">
        <v>6.2717773020267487E-2</v>
      </c>
      <c r="AL245">
        <v>5.9233449399471283E-2</v>
      </c>
      <c r="AM245">
        <v>0.11265970021486282</v>
      </c>
      <c r="AN245">
        <v>6.8524971604347229E-2</v>
      </c>
      <c r="AO245">
        <v>6.9686412811279297E-2</v>
      </c>
      <c r="AP245">
        <v>7.5493611395359039E-2</v>
      </c>
      <c r="AQ245">
        <v>5.9233449399471283E-2</v>
      </c>
      <c r="AR245">
        <v>5.5749129503965378E-2</v>
      </c>
      <c r="AS245">
        <v>9.4076655805110931E-2</v>
      </c>
      <c r="AT245">
        <v>0.11498257517814636</v>
      </c>
      <c r="AU245">
        <v>5.9233449399471283E-2</v>
      </c>
      <c r="AV245">
        <v>8.1300809979438782E-2</v>
      </c>
      <c r="AW245">
        <v>5.8072008192539215E-2</v>
      </c>
      <c r="AX245">
        <v>6.3879206776618958E-2</v>
      </c>
      <c r="AY245">
        <v>7.2009295225143433E-2</v>
      </c>
      <c r="AZ245">
        <v>7.6655052602291107E-2</v>
      </c>
      <c r="BA245">
        <v>7.8977935016155243E-2</v>
      </c>
      <c r="BB245">
        <v>0.10917537659406662</v>
      </c>
      <c r="BC245">
        <v>6.6202089190483093E-2</v>
      </c>
      <c r="BD245">
        <v>6.2717773020267487E-2</v>
      </c>
      <c r="BE245">
        <v>0.14518001675605774</v>
      </c>
      <c r="BF245">
        <v>8.4785133600234985E-2</v>
      </c>
      <c r="BG245">
        <v>9.0592332184314728E-2</v>
      </c>
      <c r="BH245">
        <v>6.6202089190483093E-2</v>
      </c>
      <c r="BI245">
        <v>8.5946574807167053E-2</v>
      </c>
      <c r="BJ245">
        <v>7.0847854018211365E-2</v>
      </c>
      <c r="BK245">
        <v>0.11962834000587463</v>
      </c>
      <c r="BL245">
        <v>7.0847854018211365E-2</v>
      </c>
      <c r="BM245">
        <v>6.155632808804512E-2</v>
      </c>
      <c r="BN245">
        <v>6.5040647983551025E-2</v>
      </c>
      <c r="BO245">
        <v>0.10917537659406662</v>
      </c>
      <c r="BP245">
        <v>0.10336817800998688</v>
      </c>
      <c r="BQ245">
        <v>7.6655052602291107E-2</v>
      </c>
      <c r="BR245">
        <v>7.5493611395359039E-2</v>
      </c>
      <c r="BS245">
        <v>8.1300809979438782E-2</v>
      </c>
      <c r="BT245">
        <v>9.0592332184314728E-2</v>
      </c>
      <c r="BU245">
        <v>5.6910570710897446E-2</v>
      </c>
      <c r="BV245">
        <v>7.3170728981494904E-2</v>
      </c>
      <c r="BW245">
        <v>6.9686412811279297E-2</v>
      </c>
      <c r="BX245">
        <v>5.8072008192539215E-2</v>
      </c>
      <c r="BY245">
        <v>8.246225118637085E-2</v>
      </c>
      <c r="BZ245">
        <v>7.8977935016155243E-2</v>
      </c>
      <c r="CA245">
        <v>6.8524971604347229E-2</v>
      </c>
      <c r="CB245">
        <v>5.9233449399471283E-2</v>
      </c>
      <c r="CC245">
        <v>6.3879206776618958E-2</v>
      </c>
      <c r="CD245">
        <v>6.6202089190483093E-2</v>
      </c>
      <c r="CE245">
        <v>6.7363530397415161E-2</v>
      </c>
      <c r="CF245">
        <v>9.9883854389190674E-2</v>
      </c>
      <c r="CG245">
        <v>9.8722413182258606E-2</v>
      </c>
      <c r="CH245">
        <v>8.5946574807167053E-2</v>
      </c>
      <c r="CI245">
        <v>7.3170728981494904E-2</v>
      </c>
      <c r="CJ245">
        <v>9.1753773391246796E-2</v>
      </c>
      <c r="CK245">
        <v>6.2717773020267487E-2</v>
      </c>
      <c r="CL245">
        <v>6.8524971604347229E-2</v>
      </c>
      <c r="CM245">
        <v>6.9686412811279297E-2</v>
      </c>
      <c r="CN245">
        <v>6.2717773020267487E-2</v>
      </c>
      <c r="CO245">
        <v>6.9686412811279297E-2</v>
      </c>
      <c r="CP245">
        <v>0.10104529559612274</v>
      </c>
      <c r="CQ245">
        <v>6.2717773020267487E-2</v>
      </c>
      <c r="CR245">
        <v>8.0139376223087311E-2</v>
      </c>
      <c r="CS245">
        <v>7.0847854018211365E-2</v>
      </c>
      <c r="CT245">
        <v>7.4332170188426971E-2</v>
      </c>
      <c r="CU245">
        <v>7.2009295225143433E-2</v>
      </c>
      <c r="CV245">
        <v>6.6202089190483093E-2</v>
      </c>
      <c r="CW245">
        <v>6.5040647983551025E-2</v>
      </c>
      <c r="CX245">
        <v>6.5040647983551025E-2</v>
      </c>
      <c r="CY245">
        <v>6.7363530397415161E-2</v>
      </c>
      <c r="CZ245">
        <v>7.5493611395359039E-2</v>
      </c>
      <c r="DA245">
        <v>7.4332170188426971E-2</v>
      </c>
      <c r="DB245">
        <v>6.5040647983551025E-2</v>
      </c>
      <c r="DC245">
        <v>6.2717773020267487E-2</v>
      </c>
      <c r="DD245">
        <v>6.0394890606403351E-2</v>
      </c>
      <c r="DE245">
        <v>9.1753773391246796E-2</v>
      </c>
      <c r="DF245">
        <v>6.7363530397415161E-2</v>
      </c>
      <c r="DG245">
        <v>9.0592332184314728E-2</v>
      </c>
      <c r="DH245">
        <v>6.9686412811279297E-2</v>
      </c>
      <c r="DI245">
        <v>6.3879206776618958E-2</v>
      </c>
      <c r="DJ245">
        <v>9.0592332184314728E-2</v>
      </c>
      <c r="DK245">
        <v>7.7816493809223175E-2</v>
      </c>
      <c r="DL245">
        <v>6.6202089190483093E-2</v>
      </c>
      <c r="DM245">
        <v>8.246225118637085E-2</v>
      </c>
      <c r="DN245">
        <v>6.155632808804512E-2</v>
      </c>
      <c r="DO245">
        <v>7.2009295225143433E-2</v>
      </c>
      <c r="DP245">
        <v>0.14750289916992188</v>
      </c>
      <c r="DQ245">
        <v>7.3170728981494904E-2</v>
      </c>
      <c r="DR245">
        <v>0.11033681780099869</v>
      </c>
      <c r="DS245">
        <v>8.1300809979438782E-2</v>
      </c>
      <c r="DT245">
        <v>6.3879206776618958E-2</v>
      </c>
      <c r="DU245">
        <v>8.246225118637085E-2</v>
      </c>
      <c r="DV245">
        <v>8.1300809979438782E-2</v>
      </c>
      <c r="DW245">
        <v>6.2717773020267487E-2</v>
      </c>
      <c r="DX245">
        <v>5.458768829703331E-2</v>
      </c>
      <c r="DY245">
        <v>7.8977935016155243E-2</v>
      </c>
      <c r="DZ245">
        <v>6.7363530397415161E-2</v>
      </c>
      <c r="EA245">
        <v>7.3170728981494904E-2</v>
      </c>
      <c r="EB245">
        <v>6.6202089190483093E-2</v>
      </c>
      <c r="EC245">
        <v>9.9883854389190674E-2</v>
      </c>
      <c r="ED245">
        <v>6.6202089190483093E-2</v>
      </c>
      <c r="EE245">
        <v>6.9686412811279297E-2</v>
      </c>
      <c r="EF245">
        <v>7.8977935016155243E-2</v>
      </c>
      <c r="EG245">
        <v>8.3623692393302917E-2</v>
      </c>
      <c r="EH245">
        <v>9.7560971975326538E-2</v>
      </c>
      <c r="EI245">
        <v>8.1300809979438782E-2</v>
      </c>
      <c r="EJ245">
        <v>6.9686412811279297E-2</v>
      </c>
      <c r="EK245">
        <v>0.11033681780099869</v>
      </c>
      <c r="EL245">
        <v>0.11498257517814636</v>
      </c>
      <c r="EM245">
        <v>7.3170728981494904E-2</v>
      </c>
      <c r="EN245">
        <v>6.8524971604347229E-2</v>
      </c>
      <c r="EO245">
        <v>0.10336817800998688</v>
      </c>
      <c r="EP245">
        <v>5.5749129503965378E-2</v>
      </c>
      <c r="EQ245">
        <v>9.5238097012042999E-2</v>
      </c>
      <c r="ER245">
        <v>6.3879206776618958E-2</v>
      </c>
      <c r="ES245">
        <v>7.8977935016155243E-2</v>
      </c>
      <c r="ET245">
        <v>7.3170728981494904E-2</v>
      </c>
      <c r="EU245">
        <v>6.155632808804512E-2</v>
      </c>
      <c r="EV245">
        <v>8.4785133600234985E-2</v>
      </c>
      <c r="EW245">
        <v>8.246225118637085E-2</v>
      </c>
      <c r="EX245">
        <v>7.2009295225143433E-2</v>
      </c>
      <c r="EY245">
        <v>6.0394890606403351E-2</v>
      </c>
      <c r="EZ245">
        <v>7.2009295225143433E-2</v>
      </c>
      <c r="FA245">
        <v>4.6457607299089432E-2</v>
      </c>
      <c r="FB245">
        <v>6.9686412811279297E-2</v>
      </c>
      <c r="FC245">
        <v>6.155632808804512E-2</v>
      </c>
      <c r="FD245">
        <v>7.4332170188426971E-2</v>
      </c>
      <c r="FE245">
        <v>9.1753773391246796E-2</v>
      </c>
      <c r="FF245">
        <v>7.5493611395359039E-2</v>
      </c>
      <c r="FG245">
        <v>6.9686412811279297E-2</v>
      </c>
      <c r="FH245">
        <v>8.943089097738266E-2</v>
      </c>
      <c r="FI245">
        <v>9.6399538218975067E-2</v>
      </c>
      <c r="FJ245">
        <v>6.8524971604347229E-2</v>
      </c>
      <c r="FK245">
        <v>8.3623692393302917E-2</v>
      </c>
      <c r="FL245">
        <v>7.3170728981494904E-2</v>
      </c>
      <c r="FM245">
        <v>7.7816493809223175E-2</v>
      </c>
      <c r="FN245">
        <v>6.8524971604347229E-2</v>
      </c>
      <c r="FO245">
        <v>8.1300809979438782E-2</v>
      </c>
      <c r="FP245">
        <v>9.5238097012042999E-2</v>
      </c>
      <c r="FQ245">
        <v>6.8524971604347229E-2</v>
      </c>
      <c r="FR245">
        <v>6.6202089190483093E-2</v>
      </c>
      <c r="FS245">
        <v>8.0139376223087311E-2</v>
      </c>
      <c r="FT245">
        <v>7.6655052602291107E-2</v>
      </c>
      <c r="FU245">
        <v>6.6202089190483093E-2</v>
      </c>
      <c r="FV245">
        <v>7.6829269528388977E-2</v>
      </c>
      <c r="FW245">
        <v>8.4146343171596527E-2</v>
      </c>
      <c r="FX245">
        <v>6.4634144306182861E-2</v>
      </c>
      <c r="FY245">
        <v>0.10487804561853409</v>
      </c>
      <c r="FZ245">
        <v>4.3902438133955002E-2</v>
      </c>
      <c r="GA245">
        <v>6.8292684853076935E-2</v>
      </c>
      <c r="GB245">
        <v>8.1707313656806946E-2</v>
      </c>
      <c r="GC245">
        <v>5.9756096452474594E-2</v>
      </c>
      <c r="GD245">
        <v>5.3658537566661835E-2</v>
      </c>
      <c r="GE245">
        <v>7.0731706917285919E-2</v>
      </c>
      <c r="GF245">
        <v>6.7073173820972443E-2</v>
      </c>
      <c r="GG245">
        <v>7.5609758496284485E-2</v>
      </c>
      <c r="GH245">
        <v>5.9756096452474594E-2</v>
      </c>
      <c r="GI245">
        <v>6.9512195885181427E-2</v>
      </c>
      <c r="GJ245">
        <v>5.8536585420370102E-2</v>
      </c>
      <c r="GK245">
        <v>6.4634144306182861E-2</v>
      </c>
      <c r="GL245">
        <v>8.4146343171596527E-2</v>
      </c>
      <c r="GM245">
        <v>7.0731706917285919E-2</v>
      </c>
      <c r="GN245">
        <v>5.4878048598766327E-2</v>
      </c>
      <c r="GO245">
        <v>8.9024387300014496E-2</v>
      </c>
      <c r="GP245">
        <v>6.0975611209869385E-2</v>
      </c>
      <c r="GQ245">
        <v>6.8292684853076935E-2</v>
      </c>
      <c r="GR245">
        <v>8.9024387300014496E-2</v>
      </c>
      <c r="GS245">
        <v>7.8048780560493469E-2</v>
      </c>
      <c r="GT245">
        <v>8.1707313656806946E-2</v>
      </c>
      <c r="GU245">
        <v>6.5853655338287354E-2</v>
      </c>
      <c r="GV245">
        <v>7.4390247464179993E-2</v>
      </c>
      <c r="GW245">
        <v>0.10731707513332367</v>
      </c>
      <c r="GX245">
        <v>7.0731706917285919E-2</v>
      </c>
      <c r="GY245">
        <v>7.8048780560493469E-2</v>
      </c>
      <c r="GZ245">
        <v>7.5609758496284485E-2</v>
      </c>
      <c r="HA245">
        <v>5.9756096452474594E-2</v>
      </c>
      <c r="HB245">
        <v>0.1036585345864296</v>
      </c>
      <c r="HC245">
        <v>6.7073173820972443E-2</v>
      </c>
      <c r="HD245">
        <v>5.731707438826561E-2</v>
      </c>
      <c r="HE245">
        <v>7.8048780560493469E-2</v>
      </c>
      <c r="HF245">
        <v>7.0731706917285919E-2</v>
      </c>
      <c r="HG245">
        <v>7.1951217949390411E-2</v>
      </c>
      <c r="HH245">
        <v>8.4146343171596527E-2</v>
      </c>
      <c r="HI245">
        <v>7.6829269528388977E-2</v>
      </c>
      <c r="HJ245">
        <v>6.7073173820972443E-2</v>
      </c>
      <c r="HK245">
        <v>5.1219511777162552E-2</v>
      </c>
      <c r="HL245">
        <v>7.1951217949390411E-2</v>
      </c>
      <c r="HM245">
        <v>7.3170728981494904E-2</v>
      </c>
      <c r="HN245">
        <v>8.6585365235805511E-2</v>
      </c>
      <c r="HO245">
        <v>9.7560971975326538E-2</v>
      </c>
      <c r="HP245">
        <v>6.3414633274078369E-2</v>
      </c>
      <c r="HQ245">
        <v>0.12073170393705368</v>
      </c>
      <c r="HR245">
        <v>5.9756096452474594E-2</v>
      </c>
      <c r="HS245">
        <v>5.9756096452474594E-2</v>
      </c>
      <c r="HT245">
        <v>0.10609756410121918</v>
      </c>
      <c r="HU245">
        <v>8.6585365235805511E-2</v>
      </c>
      <c r="HV245">
        <v>6.0975611209869385E-2</v>
      </c>
      <c r="HW245">
        <v>7.6829269528388977E-2</v>
      </c>
      <c r="HX245">
        <v>8.0487802624702454E-2</v>
      </c>
      <c r="HY245">
        <v>7.5609758496284485E-2</v>
      </c>
    </row>
    <row r="246" spans="4:244" x14ac:dyDescent="0.25">
      <c r="D246" s="41" t="str" cm="1">
        <f t="array" ref="D246">IF(H246="","",IF(AND(E246&lt;AVERAGE(E245,E247)*($L$19/100),$D$23:D245=""),H246,""))</f>
        <v/>
      </c>
      <c r="E246" s="78">
        <f t="shared" si="4"/>
        <v>1.9939998037847018E-3</v>
      </c>
      <c r="F246" s="79"/>
      <c r="H246">
        <v>224</v>
      </c>
      <c r="I246">
        <v>7.6043999803784706E-2</v>
      </c>
      <c r="K246">
        <v>6.9686412811279297E-2</v>
      </c>
      <c r="L246">
        <v>6.5040647983551025E-2</v>
      </c>
      <c r="M246">
        <v>7.7816493809223175E-2</v>
      </c>
      <c r="N246">
        <v>4.76190485060215E-2</v>
      </c>
      <c r="O246">
        <v>6.2717773020267487E-2</v>
      </c>
      <c r="P246">
        <v>8.7108016014099121E-2</v>
      </c>
      <c r="Q246">
        <v>7.4332170188426971E-2</v>
      </c>
      <c r="R246">
        <v>9.1753773391246796E-2</v>
      </c>
      <c r="S246">
        <v>8.5946574807167053E-2</v>
      </c>
      <c r="T246">
        <v>7.3170728981494904E-2</v>
      </c>
      <c r="U246">
        <v>9.1753773391246796E-2</v>
      </c>
      <c r="V246">
        <v>6.0394890606403351E-2</v>
      </c>
      <c r="W246">
        <v>9.5238097012042999E-2</v>
      </c>
      <c r="X246">
        <v>6.7363530397415161E-2</v>
      </c>
      <c r="Y246">
        <v>9.9883854389190674E-2</v>
      </c>
      <c r="Z246">
        <v>7.8977935016155243E-2</v>
      </c>
      <c r="AA246">
        <v>9.9883854389190674E-2</v>
      </c>
      <c r="AB246">
        <v>7.3170728981494904E-2</v>
      </c>
      <c r="AC246">
        <v>7.0847854018211365E-2</v>
      </c>
      <c r="AD246">
        <v>9.1753773391246796E-2</v>
      </c>
      <c r="AE246">
        <v>6.7363530397415161E-2</v>
      </c>
      <c r="AF246">
        <v>9.7560971975326538E-2</v>
      </c>
      <c r="AG246">
        <v>6.9686412811279297E-2</v>
      </c>
      <c r="AH246">
        <v>0.11382114142179489</v>
      </c>
      <c r="AI246">
        <v>6.6202089190483093E-2</v>
      </c>
      <c r="AJ246">
        <v>8.1300809979438782E-2</v>
      </c>
      <c r="AK246">
        <v>8.1300809979438782E-2</v>
      </c>
      <c r="AL246">
        <v>7.3170728981494904E-2</v>
      </c>
      <c r="AM246">
        <v>7.2009295225143433E-2</v>
      </c>
      <c r="AN246">
        <v>6.8524971604347229E-2</v>
      </c>
      <c r="AO246">
        <v>8.8269457221031189E-2</v>
      </c>
      <c r="AP246">
        <v>7.4332170188426971E-2</v>
      </c>
      <c r="AQ246">
        <v>7.8977935016155243E-2</v>
      </c>
      <c r="AR246">
        <v>7.7816493809223175E-2</v>
      </c>
      <c r="AS246">
        <v>5.8072008192539215E-2</v>
      </c>
      <c r="AT246">
        <v>6.3879206776618958E-2</v>
      </c>
      <c r="AU246">
        <v>0.10452961921691895</v>
      </c>
      <c r="AV246">
        <v>9.0592332184314728E-2</v>
      </c>
      <c r="AW246">
        <v>6.6202089190483093E-2</v>
      </c>
      <c r="AX246">
        <v>6.0394890606403351E-2</v>
      </c>
      <c r="AY246">
        <v>6.8524971604347229E-2</v>
      </c>
      <c r="AZ246">
        <v>7.5493611395359039E-2</v>
      </c>
      <c r="BA246">
        <v>0.11265970021486282</v>
      </c>
      <c r="BB246">
        <v>5.8072008192539215E-2</v>
      </c>
      <c r="BC246">
        <v>7.0847854018211365E-2</v>
      </c>
      <c r="BD246">
        <v>5.3426247090101242E-2</v>
      </c>
      <c r="BE246">
        <v>7.3170728981494904E-2</v>
      </c>
      <c r="BF246">
        <v>8.3623692393302917E-2</v>
      </c>
      <c r="BG246">
        <v>5.8072008192539215E-2</v>
      </c>
      <c r="BH246">
        <v>7.0847854018211365E-2</v>
      </c>
      <c r="BI246">
        <v>6.5040647983551025E-2</v>
      </c>
      <c r="BJ246">
        <v>9.6399538218975067E-2</v>
      </c>
      <c r="BK246">
        <v>6.7363530397415161E-2</v>
      </c>
      <c r="BL246">
        <v>6.6202089190483093E-2</v>
      </c>
      <c r="BM246">
        <v>9.5238097012042999E-2</v>
      </c>
      <c r="BN246">
        <v>7.6655052602291107E-2</v>
      </c>
      <c r="BO246">
        <v>7.3170728981494904E-2</v>
      </c>
      <c r="BP246">
        <v>5.5749129503965378E-2</v>
      </c>
      <c r="BQ246">
        <v>8.4785133600234985E-2</v>
      </c>
      <c r="BR246">
        <v>6.5040647983551025E-2</v>
      </c>
      <c r="BS246">
        <v>7.5493611395359039E-2</v>
      </c>
      <c r="BT246">
        <v>9.4076655805110931E-2</v>
      </c>
      <c r="BU246">
        <v>6.5040647983551025E-2</v>
      </c>
      <c r="BV246">
        <v>6.7363530397415161E-2</v>
      </c>
      <c r="BW246">
        <v>7.2009295225143433E-2</v>
      </c>
      <c r="BX246">
        <v>7.8977935016155243E-2</v>
      </c>
      <c r="BY246">
        <v>7.6655052602291107E-2</v>
      </c>
      <c r="BZ246">
        <v>6.3879206776618958E-2</v>
      </c>
      <c r="CA246">
        <v>8.246225118637085E-2</v>
      </c>
      <c r="CB246">
        <v>6.8524971604347229E-2</v>
      </c>
      <c r="CC246">
        <v>6.3879206776618958E-2</v>
      </c>
      <c r="CD246">
        <v>9.5238097012042999E-2</v>
      </c>
      <c r="CE246">
        <v>6.8524971604347229E-2</v>
      </c>
      <c r="CF246">
        <v>6.5040647983551025E-2</v>
      </c>
      <c r="CG246">
        <v>7.6655052602291107E-2</v>
      </c>
      <c r="CH246">
        <v>6.155632808804512E-2</v>
      </c>
      <c r="CI246">
        <v>6.3879206776618958E-2</v>
      </c>
      <c r="CJ246">
        <v>8.8269457221031189E-2</v>
      </c>
      <c r="CK246">
        <v>0.10104529559612274</v>
      </c>
      <c r="CL246">
        <v>8.0139376223087311E-2</v>
      </c>
      <c r="CM246">
        <v>8.7108016014099121E-2</v>
      </c>
      <c r="CN246">
        <v>7.3170728981494904E-2</v>
      </c>
      <c r="CO246">
        <v>7.0847854018211365E-2</v>
      </c>
      <c r="CP246">
        <v>4.8780485987663269E-2</v>
      </c>
      <c r="CQ246">
        <v>6.0394890606403351E-2</v>
      </c>
      <c r="CR246">
        <v>8.5946574807167053E-2</v>
      </c>
      <c r="CS246">
        <v>6.5040647983551025E-2</v>
      </c>
      <c r="CT246">
        <v>6.5040647983551025E-2</v>
      </c>
      <c r="CU246">
        <v>6.9686412811279297E-2</v>
      </c>
      <c r="CV246">
        <v>8.5946574807167053E-2</v>
      </c>
      <c r="CW246">
        <v>0.11149825900793076</v>
      </c>
      <c r="CX246">
        <v>7.0847854018211365E-2</v>
      </c>
      <c r="CY246">
        <v>9.7560971975326538E-2</v>
      </c>
      <c r="CZ246">
        <v>6.5040647983551025E-2</v>
      </c>
      <c r="DA246">
        <v>8.1300809979438782E-2</v>
      </c>
      <c r="DB246">
        <v>7.4332170188426971E-2</v>
      </c>
      <c r="DC246">
        <v>8.1300809979438782E-2</v>
      </c>
      <c r="DD246">
        <v>6.155632808804512E-2</v>
      </c>
      <c r="DE246">
        <v>8.246225118637085E-2</v>
      </c>
      <c r="DF246">
        <v>6.3879206776618958E-2</v>
      </c>
      <c r="DG246">
        <v>0.12659698724746704</v>
      </c>
      <c r="DH246">
        <v>6.3879206776618958E-2</v>
      </c>
      <c r="DI246">
        <v>8.8269457221031189E-2</v>
      </c>
      <c r="DJ246">
        <v>8.943089097738266E-2</v>
      </c>
      <c r="DK246">
        <v>6.6202089190483093E-2</v>
      </c>
      <c r="DL246">
        <v>9.9883854389190674E-2</v>
      </c>
      <c r="DM246">
        <v>8.0139376223087311E-2</v>
      </c>
      <c r="DN246">
        <v>8.943089097738266E-2</v>
      </c>
      <c r="DO246">
        <v>7.6655052602291107E-2</v>
      </c>
      <c r="DP246">
        <v>0.11033681780099869</v>
      </c>
      <c r="DQ246">
        <v>6.155632808804512E-2</v>
      </c>
      <c r="DR246">
        <v>8.5946574807167053E-2</v>
      </c>
      <c r="DS246">
        <v>6.7363530397415161E-2</v>
      </c>
      <c r="DT246">
        <v>6.2717773020267487E-2</v>
      </c>
      <c r="DU246">
        <v>6.7363530397415161E-2</v>
      </c>
      <c r="DV246">
        <v>8.7108016014099121E-2</v>
      </c>
      <c r="DW246">
        <v>6.7363530397415161E-2</v>
      </c>
      <c r="DX246">
        <v>8.3623692393302917E-2</v>
      </c>
      <c r="DY246">
        <v>6.3879206776618958E-2</v>
      </c>
      <c r="DZ246">
        <v>6.3879206776618958E-2</v>
      </c>
      <c r="EA246">
        <v>9.1753773391246796E-2</v>
      </c>
      <c r="EB246">
        <v>6.155632808804512E-2</v>
      </c>
      <c r="EC246">
        <v>0.10569106042385101</v>
      </c>
      <c r="ED246">
        <v>5.8072008192539215E-2</v>
      </c>
      <c r="EE246">
        <v>8.0139376223087311E-2</v>
      </c>
      <c r="EF246">
        <v>9.0592332184314728E-2</v>
      </c>
      <c r="EG246">
        <v>6.2195122241973877E-2</v>
      </c>
      <c r="EH246">
        <v>9.8780490458011627E-2</v>
      </c>
      <c r="EI246">
        <v>7.8048780560493469E-2</v>
      </c>
      <c r="EJ246">
        <v>8.0487802624702454E-2</v>
      </c>
      <c r="EK246">
        <v>6.9512195885181427E-2</v>
      </c>
      <c r="EL246">
        <v>7.4390247464179993E-2</v>
      </c>
      <c r="EM246">
        <v>6.8292684853076935E-2</v>
      </c>
      <c r="EN246">
        <v>7.6829269528388977E-2</v>
      </c>
      <c r="EO246">
        <v>8.4146343171596527E-2</v>
      </c>
      <c r="EP246">
        <v>6.5853655338287354E-2</v>
      </c>
      <c r="EQ246">
        <v>7.0731706917285919E-2</v>
      </c>
      <c r="ER246">
        <v>7.9268291592597961E-2</v>
      </c>
      <c r="ES246">
        <v>8.2926832139492035E-2</v>
      </c>
      <c r="ET246">
        <v>6.2195122241973877E-2</v>
      </c>
      <c r="EU246">
        <v>6.7073173820972443E-2</v>
      </c>
      <c r="EV246">
        <v>8.0487802624702454E-2</v>
      </c>
      <c r="EW246">
        <v>5.731707438826561E-2</v>
      </c>
      <c r="EX246">
        <v>7.8048780560493469E-2</v>
      </c>
      <c r="EY246">
        <v>7.5609758496284485E-2</v>
      </c>
      <c r="EZ246">
        <v>5.3658537566661835E-2</v>
      </c>
      <c r="FA246">
        <v>8.7804876267910004E-2</v>
      </c>
      <c r="FB246">
        <v>8.2926832139492035E-2</v>
      </c>
      <c r="FC246">
        <v>7.1951217949390411E-2</v>
      </c>
      <c r="FD246">
        <v>9.8780490458011627E-2</v>
      </c>
      <c r="FE246">
        <v>0.1024390235543251</v>
      </c>
      <c r="FF246">
        <v>5.4878048598766327E-2</v>
      </c>
      <c r="FG246">
        <v>6.7073173820972443E-2</v>
      </c>
      <c r="FH246">
        <v>7.4390247464179993E-2</v>
      </c>
      <c r="FI246">
        <v>6.3414633274078369E-2</v>
      </c>
      <c r="FJ246">
        <v>6.5853655338287354E-2</v>
      </c>
      <c r="FK246">
        <v>5.731707438826561E-2</v>
      </c>
      <c r="FL246">
        <v>8.5365854203701019E-2</v>
      </c>
      <c r="FM246">
        <v>8.9024387300014496E-2</v>
      </c>
      <c r="FN246">
        <v>7.4390247464179993E-2</v>
      </c>
      <c r="FO246">
        <v>6.3414633274078369E-2</v>
      </c>
      <c r="FP246">
        <v>5.1219511777162552E-2</v>
      </c>
      <c r="FQ246">
        <v>8.0487802624702454E-2</v>
      </c>
      <c r="FR246">
        <v>6.9512195885181427E-2</v>
      </c>
      <c r="FS246">
        <v>7.3170728981494904E-2</v>
      </c>
      <c r="FT246">
        <v>5.731707438826561E-2</v>
      </c>
      <c r="FU246">
        <v>8.2926832139492035E-2</v>
      </c>
      <c r="FV246">
        <v>5.731707438826561E-2</v>
      </c>
      <c r="FW246">
        <v>5.6097559630870819E-2</v>
      </c>
      <c r="FX246">
        <v>7.9268291592597961E-2</v>
      </c>
      <c r="FY246">
        <v>6.3414633274078369E-2</v>
      </c>
      <c r="FZ246">
        <v>6.5853655338287354E-2</v>
      </c>
      <c r="GA246">
        <v>8.0487802624702454E-2</v>
      </c>
      <c r="GB246">
        <v>8.0487802624702454E-2</v>
      </c>
      <c r="GC246">
        <v>6.3414633274078369E-2</v>
      </c>
      <c r="GD246">
        <v>9.6341460943222046E-2</v>
      </c>
      <c r="GE246">
        <v>6.0975611209869385E-2</v>
      </c>
      <c r="GF246">
        <v>9.3902438879013062E-2</v>
      </c>
      <c r="GG246">
        <v>7.3170728981494904E-2</v>
      </c>
      <c r="GH246">
        <v>6.7073173820972443E-2</v>
      </c>
      <c r="GI246">
        <v>5.2439022809267044E-2</v>
      </c>
      <c r="GJ246">
        <v>6.4634144306182861E-2</v>
      </c>
      <c r="GK246">
        <v>9.0243905782699585E-2</v>
      </c>
      <c r="GL246">
        <v>6.7073173820972443E-2</v>
      </c>
      <c r="GM246">
        <v>8.7804876267910004E-2</v>
      </c>
      <c r="GN246">
        <v>0.11097560822963715</v>
      </c>
      <c r="GO246">
        <v>8.1707313656806946E-2</v>
      </c>
      <c r="GP246">
        <v>8.2926832139492035E-2</v>
      </c>
      <c r="GQ246">
        <v>0.10487804561853409</v>
      </c>
      <c r="GR246">
        <v>6.2195122241973877E-2</v>
      </c>
      <c r="GS246">
        <v>7.1951217949390411E-2</v>
      </c>
      <c r="GT246">
        <v>5.4878048598766327E-2</v>
      </c>
      <c r="GU246">
        <v>7.6829269528388977E-2</v>
      </c>
      <c r="GV246">
        <v>5.3658537566661835E-2</v>
      </c>
      <c r="GW246">
        <v>6.4634144306182861E-2</v>
      </c>
      <c r="GX246">
        <v>6.2195122241973877E-2</v>
      </c>
      <c r="GY246">
        <v>8.5365854203701019E-2</v>
      </c>
      <c r="GZ246">
        <v>9.8780490458011627E-2</v>
      </c>
      <c r="HA246">
        <v>6.3414633274078369E-2</v>
      </c>
      <c r="HB246">
        <v>8.6585365235805511E-2</v>
      </c>
      <c r="HC246">
        <v>6.5853655338287354E-2</v>
      </c>
      <c r="HD246">
        <v>7.4390247464179993E-2</v>
      </c>
      <c r="HE246">
        <v>6.4634144306182861E-2</v>
      </c>
      <c r="HF246">
        <v>8.5365854203701019E-2</v>
      </c>
      <c r="HG246">
        <v>8.4146343171596527E-2</v>
      </c>
      <c r="HH246">
        <v>6.8292684853076935E-2</v>
      </c>
      <c r="HI246">
        <v>6.4634144306182861E-2</v>
      </c>
      <c r="HJ246">
        <v>8.2926832139492035E-2</v>
      </c>
      <c r="HK246">
        <v>9.2682927846908569E-2</v>
      </c>
      <c r="HL246">
        <v>7.1951217949390411E-2</v>
      </c>
      <c r="HM246">
        <v>6.3414633274078369E-2</v>
      </c>
      <c r="HN246">
        <v>9.3902438879013062E-2</v>
      </c>
      <c r="HO246">
        <v>8.2926832139492035E-2</v>
      </c>
      <c r="HP246">
        <v>5.2439022809267044E-2</v>
      </c>
      <c r="HQ246">
        <v>7.6829269528388977E-2</v>
      </c>
      <c r="HR246">
        <v>6.9512195885181427E-2</v>
      </c>
      <c r="HS246">
        <v>8.2926832139492035E-2</v>
      </c>
      <c r="HT246">
        <v>8.1707313656806946E-2</v>
      </c>
      <c r="HU246">
        <v>8.2926832139492035E-2</v>
      </c>
      <c r="HV246">
        <v>8.0487802624702454E-2</v>
      </c>
      <c r="HW246">
        <v>0.1182926818728447</v>
      </c>
      <c r="HX246">
        <v>8.1707313656806946E-2</v>
      </c>
      <c r="HY246">
        <v>8.2926832139492035E-2</v>
      </c>
      <c r="HZ246">
        <v>5.9756096452474594E-2</v>
      </c>
    </row>
    <row r="247" spans="4:244" x14ac:dyDescent="0.25">
      <c r="D247" s="41" t="str" cm="1">
        <f t="array" ref="D247">IF(H247="","",IF(AND(E247&lt;AVERAGE(E246,E248)*($L$19/100),$D$23:D246=""),H247,""))</f>
        <v/>
      </c>
      <c r="E247" s="78">
        <f t="shared" si="4"/>
        <v>3.2456510219309037E-3</v>
      </c>
      <c r="F247" s="79"/>
      <c r="H247">
        <v>225</v>
      </c>
      <c r="I247">
        <v>7.7295651021930908E-2</v>
      </c>
      <c r="K247">
        <v>7.5493611395359039E-2</v>
      </c>
      <c r="L247">
        <v>9.0592332184314728E-2</v>
      </c>
      <c r="M247">
        <v>8.7108016014099121E-2</v>
      </c>
      <c r="N247">
        <v>7.7816493809223175E-2</v>
      </c>
      <c r="O247">
        <v>9.1753773391246796E-2</v>
      </c>
      <c r="P247">
        <v>8.5946574807167053E-2</v>
      </c>
      <c r="Q247">
        <v>7.7816493809223175E-2</v>
      </c>
      <c r="R247">
        <v>6.6202089190483093E-2</v>
      </c>
      <c r="S247">
        <v>0.10220673680305481</v>
      </c>
      <c r="T247">
        <v>6.7363530397415161E-2</v>
      </c>
      <c r="U247">
        <v>6.155632808804512E-2</v>
      </c>
      <c r="V247">
        <v>8.4785133600234985E-2</v>
      </c>
      <c r="W247">
        <v>7.7816493809223175E-2</v>
      </c>
      <c r="X247">
        <v>8.1300809979438782E-2</v>
      </c>
      <c r="Y247">
        <v>6.8524971604347229E-2</v>
      </c>
      <c r="Z247">
        <v>6.5040647983551025E-2</v>
      </c>
      <c r="AA247">
        <v>6.8524971604347229E-2</v>
      </c>
      <c r="AB247">
        <v>6.6202089190483093E-2</v>
      </c>
      <c r="AC247">
        <v>8.246225118637085E-2</v>
      </c>
      <c r="AD247">
        <v>5.8072008192539215E-2</v>
      </c>
      <c r="AE247">
        <v>0.12659698724746704</v>
      </c>
      <c r="AF247">
        <v>7.6655052602291107E-2</v>
      </c>
      <c r="AG247">
        <v>7.8977935016155243E-2</v>
      </c>
      <c r="AH247">
        <v>6.0394890606403351E-2</v>
      </c>
      <c r="AI247">
        <v>7.7816493809223175E-2</v>
      </c>
      <c r="AJ247">
        <v>7.8977935016155243E-2</v>
      </c>
      <c r="AK247">
        <v>0.11382114142179489</v>
      </c>
      <c r="AL247">
        <v>0.11265970021486282</v>
      </c>
      <c r="AM247">
        <v>6.6202089190483093E-2</v>
      </c>
      <c r="AN247">
        <v>8.246225118637085E-2</v>
      </c>
      <c r="AO247">
        <v>6.0394890606403351E-2</v>
      </c>
      <c r="AP247">
        <v>8.3623692393302917E-2</v>
      </c>
      <c r="AQ247">
        <v>6.9686412811279297E-2</v>
      </c>
      <c r="AR247">
        <v>7.8977935016155243E-2</v>
      </c>
      <c r="AS247">
        <v>7.5493611395359039E-2</v>
      </c>
      <c r="AT247">
        <v>6.5040647983551025E-2</v>
      </c>
      <c r="AU247">
        <v>5.9233449399471283E-2</v>
      </c>
      <c r="AV247">
        <v>8.246225118637085E-2</v>
      </c>
      <c r="AW247">
        <v>7.0847854018211365E-2</v>
      </c>
      <c r="AX247">
        <v>9.2915214598178864E-2</v>
      </c>
      <c r="AY247">
        <v>6.6202089190483093E-2</v>
      </c>
      <c r="AZ247">
        <v>9.1753773391246796E-2</v>
      </c>
      <c r="BA247">
        <v>7.4332170188426971E-2</v>
      </c>
      <c r="BB247">
        <v>6.6202089190483093E-2</v>
      </c>
      <c r="BC247">
        <v>7.0847854018211365E-2</v>
      </c>
      <c r="BD247">
        <v>5.3426247090101242E-2</v>
      </c>
      <c r="BE247">
        <v>6.2717773020267487E-2</v>
      </c>
      <c r="BF247">
        <v>7.4332170188426971E-2</v>
      </c>
      <c r="BG247">
        <v>9.1753773391246796E-2</v>
      </c>
      <c r="BH247">
        <v>8.246225118637085E-2</v>
      </c>
      <c r="BI247">
        <v>9.7560971975326538E-2</v>
      </c>
      <c r="BJ247">
        <v>6.6202089190483093E-2</v>
      </c>
      <c r="BK247">
        <v>7.6655052602291107E-2</v>
      </c>
      <c r="BL247">
        <v>7.6655052602291107E-2</v>
      </c>
      <c r="BM247">
        <v>7.7816493809223175E-2</v>
      </c>
      <c r="BN247">
        <v>8.246225118637085E-2</v>
      </c>
      <c r="BO247">
        <v>8.246225118637085E-2</v>
      </c>
      <c r="BP247">
        <v>5.2264809608459473E-2</v>
      </c>
      <c r="BQ247">
        <v>6.8524971604347229E-2</v>
      </c>
      <c r="BR247">
        <v>9.9883854389190674E-2</v>
      </c>
      <c r="BS247">
        <v>7.3170728981494904E-2</v>
      </c>
      <c r="BT247">
        <v>6.5040647983551025E-2</v>
      </c>
      <c r="BU247">
        <v>6.9686412811279297E-2</v>
      </c>
      <c r="BV247">
        <v>9.0592332184314728E-2</v>
      </c>
      <c r="BW247">
        <v>0.10104529559612274</v>
      </c>
      <c r="BX247">
        <v>8.943089097738266E-2</v>
      </c>
      <c r="BY247">
        <v>8.1300809979438782E-2</v>
      </c>
      <c r="BZ247">
        <v>0.10452961921691895</v>
      </c>
      <c r="CA247">
        <v>7.3170728981494904E-2</v>
      </c>
      <c r="CB247">
        <v>6.0394890606403351E-2</v>
      </c>
      <c r="CC247">
        <v>0.11962834000587463</v>
      </c>
      <c r="CD247">
        <v>5.5749129503965378E-2</v>
      </c>
      <c r="CE247">
        <v>7.0847854018211365E-2</v>
      </c>
      <c r="CF247">
        <v>9.1753773391246796E-2</v>
      </c>
      <c r="CG247">
        <v>7.5493611395359039E-2</v>
      </c>
      <c r="CH247">
        <v>9.6399538218975067E-2</v>
      </c>
      <c r="CI247">
        <v>6.6202089190483093E-2</v>
      </c>
      <c r="CJ247">
        <v>7.2009295225143433E-2</v>
      </c>
      <c r="CK247">
        <v>6.2717773020267487E-2</v>
      </c>
      <c r="CL247">
        <v>7.0847854018211365E-2</v>
      </c>
      <c r="CM247">
        <v>6.3879206776618958E-2</v>
      </c>
      <c r="CN247">
        <v>6.0394890606403351E-2</v>
      </c>
      <c r="CO247">
        <v>7.4332170188426971E-2</v>
      </c>
      <c r="CP247">
        <v>8.4785133600234985E-2</v>
      </c>
      <c r="CQ247">
        <v>7.0847854018211365E-2</v>
      </c>
      <c r="CR247">
        <v>8.5365854203701019E-2</v>
      </c>
      <c r="CS247">
        <v>7.9268291592597961E-2</v>
      </c>
      <c r="CT247">
        <v>7.1951217949390411E-2</v>
      </c>
      <c r="CU247">
        <v>8.6585365235805511E-2</v>
      </c>
      <c r="CV247">
        <v>6.3414633274078369E-2</v>
      </c>
      <c r="CW247">
        <v>6.3414633274078369E-2</v>
      </c>
      <c r="CX247">
        <v>5.4878048598766327E-2</v>
      </c>
      <c r="CY247">
        <v>7.9268291592597961E-2</v>
      </c>
      <c r="CZ247">
        <v>7.6829269528388977E-2</v>
      </c>
      <c r="DA247">
        <v>5.000000074505806E-2</v>
      </c>
      <c r="DB247">
        <v>5.3658537566661835E-2</v>
      </c>
      <c r="DC247">
        <v>7.4390247464179993E-2</v>
      </c>
      <c r="DD247">
        <v>9.3902438879013062E-2</v>
      </c>
      <c r="DE247">
        <v>8.9024387300014496E-2</v>
      </c>
      <c r="DF247">
        <v>7.9268291592597961E-2</v>
      </c>
      <c r="DG247">
        <v>8.7804876267910004E-2</v>
      </c>
      <c r="DH247">
        <v>6.7073173820972443E-2</v>
      </c>
      <c r="DI247">
        <v>6.7073173820972443E-2</v>
      </c>
      <c r="DJ247">
        <v>6.2195122241973877E-2</v>
      </c>
      <c r="DK247">
        <v>5.8536585420370102E-2</v>
      </c>
      <c r="DL247">
        <v>0.11341463774442673</v>
      </c>
      <c r="DM247">
        <v>7.3170728981494904E-2</v>
      </c>
      <c r="DN247">
        <v>6.2195122241973877E-2</v>
      </c>
      <c r="DO247">
        <v>8.6585365235805511E-2</v>
      </c>
      <c r="DP247">
        <v>8.9024387300014496E-2</v>
      </c>
      <c r="DQ247">
        <v>9.0243905782699585E-2</v>
      </c>
      <c r="DR247">
        <v>5.9756096452474594E-2</v>
      </c>
      <c r="DS247">
        <v>8.6585365235805511E-2</v>
      </c>
      <c r="DT247">
        <v>8.1707313656806946E-2</v>
      </c>
      <c r="DU247">
        <v>9.2682927846908569E-2</v>
      </c>
      <c r="DV247">
        <v>5.8536585420370102E-2</v>
      </c>
      <c r="DW247">
        <v>8.5365854203701019E-2</v>
      </c>
      <c r="DX247">
        <v>6.0975611209869385E-2</v>
      </c>
      <c r="DY247">
        <v>8.0487802624702454E-2</v>
      </c>
      <c r="DZ247">
        <v>6.5853655338287354E-2</v>
      </c>
      <c r="EA247">
        <v>7.1951217949390411E-2</v>
      </c>
      <c r="EB247">
        <v>5.731707438826561E-2</v>
      </c>
      <c r="EC247">
        <v>0.10609756410121918</v>
      </c>
      <c r="ED247">
        <v>8.4146343171596527E-2</v>
      </c>
      <c r="EE247">
        <v>0.10121951252222061</v>
      </c>
      <c r="EF247">
        <v>6.5853655338287354E-2</v>
      </c>
      <c r="EG247">
        <v>7.3170728981494904E-2</v>
      </c>
      <c r="EH247">
        <v>7.5609758496284485E-2</v>
      </c>
      <c r="EI247">
        <v>6.3414633274078369E-2</v>
      </c>
      <c r="EJ247">
        <v>6.4634144306182861E-2</v>
      </c>
      <c r="EK247">
        <v>8.5365854203701019E-2</v>
      </c>
      <c r="EL247">
        <v>7.6829269528388977E-2</v>
      </c>
      <c r="EM247">
        <v>6.9512195885181427E-2</v>
      </c>
      <c r="EN247">
        <v>8.7804876267910004E-2</v>
      </c>
      <c r="EO247">
        <v>5.9756096452474594E-2</v>
      </c>
      <c r="EP247">
        <v>7.8048780560493469E-2</v>
      </c>
      <c r="EQ247">
        <v>9.8780490458011627E-2</v>
      </c>
      <c r="ER247">
        <v>6.7073173820972443E-2</v>
      </c>
      <c r="ES247">
        <v>7.4390247464179993E-2</v>
      </c>
      <c r="ET247">
        <v>9.2682927846908569E-2</v>
      </c>
      <c r="EU247">
        <v>7.0731706917285919E-2</v>
      </c>
      <c r="EV247">
        <v>9.2682927846908569E-2</v>
      </c>
      <c r="EW247">
        <v>6.2195122241973877E-2</v>
      </c>
      <c r="EX247">
        <v>5.8536585420370102E-2</v>
      </c>
      <c r="EY247">
        <v>6.3414633274078369E-2</v>
      </c>
      <c r="EZ247">
        <v>6.2195122241973877E-2</v>
      </c>
      <c r="FA247">
        <v>5.9756096452474594E-2</v>
      </c>
      <c r="FB247">
        <v>8.2926832139492035E-2</v>
      </c>
      <c r="FC247">
        <v>8.4146343171596527E-2</v>
      </c>
      <c r="FD247">
        <v>6.5853655338287354E-2</v>
      </c>
      <c r="FE247">
        <v>6.0975611209869385E-2</v>
      </c>
      <c r="FF247">
        <v>8.1707313656806946E-2</v>
      </c>
      <c r="FG247">
        <v>5.1219511777162552E-2</v>
      </c>
      <c r="FH247">
        <v>6.0975611209869385E-2</v>
      </c>
      <c r="FI247">
        <v>7.9268291592597961E-2</v>
      </c>
      <c r="FJ247">
        <v>5.731707438826561E-2</v>
      </c>
      <c r="FK247">
        <v>7.3170728981494904E-2</v>
      </c>
      <c r="FL247">
        <v>6.9512195885181427E-2</v>
      </c>
      <c r="FM247">
        <v>6.0975611209869385E-2</v>
      </c>
      <c r="FN247">
        <v>8.5365854203701019E-2</v>
      </c>
      <c r="FO247">
        <v>9.8780490458011627E-2</v>
      </c>
      <c r="FP247">
        <v>5.8536585420370102E-2</v>
      </c>
      <c r="FQ247">
        <v>7.6829269528388977E-2</v>
      </c>
      <c r="FR247">
        <v>7.4390247464179993E-2</v>
      </c>
      <c r="FS247">
        <v>4.8780485987663269E-2</v>
      </c>
      <c r="FT247">
        <v>0.12560975551605225</v>
      </c>
      <c r="FU247">
        <v>5.8536585420370102E-2</v>
      </c>
      <c r="FV247">
        <v>6.3414633274078369E-2</v>
      </c>
      <c r="FW247">
        <v>7.3170728981494904E-2</v>
      </c>
      <c r="FX247">
        <v>7.9268291592597961E-2</v>
      </c>
      <c r="FY247">
        <v>0.10853658616542816</v>
      </c>
      <c r="FZ247">
        <v>6.4634144306182861E-2</v>
      </c>
      <c r="GA247">
        <v>6.5853655338287354E-2</v>
      </c>
      <c r="GB247">
        <v>5.3658537566661835E-2</v>
      </c>
      <c r="GC247">
        <v>0.10609756410121918</v>
      </c>
      <c r="GD247">
        <v>7.8048780560493469E-2</v>
      </c>
      <c r="GE247">
        <v>6.3414633274078369E-2</v>
      </c>
      <c r="GF247">
        <v>6.0975611209869385E-2</v>
      </c>
      <c r="GG247">
        <v>7.3170728981494904E-2</v>
      </c>
      <c r="GH247">
        <v>9.3902438879013062E-2</v>
      </c>
      <c r="GI247">
        <v>7.3170728981494904E-2</v>
      </c>
      <c r="GJ247">
        <v>0.14146341383457184</v>
      </c>
      <c r="GK247">
        <v>8.6585365235805511E-2</v>
      </c>
      <c r="GL247">
        <v>7.6829269528388977E-2</v>
      </c>
      <c r="GM247">
        <v>0.11219511926174164</v>
      </c>
      <c r="GN247">
        <v>7.6829269528388977E-2</v>
      </c>
      <c r="GO247">
        <v>8.9024387300014496E-2</v>
      </c>
      <c r="GP247">
        <v>7.5609758496284485E-2</v>
      </c>
      <c r="GQ247">
        <v>7.0731706917285919E-2</v>
      </c>
      <c r="GR247">
        <v>6.3414633274078369E-2</v>
      </c>
      <c r="GS247">
        <v>6.7073173820972443E-2</v>
      </c>
      <c r="GT247">
        <v>0.10487804561853409</v>
      </c>
      <c r="GU247">
        <v>8.4146343171596527E-2</v>
      </c>
      <c r="GV247">
        <v>5.8536585420370102E-2</v>
      </c>
      <c r="GW247">
        <v>0.10853658616542816</v>
      </c>
      <c r="GX247">
        <v>7.0731706917285919E-2</v>
      </c>
      <c r="GY247">
        <v>7.0731706917285919E-2</v>
      </c>
      <c r="GZ247">
        <v>6.2195122241973877E-2</v>
      </c>
      <c r="HA247">
        <v>9.2682927846908569E-2</v>
      </c>
      <c r="HB247">
        <v>5.1219511777162552E-2</v>
      </c>
      <c r="HC247">
        <v>8.5365854203701019E-2</v>
      </c>
      <c r="HD247">
        <v>0.10121951252222061</v>
      </c>
      <c r="HE247">
        <v>6.7073173820972443E-2</v>
      </c>
      <c r="HF247">
        <v>9.3902438879013062E-2</v>
      </c>
      <c r="HG247">
        <v>8.6585365235805511E-2</v>
      </c>
      <c r="HH247">
        <v>5.8536585420370102E-2</v>
      </c>
      <c r="HI247">
        <v>9.1463416814804077E-2</v>
      </c>
      <c r="HJ247">
        <v>0.11463414877653122</v>
      </c>
      <c r="HK247">
        <v>7.1951217949390411E-2</v>
      </c>
      <c r="HL247">
        <v>9.7560971975326538E-2</v>
      </c>
      <c r="HM247">
        <v>4.7560974955558777E-2</v>
      </c>
      <c r="HN247">
        <v>8.6585365235805511E-2</v>
      </c>
      <c r="HO247">
        <v>7.5609758496284485E-2</v>
      </c>
      <c r="HP247">
        <v>7.1951217949390411E-2</v>
      </c>
      <c r="HQ247">
        <v>5.8536585420370102E-2</v>
      </c>
      <c r="HR247">
        <v>0.11585365980863571</v>
      </c>
      <c r="HS247">
        <v>7.1951217949390411E-2</v>
      </c>
      <c r="HT247">
        <v>0.11341463774442673</v>
      </c>
      <c r="HU247">
        <v>7.9268291592597961E-2</v>
      </c>
      <c r="HV247">
        <v>8.7804876267910004E-2</v>
      </c>
      <c r="HW247">
        <v>6.9512195885181427E-2</v>
      </c>
      <c r="HX247">
        <v>8.9024387300014496E-2</v>
      </c>
      <c r="HY247">
        <v>5.6097559630870819E-2</v>
      </c>
      <c r="HZ247">
        <v>9.2682927846908569E-2</v>
      </c>
      <c r="IA247">
        <v>6.9512195885181427E-2</v>
      </c>
    </row>
    <row r="248" spans="4:244" x14ac:dyDescent="0.25">
      <c r="D248" s="41" t="str" cm="1">
        <f t="array" ref="D248">IF(H248="","",IF(AND(E248&lt;AVERAGE(E247,E249)*($L$19/100),$D$23:D247=""),H248,""))</f>
        <v/>
      </c>
      <c r="E248" s="78">
        <f t="shared" si="4"/>
        <v>2.9069753479641081E-3</v>
      </c>
      <c r="F248" s="79"/>
      <c r="H248">
        <v>226</v>
      </c>
      <c r="I248">
        <v>7.6956975347964113E-2</v>
      </c>
      <c r="K248">
        <v>5.6910570710897446E-2</v>
      </c>
      <c r="L248">
        <v>9.6399538218975067E-2</v>
      </c>
      <c r="M248">
        <v>6.7363530397415161E-2</v>
      </c>
      <c r="N248">
        <v>5.8072008192539215E-2</v>
      </c>
      <c r="O248">
        <v>6.7363530397415161E-2</v>
      </c>
      <c r="P248">
        <v>7.8977935016155243E-2</v>
      </c>
      <c r="Q248">
        <v>8.8269457221031189E-2</v>
      </c>
      <c r="R248">
        <v>6.9686412811279297E-2</v>
      </c>
      <c r="S248">
        <v>5.9233449399471283E-2</v>
      </c>
      <c r="T248">
        <v>8.1300809979438782E-2</v>
      </c>
      <c r="U248">
        <v>9.4076655805110931E-2</v>
      </c>
      <c r="V248">
        <v>6.8524971604347229E-2</v>
      </c>
      <c r="W248">
        <v>9.8722413182258606E-2</v>
      </c>
      <c r="X248">
        <v>4.9941927194595337E-2</v>
      </c>
      <c r="Y248">
        <v>7.3170728981494904E-2</v>
      </c>
      <c r="Z248">
        <v>6.7363530397415161E-2</v>
      </c>
      <c r="AA248">
        <v>7.7816493809223175E-2</v>
      </c>
      <c r="AB248">
        <v>9.4076655805110931E-2</v>
      </c>
      <c r="AC248">
        <v>9.0592332184314728E-2</v>
      </c>
      <c r="AD248">
        <v>6.3879206776618958E-2</v>
      </c>
      <c r="AE248">
        <v>7.5493611395359039E-2</v>
      </c>
      <c r="AF248">
        <v>7.5493611395359039E-2</v>
      </c>
      <c r="AG248">
        <v>9.2915214598178864E-2</v>
      </c>
      <c r="AH248">
        <v>7.2009295225143433E-2</v>
      </c>
      <c r="AI248">
        <v>7.3170728981494904E-2</v>
      </c>
      <c r="AJ248">
        <v>0.11149825900793076</v>
      </c>
      <c r="AK248">
        <v>7.7816493809223175E-2</v>
      </c>
      <c r="AL248">
        <v>6.2717773020267487E-2</v>
      </c>
      <c r="AM248">
        <v>7.8977935016155243E-2</v>
      </c>
      <c r="AN248">
        <v>8.5946574807167053E-2</v>
      </c>
      <c r="AO248">
        <v>6.0394890606403351E-2</v>
      </c>
      <c r="AP248">
        <v>6.9686412811279297E-2</v>
      </c>
      <c r="AQ248">
        <v>0.13821138441562653</v>
      </c>
      <c r="AR248">
        <v>6.7363530397415161E-2</v>
      </c>
      <c r="AS248">
        <v>7.3170728981494904E-2</v>
      </c>
      <c r="AT248">
        <v>7.8977935016155243E-2</v>
      </c>
      <c r="AU248">
        <v>0.10336817800998688</v>
      </c>
      <c r="AV248">
        <v>6.3879206776618958E-2</v>
      </c>
      <c r="AW248">
        <v>8.246225118637085E-2</v>
      </c>
      <c r="AX248">
        <v>6.8524971604347229E-2</v>
      </c>
      <c r="AY248">
        <v>0.10685249418020248</v>
      </c>
      <c r="AZ248">
        <v>9.9883854389190674E-2</v>
      </c>
      <c r="BA248">
        <v>6.8524971604347229E-2</v>
      </c>
      <c r="BB248">
        <v>8.246225118637085E-2</v>
      </c>
      <c r="BC248">
        <v>8.5365854203701019E-2</v>
      </c>
      <c r="BD248">
        <v>7.8048780560493469E-2</v>
      </c>
      <c r="BE248">
        <v>8.1707313656806946E-2</v>
      </c>
      <c r="BF248">
        <v>8.1707313656806946E-2</v>
      </c>
      <c r="BG248">
        <v>5.2439022809267044E-2</v>
      </c>
      <c r="BH248">
        <v>0.10487804561853409</v>
      </c>
      <c r="BI248">
        <v>7.1951217949390411E-2</v>
      </c>
      <c r="BJ248">
        <v>7.4390247464179993E-2</v>
      </c>
      <c r="BK248">
        <v>5.3658537566661835E-2</v>
      </c>
      <c r="BL248">
        <v>7.0731706917285919E-2</v>
      </c>
      <c r="BM248">
        <v>8.1707313656806946E-2</v>
      </c>
      <c r="BN248">
        <v>8.7804876267910004E-2</v>
      </c>
      <c r="BO248">
        <v>0.11097560822963715</v>
      </c>
      <c r="BP248">
        <v>7.9268291592597961E-2</v>
      </c>
      <c r="BQ248">
        <v>7.9268291592597961E-2</v>
      </c>
      <c r="BR248">
        <v>0.10487804561853409</v>
      </c>
      <c r="BS248">
        <v>6.0975611209869385E-2</v>
      </c>
      <c r="BT248">
        <v>6.4634144306182861E-2</v>
      </c>
      <c r="BU248">
        <v>8.1707313656806946E-2</v>
      </c>
      <c r="BV248">
        <v>7.4390247464179993E-2</v>
      </c>
      <c r="BW248">
        <v>7.0731706917285919E-2</v>
      </c>
      <c r="BX248">
        <v>7.9268291592597961E-2</v>
      </c>
      <c r="BY248">
        <v>8.7804876267910004E-2</v>
      </c>
      <c r="BZ248">
        <v>7.1951217949390411E-2</v>
      </c>
      <c r="CA248">
        <v>5.9756096452474594E-2</v>
      </c>
      <c r="CB248">
        <v>8.2926832139492035E-2</v>
      </c>
      <c r="CC248">
        <v>5.731707438826561E-2</v>
      </c>
      <c r="CD248">
        <v>9.3902438879013062E-2</v>
      </c>
      <c r="CE248">
        <v>7.4390247464179993E-2</v>
      </c>
      <c r="CF248">
        <v>6.7073173820972443E-2</v>
      </c>
      <c r="CG248">
        <v>7.3170728981494904E-2</v>
      </c>
      <c r="CH248">
        <v>6.4634144306182861E-2</v>
      </c>
      <c r="CI248">
        <v>9.8780490458011627E-2</v>
      </c>
      <c r="CJ248">
        <v>7.5609758496284485E-2</v>
      </c>
      <c r="CK248">
        <v>6.3414633274078369E-2</v>
      </c>
      <c r="CL248">
        <v>7.1951217949390411E-2</v>
      </c>
      <c r="CM248">
        <v>6.2195122241973877E-2</v>
      </c>
      <c r="CN248">
        <v>8.4146343171596527E-2</v>
      </c>
      <c r="CO248">
        <v>5.6097559630870819E-2</v>
      </c>
      <c r="CP248">
        <v>4.5121952891349792E-2</v>
      </c>
      <c r="CQ248">
        <v>6.7073173820972443E-2</v>
      </c>
      <c r="CR248">
        <v>6.5853655338287354E-2</v>
      </c>
      <c r="CS248">
        <v>6.7073173820972443E-2</v>
      </c>
      <c r="CT248">
        <v>6.7073173820972443E-2</v>
      </c>
      <c r="CU248">
        <v>7.4390247464179993E-2</v>
      </c>
      <c r="CV248">
        <v>7.8048780560493469E-2</v>
      </c>
      <c r="CW248">
        <v>6.4634144306182861E-2</v>
      </c>
      <c r="CX248">
        <v>6.7073173820972443E-2</v>
      </c>
      <c r="CY248">
        <v>5.4878048598766327E-2</v>
      </c>
      <c r="CZ248">
        <v>6.4634144306182861E-2</v>
      </c>
      <c r="DA248">
        <v>9.7560971975326538E-2</v>
      </c>
      <c r="DB248">
        <v>6.4634144306182861E-2</v>
      </c>
      <c r="DC248">
        <v>0.11463414877653122</v>
      </c>
      <c r="DD248">
        <v>6.8292684853076935E-2</v>
      </c>
      <c r="DE248">
        <v>6.5853655338287354E-2</v>
      </c>
      <c r="DF248">
        <v>8.6585365235805511E-2</v>
      </c>
      <c r="DG248">
        <v>0.10000000149011612</v>
      </c>
      <c r="DH248">
        <v>6.7073173820972443E-2</v>
      </c>
      <c r="DI248">
        <v>6.7073173820972443E-2</v>
      </c>
      <c r="DJ248">
        <v>5.4878048598766327E-2</v>
      </c>
      <c r="DK248">
        <v>6.8292684853076935E-2</v>
      </c>
      <c r="DL248">
        <v>9.6341460943222046E-2</v>
      </c>
      <c r="DM248">
        <v>6.5853655338287354E-2</v>
      </c>
      <c r="DN248">
        <v>9.1463416814804077E-2</v>
      </c>
      <c r="DO248">
        <v>6.2195122241973877E-2</v>
      </c>
      <c r="DP248">
        <v>8.1707313656806946E-2</v>
      </c>
      <c r="DQ248">
        <v>8.5365854203701019E-2</v>
      </c>
      <c r="DR248">
        <v>4.8780485987663269E-2</v>
      </c>
      <c r="DS248">
        <v>8.0487802624702454E-2</v>
      </c>
      <c r="DT248">
        <v>7.9268291592597961E-2</v>
      </c>
      <c r="DU248">
        <v>5.6097559630870819E-2</v>
      </c>
      <c r="DV248">
        <v>0.12195122241973877</v>
      </c>
      <c r="DW248">
        <v>6.4634144306182861E-2</v>
      </c>
      <c r="DX248">
        <v>8.4146343171596527E-2</v>
      </c>
      <c r="DY248">
        <v>7.4390247464179993E-2</v>
      </c>
      <c r="DZ248">
        <v>9.8780490458011627E-2</v>
      </c>
      <c r="EA248">
        <v>6.0975611209869385E-2</v>
      </c>
      <c r="EB248">
        <v>9.2682927846908569E-2</v>
      </c>
      <c r="EC248">
        <v>9.6341460943222046E-2</v>
      </c>
      <c r="ED248">
        <v>6.3414633274078369E-2</v>
      </c>
      <c r="EE248">
        <v>8.6585365235805511E-2</v>
      </c>
      <c r="EF248">
        <v>6.7073173820972443E-2</v>
      </c>
      <c r="EG248">
        <v>8.2926832139492035E-2</v>
      </c>
      <c r="EH248">
        <v>6.9512195885181427E-2</v>
      </c>
      <c r="EI248">
        <v>6.9512195885181427E-2</v>
      </c>
      <c r="EJ248">
        <v>7.1951217949390411E-2</v>
      </c>
      <c r="EK248">
        <v>7.1951217949390411E-2</v>
      </c>
      <c r="EL248">
        <v>8.6585365235805511E-2</v>
      </c>
      <c r="EM248">
        <v>6.4634144306182861E-2</v>
      </c>
      <c r="EN248">
        <v>0.1024390235543251</v>
      </c>
      <c r="EO248">
        <v>5.8536585420370102E-2</v>
      </c>
      <c r="EP248">
        <v>7.6829269528388977E-2</v>
      </c>
      <c r="EQ248">
        <v>9.7560971975326538E-2</v>
      </c>
      <c r="ER248">
        <v>9.0243905782699585E-2</v>
      </c>
      <c r="ES248">
        <v>8.9024387300014496E-2</v>
      </c>
      <c r="ET248">
        <v>7.9268291592597961E-2</v>
      </c>
      <c r="EU248">
        <v>6.3414633274078369E-2</v>
      </c>
      <c r="EV248">
        <v>0.1170731708407402</v>
      </c>
      <c r="EW248">
        <v>0.1024390235543251</v>
      </c>
      <c r="EX248">
        <v>0.1170731708407402</v>
      </c>
      <c r="EY248">
        <v>5.000000074505806E-2</v>
      </c>
      <c r="EZ248">
        <v>7.6829269528388977E-2</v>
      </c>
      <c r="FA248">
        <v>7.0731706917285919E-2</v>
      </c>
      <c r="FB248">
        <v>5.9756096452474594E-2</v>
      </c>
      <c r="FC248">
        <v>6.3414633274078369E-2</v>
      </c>
      <c r="FD248">
        <v>7.9268291592597961E-2</v>
      </c>
      <c r="FE248">
        <v>6.8292684853076935E-2</v>
      </c>
      <c r="FF248">
        <v>8.2926832139492035E-2</v>
      </c>
      <c r="FG248">
        <v>5.1219511777162552E-2</v>
      </c>
      <c r="FH248">
        <v>5.1219511777162552E-2</v>
      </c>
      <c r="FI248">
        <v>0.11219511926174164</v>
      </c>
      <c r="FJ248">
        <v>5.6097559630870819E-2</v>
      </c>
      <c r="FK248">
        <v>0.10731707513332367</v>
      </c>
      <c r="FL248">
        <v>5.2439022809267044E-2</v>
      </c>
      <c r="FM248">
        <v>7.1951217949390411E-2</v>
      </c>
      <c r="FN248">
        <v>5.8536585420370102E-2</v>
      </c>
      <c r="FO248">
        <v>7.1951217949390411E-2</v>
      </c>
      <c r="FP248">
        <v>7.8048780560493469E-2</v>
      </c>
      <c r="FQ248">
        <v>7.6829269528388977E-2</v>
      </c>
      <c r="FR248">
        <v>5.731707438826561E-2</v>
      </c>
      <c r="FS248">
        <v>8.6585365235805511E-2</v>
      </c>
      <c r="FT248">
        <v>7.4390247464179993E-2</v>
      </c>
      <c r="FU248">
        <v>5.000000074505806E-2</v>
      </c>
      <c r="FV248">
        <v>6.0975611209869385E-2</v>
      </c>
      <c r="FW248">
        <v>7.1951217949390411E-2</v>
      </c>
      <c r="FX248">
        <v>7.5609758496284485E-2</v>
      </c>
      <c r="FY248">
        <v>8.0487802624702454E-2</v>
      </c>
      <c r="FZ248">
        <v>6.0975611209869385E-2</v>
      </c>
      <c r="GA248">
        <v>0.13536585867404938</v>
      </c>
      <c r="GB248">
        <v>0.10121951252222061</v>
      </c>
      <c r="GC248">
        <v>6.5853655338287354E-2</v>
      </c>
      <c r="GD248">
        <v>8.4146343171596527E-2</v>
      </c>
      <c r="GE248">
        <v>6.7073173820972443E-2</v>
      </c>
      <c r="GF248">
        <v>8.4146343171596527E-2</v>
      </c>
      <c r="GG248">
        <v>9.1463416814804077E-2</v>
      </c>
      <c r="GH248">
        <v>7.8048780560493469E-2</v>
      </c>
      <c r="GI248">
        <v>7.5609758496284485E-2</v>
      </c>
      <c r="GJ248">
        <v>8.1707313656806946E-2</v>
      </c>
      <c r="GK248">
        <v>9.5121949911117554E-2</v>
      </c>
      <c r="GL248">
        <v>6.2195122241973877E-2</v>
      </c>
      <c r="GM248">
        <v>9.1463416814804077E-2</v>
      </c>
      <c r="GN248">
        <v>7.6829269528388977E-2</v>
      </c>
      <c r="GO248">
        <v>6.2195122241973877E-2</v>
      </c>
      <c r="GP248">
        <v>5.2439022809267044E-2</v>
      </c>
      <c r="GQ248">
        <v>7.0731706917285919E-2</v>
      </c>
      <c r="GR248">
        <v>8.9024387300014496E-2</v>
      </c>
      <c r="GS248">
        <v>6.9512195885181427E-2</v>
      </c>
      <c r="GT248">
        <v>6.4634144306182861E-2</v>
      </c>
      <c r="GU248">
        <v>7.6829269528388977E-2</v>
      </c>
      <c r="GV248">
        <v>7.1951217949390411E-2</v>
      </c>
      <c r="GW248">
        <v>9.1463416814804077E-2</v>
      </c>
      <c r="GX248">
        <v>6.8292684853076935E-2</v>
      </c>
      <c r="GY248">
        <v>6.0975611209869385E-2</v>
      </c>
      <c r="GZ248">
        <v>7.1951217949390411E-2</v>
      </c>
      <c r="HA248">
        <v>6.0975611209869385E-2</v>
      </c>
      <c r="HB248">
        <v>5.8536585420370102E-2</v>
      </c>
      <c r="HC248">
        <v>0.1036585345864296</v>
      </c>
      <c r="HD248">
        <v>8.1707313656806946E-2</v>
      </c>
      <c r="HE248">
        <v>9.7560971975326538E-2</v>
      </c>
      <c r="HF248">
        <v>7.6829269528388977E-2</v>
      </c>
      <c r="HG248">
        <v>6.9512195885181427E-2</v>
      </c>
      <c r="HH248">
        <v>8.1707313656806946E-2</v>
      </c>
      <c r="HI248">
        <v>0.10121951252222061</v>
      </c>
      <c r="HJ248">
        <v>8.5365854203701019E-2</v>
      </c>
      <c r="HK248">
        <v>6.4634144306182861E-2</v>
      </c>
      <c r="HL248">
        <v>7.5609758496284485E-2</v>
      </c>
      <c r="HM248">
        <v>9.8780490458011627E-2</v>
      </c>
      <c r="HN248">
        <v>7.5609758496284485E-2</v>
      </c>
      <c r="HO248">
        <v>8.6585365235805511E-2</v>
      </c>
      <c r="HP248">
        <v>8.4146343171596527E-2</v>
      </c>
      <c r="HQ248">
        <v>6.9512195885181427E-2</v>
      </c>
      <c r="HR248">
        <v>0.11097560822963715</v>
      </c>
      <c r="HS248">
        <v>6.7073173820972443E-2</v>
      </c>
      <c r="HT248">
        <v>6.7073173820972443E-2</v>
      </c>
      <c r="HU248">
        <v>7.9268291592597961E-2</v>
      </c>
      <c r="HV248">
        <v>8.5365854203701019E-2</v>
      </c>
      <c r="HW248">
        <v>5.9756096452474594E-2</v>
      </c>
      <c r="HX248">
        <v>6.9512195885181427E-2</v>
      </c>
      <c r="HY248">
        <v>6.4634144306182861E-2</v>
      </c>
      <c r="HZ248">
        <v>7.6829269528388977E-2</v>
      </c>
      <c r="IA248">
        <v>9.1463416814804077E-2</v>
      </c>
      <c r="IB248">
        <v>6.3414633274078369E-2</v>
      </c>
    </row>
    <row r="249" spans="4:244" x14ac:dyDescent="0.25">
      <c r="D249" s="41" t="str" cm="1">
        <f t="array" ref="D249">IF(H249="","",IF(AND(E249&lt;AVERAGE(E248,E250)*($L$19/100),$D$23:D248=""),H249,""))</f>
        <v/>
      </c>
      <c r="E249" s="78">
        <f t="shared" si="4"/>
        <v>3.5851133796349494E-3</v>
      </c>
      <c r="F249" s="79"/>
      <c r="H249">
        <v>227</v>
      </c>
      <c r="I249">
        <v>7.7635113379634954E-2</v>
      </c>
      <c r="K249">
        <v>8.4785133600234985E-2</v>
      </c>
      <c r="L249">
        <v>7.7816493809223175E-2</v>
      </c>
      <c r="M249">
        <v>8.1300809979438782E-2</v>
      </c>
      <c r="N249">
        <v>0.11097560822963715</v>
      </c>
      <c r="O249">
        <v>7.0731706917285919E-2</v>
      </c>
      <c r="P249">
        <v>7.4390247464179993E-2</v>
      </c>
      <c r="Q249">
        <v>6.5853655338287354E-2</v>
      </c>
      <c r="R249">
        <v>6.3414633274078369E-2</v>
      </c>
      <c r="S249">
        <v>6.9512195885181427E-2</v>
      </c>
      <c r="T249">
        <v>8.1707313656806946E-2</v>
      </c>
      <c r="U249">
        <v>9.6341460943222046E-2</v>
      </c>
      <c r="V249">
        <v>7.1951217949390411E-2</v>
      </c>
      <c r="W249">
        <v>7.5609758496284485E-2</v>
      </c>
      <c r="X249">
        <v>6.4634144306182861E-2</v>
      </c>
      <c r="Y249">
        <v>8.2926832139492035E-2</v>
      </c>
      <c r="Z249">
        <v>8.4146343171596527E-2</v>
      </c>
      <c r="AA249">
        <v>5.6097559630870819E-2</v>
      </c>
      <c r="AB249">
        <v>0.1024390235543251</v>
      </c>
      <c r="AC249">
        <v>9.0243905782699585E-2</v>
      </c>
      <c r="AD249">
        <v>6.8292684853076935E-2</v>
      </c>
      <c r="AE249">
        <v>6.9512195885181427E-2</v>
      </c>
      <c r="AF249">
        <v>8.7804876267910004E-2</v>
      </c>
      <c r="AG249">
        <v>6.3414633274078369E-2</v>
      </c>
      <c r="AH249">
        <v>6.2195122241973877E-2</v>
      </c>
      <c r="AI249">
        <v>8.9024387300014496E-2</v>
      </c>
      <c r="AJ249">
        <v>6.4634144306182861E-2</v>
      </c>
      <c r="AK249">
        <v>7.8048780560493469E-2</v>
      </c>
      <c r="AL249">
        <v>7.3170728981494904E-2</v>
      </c>
      <c r="AM249">
        <v>9.8780490458011627E-2</v>
      </c>
      <c r="AN249">
        <v>7.0731706917285919E-2</v>
      </c>
      <c r="AO249">
        <v>9.5121949911117554E-2</v>
      </c>
      <c r="AP249">
        <v>7.0731706917285919E-2</v>
      </c>
      <c r="AQ249">
        <v>0.1024390235543251</v>
      </c>
      <c r="AR249">
        <v>7.8048780560493469E-2</v>
      </c>
      <c r="AS249">
        <v>8.1707313656806946E-2</v>
      </c>
      <c r="AT249">
        <v>8.1707313656806946E-2</v>
      </c>
      <c r="AU249">
        <v>6.7073173820972443E-2</v>
      </c>
      <c r="AV249">
        <v>6.4634144306182861E-2</v>
      </c>
      <c r="AW249">
        <v>6.7073173820972443E-2</v>
      </c>
      <c r="AX249">
        <v>7.6829269528388977E-2</v>
      </c>
      <c r="AY249">
        <v>8.7804876267910004E-2</v>
      </c>
      <c r="AZ249">
        <v>9.2682927846908569E-2</v>
      </c>
      <c r="BA249">
        <v>8.2926832139492035E-2</v>
      </c>
      <c r="BB249">
        <v>0.11463414877653122</v>
      </c>
      <c r="BC249">
        <v>7.4390247464179993E-2</v>
      </c>
      <c r="BD249">
        <v>5.731707438826561E-2</v>
      </c>
      <c r="BE249">
        <v>0.10853658616542816</v>
      </c>
      <c r="BF249">
        <v>6.7073173820972443E-2</v>
      </c>
      <c r="BG249">
        <v>7.6829269528388977E-2</v>
      </c>
      <c r="BH249">
        <v>6.4634144306182861E-2</v>
      </c>
      <c r="BI249">
        <v>0.11463414877653122</v>
      </c>
      <c r="BJ249">
        <v>7.4390247464179993E-2</v>
      </c>
      <c r="BK249">
        <v>6.5853655338287354E-2</v>
      </c>
      <c r="BL249">
        <v>7.9268291592597961E-2</v>
      </c>
      <c r="BM249">
        <v>6.4634144306182861E-2</v>
      </c>
      <c r="BN249">
        <v>6.2195122241973877E-2</v>
      </c>
      <c r="BO249">
        <v>5.6097559630870819E-2</v>
      </c>
      <c r="BP249">
        <v>6.3414633274078369E-2</v>
      </c>
      <c r="BQ249">
        <v>0.11951219290494919</v>
      </c>
      <c r="BR249">
        <v>6.3414633274078369E-2</v>
      </c>
      <c r="BS249">
        <v>7.6829269528388977E-2</v>
      </c>
      <c r="BT249">
        <v>6.0975611209869385E-2</v>
      </c>
      <c r="BU249">
        <v>9.0243905782699585E-2</v>
      </c>
      <c r="BV249">
        <v>8.6585365235805511E-2</v>
      </c>
      <c r="BW249">
        <v>6.9512195885181427E-2</v>
      </c>
      <c r="BX249">
        <v>6.5853655338287354E-2</v>
      </c>
      <c r="BY249">
        <v>8.6585365235805511E-2</v>
      </c>
      <c r="BZ249">
        <v>8.4146343171596527E-2</v>
      </c>
      <c r="CA249">
        <v>8.6585365235805511E-2</v>
      </c>
      <c r="CB249">
        <v>8.0487802624702454E-2</v>
      </c>
      <c r="CC249">
        <v>7.0731706917285919E-2</v>
      </c>
      <c r="CD249">
        <v>6.7073173820972443E-2</v>
      </c>
      <c r="CE249">
        <v>5.9756096452474594E-2</v>
      </c>
      <c r="CF249">
        <v>5.731707438826561E-2</v>
      </c>
      <c r="CG249">
        <v>6.2195122241973877E-2</v>
      </c>
      <c r="CH249">
        <v>6.5853655338287354E-2</v>
      </c>
      <c r="CI249">
        <v>6.0975611209869385E-2</v>
      </c>
      <c r="CJ249">
        <v>0.13658536970615387</v>
      </c>
      <c r="CK249">
        <v>8.6585365235805511E-2</v>
      </c>
      <c r="CL249">
        <v>8.0487802624702454E-2</v>
      </c>
      <c r="CM249">
        <v>4.6341463923454285E-2</v>
      </c>
      <c r="CN249">
        <v>7.8048780560493469E-2</v>
      </c>
      <c r="CO249">
        <v>6.9512195885181427E-2</v>
      </c>
      <c r="CP249">
        <v>9.3902438879013062E-2</v>
      </c>
      <c r="CQ249">
        <v>0.14024390280246735</v>
      </c>
      <c r="CR249">
        <v>5.000000074505806E-2</v>
      </c>
      <c r="CS249">
        <v>0.11585365980863571</v>
      </c>
      <c r="CT249">
        <v>5.9756096452474594E-2</v>
      </c>
      <c r="CU249">
        <v>7.9268291592597961E-2</v>
      </c>
      <c r="CV249">
        <v>6.0975611209869385E-2</v>
      </c>
      <c r="CW249">
        <v>7.3170728981494904E-2</v>
      </c>
      <c r="CX249">
        <v>6.4634144306182861E-2</v>
      </c>
      <c r="CY249">
        <v>8.1707313656806946E-2</v>
      </c>
      <c r="CZ249">
        <v>9.0243905782699585E-2</v>
      </c>
      <c r="DA249">
        <v>9.3902438879013062E-2</v>
      </c>
      <c r="DB249">
        <v>5.8536585420370102E-2</v>
      </c>
      <c r="DC249">
        <v>8.2926832139492035E-2</v>
      </c>
      <c r="DD249">
        <v>0.10853658616542816</v>
      </c>
      <c r="DE249">
        <v>6.8292684853076935E-2</v>
      </c>
      <c r="DF249">
        <v>7.5609758496284485E-2</v>
      </c>
      <c r="DG249">
        <v>7.8048780560493469E-2</v>
      </c>
      <c r="DH249">
        <v>8.4146343171596527E-2</v>
      </c>
      <c r="DI249">
        <v>7.1951217949390411E-2</v>
      </c>
      <c r="DJ249">
        <v>8.6585365235805511E-2</v>
      </c>
      <c r="DK249">
        <v>7.4390247464179993E-2</v>
      </c>
      <c r="DL249">
        <v>4.5121952891349792E-2</v>
      </c>
      <c r="DM249">
        <v>0.10000000149011612</v>
      </c>
      <c r="DN249">
        <v>6.0975611209869385E-2</v>
      </c>
      <c r="DO249">
        <v>9.2682927846908569E-2</v>
      </c>
      <c r="DP249">
        <v>0.1024390235543251</v>
      </c>
      <c r="DQ249">
        <v>8.0487802624702454E-2</v>
      </c>
      <c r="DR249">
        <v>5.6097559630870819E-2</v>
      </c>
      <c r="DS249">
        <v>0.12439024448394775</v>
      </c>
      <c r="DT249">
        <v>6.4634144306182861E-2</v>
      </c>
      <c r="DU249">
        <v>6.8292684853076935E-2</v>
      </c>
      <c r="DV249">
        <v>7.6829269528388977E-2</v>
      </c>
      <c r="DW249">
        <v>5.4878048598766327E-2</v>
      </c>
      <c r="DX249">
        <v>9.1463416814804077E-2</v>
      </c>
      <c r="DY249">
        <v>9.3902438879013062E-2</v>
      </c>
      <c r="DZ249">
        <v>8.7804876267910004E-2</v>
      </c>
      <c r="EA249">
        <v>8.0487802624702454E-2</v>
      </c>
      <c r="EB249">
        <v>0.1024390235543251</v>
      </c>
      <c r="EC249">
        <v>7.1951217949390411E-2</v>
      </c>
      <c r="ED249">
        <v>7.0731706917285919E-2</v>
      </c>
      <c r="EE249">
        <v>5.9756096452474594E-2</v>
      </c>
      <c r="EF249">
        <v>7.8048780560493469E-2</v>
      </c>
      <c r="EG249">
        <v>6.7073173820972443E-2</v>
      </c>
      <c r="EH249">
        <v>9.7560971975326538E-2</v>
      </c>
      <c r="EI249">
        <v>7.5609758496284485E-2</v>
      </c>
      <c r="EJ249">
        <v>7.9268291592597961E-2</v>
      </c>
      <c r="EK249">
        <v>9.8780490458011627E-2</v>
      </c>
      <c r="EL249">
        <v>9.7560971975326538E-2</v>
      </c>
      <c r="EM249">
        <v>6.2195122241973877E-2</v>
      </c>
      <c r="EN249">
        <v>9.5121949911117554E-2</v>
      </c>
      <c r="EO249">
        <v>6.7073173820972443E-2</v>
      </c>
      <c r="EP249">
        <v>4.7560974955558777E-2</v>
      </c>
      <c r="EQ249">
        <v>6.9512195885181427E-2</v>
      </c>
      <c r="ER249">
        <v>0.12804877758026123</v>
      </c>
      <c r="ES249">
        <v>8.9024387300014496E-2</v>
      </c>
      <c r="ET249">
        <v>5.1219511777162552E-2</v>
      </c>
      <c r="EU249">
        <v>8.0487802624702454E-2</v>
      </c>
      <c r="EV249">
        <v>7.0731706917285919E-2</v>
      </c>
      <c r="EW249">
        <v>5.2439022809267044E-2</v>
      </c>
      <c r="EX249">
        <v>7.6829269528388977E-2</v>
      </c>
      <c r="EY249">
        <v>7.6829269528388977E-2</v>
      </c>
      <c r="EZ249">
        <v>6.8292684853076935E-2</v>
      </c>
      <c r="FA249">
        <v>7.1951217949390411E-2</v>
      </c>
      <c r="FB249">
        <v>6.5853655338287354E-2</v>
      </c>
      <c r="FC249">
        <v>5.1219511777162552E-2</v>
      </c>
      <c r="FD249">
        <v>7.9268291592597961E-2</v>
      </c>
      <c r="FE249">
        <v>8.5365854203701019E-2</v>
      </c>
      <c r="FF249">
        <v>6.8292684853076935E-2</v>
      </c>
      <c r="FG249">
        <v>6.2195122241973877E-2</v>
      </c>
      <c r="FH249">
        <v>9.2682927846908569E-2</v>
      </c>
      <c r="FI249">
        <v>6.8292684853076935E-2</v>
      </c>
      <c r="FJ249">
        <v>8.9024387300014496E-2</v>
      </c>
      <c r="FK249">
        <v>7.8048780560493469E-2</v>
      </c>
      <c r="FL249">
        <v>6.4634144306182861E-2</v>
      </c>
      <c r="FM249">
        <v>6.0975611209869385E-2</v>
      </c>
      <c r="FN249">
        <v>8.0487802624702454E-2</v>
      </c>
      <c r="FO249">
        <v>6.7073173820972443E-2</v>
      </c>
      <c r="FP249">
        <v>0.10609756410121918</v>
      </c>
      <c r="FQ249">
        <v>9.2682927846908569E-2</v>
      </c>
      <c r="FR249">
        <v>6.7073173820972443E-2</v>
      </c>
      <c r="FS249">
        <v>7.1951217949390411E-2</v>
      </c>
      <c r="FT249">
        <v>6.3414633274078369E-2</v>
      </c>
      <c r="FU249">
        <v>6.8292684853076935E-2</v>
      </c>
      <c r="FV249">
        <v>9.0243905782699585E-2</v>
      </c>
      <c r="FW249">
        <v>7.0731706917285919E-2</v>
      </c>
      <c r="FX249">
        <v>5.8536585420370102E-2</v>
      </c>
      <c r="FY249">
        <v>0.12439024448394775</v>
      </c>
      <c r="FZ249">
        <v>8.2926832139492035E-2</v>
      </c>
      <c r="GA249">
        <v>7.3170728981494904E-2</v>
      </c>
      <c r="GB249">
        <v>5.9756096452474594E-2</v>
      </c>
      <c r="GC249">
        <v>6.8292684853076935E-2</v>
      </c>
      <c r="GD249">
        <v>9.8780490458011627E-2</v>
      </c>
      <c r="GE249">
        <v>5.9756096452474594E-2</v>
      </c>
      <c r="GF249">
        <v>7.3170728981494904E-2</v>
      </c>
      <c r="GG249">
        <v>5.000000074505806E-2</v>
      </c>
      <c r="GH249">
        <v>0.10609756410121918</v>
      </c>
      <c r="GI249">
        <v>6.0975611209869385E-2</v>
      </c>
      <c r="GJ249">
        <v>9.7560971975326538E-2</v>
      </c>
      <c r="GK249">
        <v>6.8292684853076935E-2</v>
      </c>
      <c r="GL249">
        <v>7.9268291592597961E-2</v>
      </c>
      <c r="GM249">
        <v>8.4146343171596527E-2</v>
      </c>
      <c r="GN249">
        <v>5.6097559630870819E-2</v>
      </c>
      <c r="GO249">
        <v>6.4634144306182861E-2</v>
      </c>
      <c r="GP249">
        <v>5.731707438826561E-2</v>
      </c>
      <c r="GQ249">
        <v>7.9268291592597961E-2</v>
      </c>
      <c r="GR249">
        <v>6.7073173820972443E-2</v>
      </c>
      <c r="GS249">
        <v>5.8536585420370102E-2</v>
      </c>
      <c r="GT249">
        <v>0.11341463774442673</v>
      </c>
      <c r="GU249">
        <v>9.1463416814804077E-2</v>
      </c>
      <c r="GV249">
        <v>0.12195122241973877</v>
      </c>
      <c r="GW249">
        <v>0.11463414877653122</v>
      </c>
      <c r="GX249">
        <v>6.4634144306182861E-2</v>
      </c>
      <c r="GY249">
        <v>5.9756096452474594E-2</v>
      </c>
      <c r="GZ249">
        <v>6.9512195885181427E-2</v>
      </c>
      <c r="HA249">
        <v>7.6829269528388977E-2</v>
      </c>
      <c r="HB249">
        <v>7.8048780560493469E-2</v>
      </c>
      <c r="HC249">
        <v>5.2439022809267044E-2</v>
      </c>
      <c r="HD249">
        <v>6.3414633274078369E-2</v>
      </c>
      <c r="HE249">
        <v>0.10731707513332367</v>
      </c>
      <c r="HF249">
        <v>7.8048780560493469E-2</v>
      </c>
      <c r="HG249">
        <v>6.4634144306182861E-2</v>
      </c>
      <c r="HH249">
        <v>7.3170728981494904E-2</v>
      </c>
      <c r="HI249">
        <v>9.2682927846908569E-2</v>
      </c>
      <c r="HJ249">
        <v>8.5365854203701019E-2</v>
      </c>
      <c r="HK249">
        <v>6.2195122241973877E-2</v>
      </c>
      <c r="HL249">
        <v>7.0731706917285919E-2</v>
      </c>
      <c r="HM249">
        <v>7.8048780560493469E-2</v>
      </c>
      <c r="HN249">
        <v>6.9512195885181427E-2</v>
      </c>
      <c r="HO249">
        <v>8.4146343171596527E-2</v>
      </c>
      <c r="HP249">
        <v>7.6829269528388977E-2</v>
      </c>
      <c r="HQ249">
        <v>5.9756096452474594E-2</v>
      </c>
      <c r="HR249">
        <v>6.8292684853076935E-2</v>
      </c>
      <c r="HS249">
        <v>6.5853655338287354E-2</v>
      </c>
      <c r="HT249">
        <v>9.7560971975326538E-2</v>
      </c>
      <c r="HU249">
        <v>6.4634144306182861E-2</v>
      </c>
      <c r="HV249">
        <v>9.5121949911117554E-2</v>
      </c>
      <c r="HW249">
        <v>8.7804876267910004E-2</v>
      </c>
      <c r="HX249">
        <v>6.5853655338287354E-2</v>
      </c>
      <c r="HY249">
        <v>6.9512195885181427E-2</v>
      </c>
      <c r="HZ249">
        <v>8.5365854203701019E-2</v>
      </c>
      <c r="IA249">
        <v>5.6097559630870819E-2</v>
      </c>
      <c r="IB249">
        <v>0.10609756410121918</v>
      </c>
      <c r="IC249">
        <v>6.5853655338287354E-2</v>
      </c>
    </row>
    <row r="250" spans="4:244" x14ac:dyDescent="0.25">
      <c r="D250" s="41" t="str" cm="1">
        <f t="array" ref="D250">IF(H250="","",IF(AND(E250&lt;AVERAGE(E249,E251)*($L$19/100),$D$23:D249=""),H250,""))</f>
        <v/>
      </c>
      <c r="E250" s="78">
        <f t="shared" si="4"/>
        <v>1.7276244396441792E-3</v>
      </c>
      <c r="F250" s="79"/>
      <c r="H250">
        <v>228</v>
      </c>
      <c r="I250">
        <v>7.5777624439644184E-2</v>
      </c>
      <c r="K250">
        <v>7.8048780560493469E-2</v>
      </c>
      <c r="L250">
        <v>6.2195122241973877E-2</v>
      </c>
      <c r="M250">
        <v>7.8048780560493469E-2</v>
      </c>
      <c r="N250">
        <v>5.4878048598766327E-2</v>
      </c>
      <c r="O250">
        <v>6.7073173820972443E-2</v>
      </c>
      <c r="P250">
        <v>9.7560971975326538E-2</v>
      </c>
      <c r="Q250">
        <v>7.4390247464179993E-2</v>
      </c>
      <c r="R250">
        <v>5.2439022809267044E-2</v>
      </c>
      <c r="S250">
        <v>0.1024390235543251</v>
      </c>
      <c r="T250">
        <v>7.6829269528388977E-2</v>
      </c>
      <c r="U250">
        <v>7.9268291592597961E-2</v>
      </c>
      <c r="V250">
        <v>8.0487802624702454E-2</v>
      </c>
      <c r="W250">
        <v>7.9268291592597961E-2</v>
      </c>
      <c r="X250">
        <v>9.5121949911117554E-2</v>
      </c>
      <c r="Y250">
        <v>7.9268291592597961E-2</v>
      </c>
      <c r="Z250">
        <v>6.3414633274078369E-2</v>
      </c>
      <c r="AA250">
        <v>7.6829269528388977E-2</v>
      </c>
      <c r="AB250">
        <v>5.731707438826561E-2</v>
      </c>
      <c r="AC250">
        <v>5.8536585420370102E-2</v>
      </c>
      <c r="AD250">
        <v>7.4390247464179993E-2</v>
      </c>
      <c r="AE250">
        <v>0.1024390235543251</v>
      </c>
      <c r="AF250">
        <v>8.7804876267910004E-2</v>
      </c>
      <c r="AG250">
        <v>8.7804876267910004E-2</v>
      </c>
      <c r="AH250">
        <v>8.1707313656806946E-2</v>
      </c>
      <c r="AI250">
        <v>0.1024390235543251</v>
      </c>
      <c r="AJ250">
        <v>5.8536585420370102E-2</v>
      </c>
      <c r="AK250">
        <v>5.3658537566661835E-2</v>
      </c>
      <c r="AL250">
        <v>9.8780490458011627E-2</v>
      </c>
      <c r="AM250">
        <v>6.8292684853076935E-2</v>
      </c>
      <c r="AN250">
        <v>7.0731706917285919E-2</v>
      </c>
      <c r="AO250">
        <v>7.8048780560493469E-2</v>
      </c>
      <c r="AP250">
        <v>7.3170728981494904E-2</v>
      </c>
      <c r="AQ250">
        <v>6.4634144306182861E-2</v>
      </c>
      <c r="AR250">
        <v>7.1951217949390411E-2</v>
      </c>
      <c r="AS250">
        <v>7.4390247464179993E-2</v>
      </c>
      <c r="AT250">
        <v>6.3414633274078369E-2</v>
      </c>
      <c r="AU250">
        <v>9.3902438879013062E-2</v>
      </c>
      <c r="AV250">
        <v>8.0487802624702454E-2</v>
      </c>
      <c r="AW250">
        <v>0.10121951252222061</v>
      </c>
      <c r="AX250">
        <v>9.3902438879013062E-2</v>
      </c>
      <c r="AY250">
        <v>6.8292684853076935E-2</v>
      </c>
      <c r="AZ250">
        <v>7.9268291592597961E-2</v>
      </c>
      <c r="BA250">
        <v>7.9268291592597961E-2</v>
      </c>
      <c r="BB250">
        <v>7.1951217949390411E-2</v>
      </c>
      <c r="BC250">
        <v>7.1951217949390411E-2</v>
      </c>
      <c r="BD250">
        <v>8.1707313656806946E-2</v>
      </c>
      <c r="BE250">
        <v>7.1951217949390411E-2</v>
      </c>
      <c r="BF250">
        <v>6.2195122241973877E-2</v>
      </c>
      <c r="BG250">
        <v>6.0975611209869385E-2</v>
      </c>
      <c r="BH250">
        <v>8.4146343171596527E-2</v>
      </c>
      <c r="BI250">
        <v>5.6097559630870819E-2</v>
      </c>
      <c r="BJ250">
        <v>8.0487802624702454E-2</v>
      </c>
      <c r="BK250">
        <v>8.0487802624702454E-2</v>
      </c>
      <c r="BL250">
        <v>5.1219511777162552E-2</v>
      </c>
      <c r="BM250">
        <v>6.8292684853076935E-2</v>
      </c>
      <c r="BN250">
        <v>7.5609758496284485E-2</v>
      </c>
      <c r="BO250">
        <v>6.0975611209869385E-2</v>
      </c>
      <c r="BP250">
        <v>8.5365854203701019E-2</v>
      </c>
      <c r="BQ250">
        <v>8.6585365235805511E-2</v>
      </c>
      <c r="BR250">
        <v>8.7804876267910004E-2</v>
      </c>
      <c r="BS250">
        <v>6.9512195885181427E-2</v>
      </c>
      <c r="BT250">
        <v>0.10121951252222061</v>
      </c>
      <c r="BU250">
        <v>6.5853655338287354E-2</v>
      </c>
      <c r="BV250">
        <v>8.6585365235805511E-2</v>
      </c>
      <c r="BW250">
        <v>6.0975611209869385E-2</v>
      </c>
      <c r="BX250">
        <v>8.0487802624702454E-2</v>
      </c>
      <c r="BY250">
        <v>5.6097559630870819E-2</v>
      </c>
      <c r="BZ250">
        <v>7.3170728981494904E-2</v>
      </c>
      <c r="CA250">
        <v>9.8780490458011627E-2</v>
      </c>
      <c r="CB250">
        <v>6.9512195885181427E-2</v>
      </c>
      <c r="CC250">
        <v>8.0487802624702454E-2</v>
      </c>
      <c r="CD250">
        <v>5.9756096452474594E-2</v>
      </c>
      <c r="CE250">
        <v>7.3170728981494904E-2</v>
      </c>
      <c r="CF250">
        <v>6.7073173820972443E-2</v>
      </c>
      <c r="CG250">
        <v>5.6097559630870819E-2</v>
      </c>
      <c r="CH250">
        <v>0.10121951252222061</v>
      </c>
      <c r="CI250">
        <v>8.2926832139492035E-2</v>
      </c>
      <c r="CJ250">
        <v>7.4390247464179993E-2</v>
      </c>
      <c r="CK250">
        <v>7.1951217949390411E-2</v>
      </c>
      <c r="CL250">
        <v>8.0487802624702454E-2</v>
      </c>
      <c r="CM250">
        <v>8.0487802624702454E-2</v>
      </c>
      <c r="CN250">
        <v>6.7073173820972443E-2</v>
      </c>
      <c r="CO250">
        <v>6.4634144306182861E-2</v>
      </c>
      <c r="CP250">
        <v>7.1951217949390411E-2</v>
      </c>
      <c r="CQ250">
        <v>7.8048780560493469E-2</v>
      </c>
      <c r="CR250">
        <v>7.9268291592597961E-2</v>
      </c>
      <c r="CS250">
        <v>7.3170728981494904E-2</v>
      </c>
      <c r="CT250">
        <v>6.5853655338287354E-2</v>
      </c>
      <c r="CU250">
        <v>6.5853655338287354E-2</v>
      </c>
      <c r="CV250">
        <v>6.0975611209869385E-2</v>
      </c>
      <c r="CW250">
        <v>8.6585365235805511E-2</v>
      </c>
      <c r="CX250">
        <v>7.9268291592597961E-2</v>
      </c>
      <c r="CY250">
        <v>0.11219511926174164</v>
      </c>
      <c r="CZ250">
        <v>5.6097559630870819E-2</v>
      </c>
      <c r="DA250">
        <v>7.3170728981494904E-2</v>
      </c>
      <c r="DB250">
        <v>7.3170728981494904E-2</v>
      </c>
      <c r="DC250">
        <v>8.1707313656806946E-2</v>
      </c>
      <c r="DD250">
        <v>5.731707438826561E-2</v>
      </c>
      <c r="DE250">
        <v>8.1707313656806946E-2</v>
      </c>
      <c r="DF250">
        <v>9.3902438879013062E-2</v>
      </c>
      <c r="DG250">
        <v>7.6829269528388977E-2</v>
      </c>
      <c r="DH250">
        <v>7.8048780560493469E-2</v>
      </c>
      <c r="DI250">
        <v>6.8292684853076935E-2</v>
      </c>
      <c r="DJ250">
        <v>7.3170728981494904E-2</v>
      </c>
      <c r="DK250">
        <v>6.0975611209869385E-2</v>
      </c>
      <c r="DL250">
        <v>8.5365854203701019E-2</v>
      </c>
      <c r="DM250">
        <v>5.9756096452474594E-2</v>
      </c>
      <c r="DN250">
        <v>6.2195122241973877E-2</v>
      </c>
      <c r="DO250">
        <v>8.1707313656806946E-2</v>
      </c>
      <c r="DP250">
        <v>7.3170728981494904E-2</v>
      </c>
      <c r="DQ250">
        <v>7.5609758496284485E-2</v>
      </c>
      <c r="DR250">
        <v>5.8536585420370102E-2</v>
      </c>
      <c r="DS250">
        <v>7.5609758496284485E-2</v>
      </c>
      <c r="DT250">
        <v>9.0243905782699585E-2</v>
      </c>
      <c r="DU250">
        <v>7.0731706917285919E-2</v>
      </c>
      <c r="DV250">
        <v>6.0975611209869385E-2</v>
      </c>
      <c r="DW250">
        <v>7.1951217949390411E-2</v>
      </c>
      <c r="DX250">
        <v>0.1182926818728447</v>
      </c>
      <c r="DY250">
        <v>5.9756096452474594E-2</v>
      </c>
      <c r="DZ250">
        <v>8.4146343171596527E-2</v>
      </c>
      <c r="EA250">
        <v>6.0975611209869385E-2</v>
      </c>
      <c r="EB250">
        <v>7.5609758496284485E-2</v>
      </c>
      <c r="EC250">
        <v>7.6829269528388977E-2</v>
      </c>
      <c r="ED250">
        <v>5.6097559630870819E-2</v>
      </c>
      <c r="EE250">
        <v>5.000000074505806E-2</v>
      </c>
      <c r="EF250">
        <v>0.1036585345864296</v>
      </c>
      <c r="EG250">
        <v>8.5365854203701019E-2</v>
      </c>
      <c r="EH250">
        <v>5.9756096452474594E-2</v>
      </c>
      <c r="EI250">
        <v>9.5121949911117554E-2</v>
      </c>
      <c r="EJ250">
        <v>8.6585365235805511E-2</v>
      </c>
      <c r="EK250">
        <v>7.3170728981494904E-2</v>
      </c>
      <c r="EL250">
        <v>6.8292684853076935E-2</v>
      </c>
      <c r="EM250">
        <v>8.0487802624702454E-2</v>
      </c>
      <c r="EN250">
        <v>7.1951217949390411E-2</v>
      </c>
      <c r="EO250">
        <v>8.7804876267910004E-2</v>
      </c>
      <c r="EP250">
        <v>8.5365854203701019E-2</v>
      </c>
      <c r="EQ250">
        <v>6.5853655338287354E-2</v>
      </c>
      <c r="ER250">
        <v>8.6585365235805511E-2</v>
      </c>
      <c r="ES250">
        <v>8.0487802624702454E-2</v>
      </c>
      <c r="ET250">
        <v>8.9024387300014496E-2</v>
      </c>
      <c r="EU250">
        <v>6.7073173820972443E-2</v>
      </c>
      <c r="EV250">
        <v>6.4634144306182861E-2</v>
      </c>
      <c r="EW250">
        <v>6.3414633274078369E-2</v>
      </c>
      <c r="EX250">
        <v>6.9512195885181427E-2</v>
      </c>
      <c r="EY250">
        <v>6.0975611209869385E-2</v>
      </c>
      <c r="EZ250">
        <v>5.8536585420370102E-2</v>
      </c>
      <c r="FA250">
        <v>7.8048780560493469E-2</v>
      </c>
      <c r="FB250">
        <v>5.8536585420370102E-2</v>
      </c>
      <c r="FC250">
        <v>7.9268291592597961E-2</v>
      </c>
      <c r="FD250">
        <v>7.5609758496284485E-2</v>
      </c>
      <c r="FE250">
        <v>6.9512195885181427E-2</v>
      </c>
      <c r="FF250">
        <v>7.5609758496284485E-2</v>
      </c>
      <c r="FG250">
        <v>0.14146341383457184</v>
      </c>
      <c r="FH250">
        <v>7.9268291592597961E-2</v>
      </c>
      <c r="FI250">
        <v>6.8292684853076935E-2</v>
      </c>
      <c r="FJ250">
        <v>8.5365854203701019E-2</v>
      </c>
      <c r="FK250">
        <v>5.9756096452474594E-2</v>
      </c>
      <c r="FL250">
        <v>4.7560974955558777E-2</v>
      </c>
      <c r="FM250">
        <v>6.3414633274078369E-2</v>
      </c>
      <c r="FN250">
        <v>7.1951217949390411E-2</v>
      </c>
      <c r="FO250">
        <v>8.2926832139492035E-2</v>
      </c>
      <c r="FP250">
        <v>8.0487802624702454E-2</v>
      </c>
      <c r="FQ250">
        <v>7.8048780560493469E-2</v>
      </c>
      <c r="FR250">
        <v>9.1463416814804077E-2</v>
      </c>
      <c r="FS250">
        <v>8.4146343171596527E-2</v>
      </c>
      <c r="FT250">
        <v>5.4878048598766327E-2</v>
      </c>
      <c r="FU250">
        <v>7.4390247464179993E-2</v>
      </c>
      <c r="FV250">
        <v>5.8536585420370102E-2</v>
      </c>
      <c r="FW250">
        <v>6.3414633274078369E-2</v>
      </c>
      <c r="FX250">
        <v>7.8048780560493469E-2</v>
      </c>
      <c r="FY250">
        <v>9.5121949911117554E-2</v>
      </c>
      <c r="FZ250">
        <v>8.7804876267910004E-2</v>
      </c>
      <c r="GA250">
        <v>8.4146343171596527E-2</v>
      </c>
      <c r="GB250">
        <v>5.2439022809267044E-2</v>
      </c>
      <c r="GC250">
        <v>9.0243905782699585E-2</v>
      </c>
      <c r="GD250">
        <v>6.4634144306182861E-2</v>
      </c>
      <c r="GE250">
        <v>9.1463416814804077E-2</v>
      </c>
      <c r="GF250">
        <v>7.3170728981494904E-2</v>
      </c>
      <c r="GG250">
        <v>6.7073173820972443E-2</v>
      </c>
      <c r="GH250">
        <v>8.2926832139492035E-2</v>
      </c>
      <c r="GI250">
        <v>5.000000074505806E-2</v>
      </c>
      <c r="GJ250">
        <v>9.1463416814804077E-2</v>
      </c>
      <c r="GK250">
        <v>0.11585365980863571</v>
      </c>
      <c r="GL250">
        <v>5.000000074505806E-2</v>
      </c>
      <c r="GM250">
        <v>0.10121951252222061</v>
      </c>
      <c r="GN250">
        <v>7.0731706917285919E-2</v>
      </c>
      <c r="GO250">
        <v>7.1951217949390411E-2</v>
      </c>
      <c r="GP250">
        <v>8.5365854203701019E-2</v>
      </c>
      <c r="GQ250">
        <v>7.6829269528388977E-2</v>
      </c>
      <c r="GR250">
        <v>5.9756096452474594E-2</v>
      </c>
      <c r="GS250">
        <v>7.3076926171779633E-2</v>
      </c>
      <c r="GT250">
        <v>7.9487182199954987E-2</v>
      </c>
      <c r="GU250">
        <v>6.923077255487442E-2</v>
      </c>
      <c r="GV250">
        <v>7.6923079788684845E-2</v>
      </c>
      <c r="GW250">
        <v>8.461538702249527E-2</v>
      </c>
      <c r="GX250">
        <v>7.6923079788684845E-2</v>
      </c>
      <c r="GY250">
        <v>8.461538702249527E-2</v>
      </c>
      <c r="GZ250">
        <v>8.3333335816860199E-2</v>
      </c>
      <c r="HA250">
        <v>6.2820516526699066E-2</v>
      </c>
      <c r="HB250">
        <v>6.4102567732334137E-2</v>
      </c>
      <c r="HC250">
        <v>7.5641028583049774E-2</v>
      </c>
      <c r="HD250">
        <v>6.6666670143604279E-2</v>
      </c>
      <c r="HE250">
        <v>7.9487182199954987E-2</v>
      </c>
      <c r="HF250">
        <v>0.11666666716337204</v>
      </c>
      <c r="HG250">
        <v>7.3076926171779633E-2</v>
      </c>
      <c r="HH250">
        <v>8.2051284611225128E-2</v>
      </c>
      <c r="HI250">
        <v>6.5384618937969208E-2</v>
      </c>
      <c r="HJ250">
        <v>6.4102567732334137E-2</v>
      </c>
      <c r="HK250">
        <v>8.9743591845035553E-2</v>
      </c>
      <c r="HL250">
        <v>7.9487182199954987E-2</v>
      </c>
      <c r="HM250">
        <v>7.5641028583049774E-2</v>
      </c>
      <c r="HN250">
        <v>7.1794874966144562E-2</v>
      </c>
      <c r="HO250">
        <v>7.9487182199954987E-2</v>
      </c>
      <c r="HP250">
        <v>7.9487182199954987E-2</v>
      </c>
      <c r="HQ250">
        <v>7.6923079788684845E-2</v>
      </c>
      <c r="HR250">
        <v>7.3076926171779633E-2</v>
      </c>
      <c r="HS250">
        <v>8.2051284611225128E-2</v>
      </c>
      <c r="HT250">
        <v>8.9743591845035553E-2</v>
      </c>
      <c r="HU250">
        <v>8.0769233405590057E-2</v>
      </c>
      <c r="HV250">
        <v>9.4871796667575836E-2</v>
      </c>
      <c r="HW250">
        <v>6.2820516526699066E-2</v>
      </c>
      <c r="HX250">
        <v>7.0512823760509491E-2</v>
      </c>
      <c r="HY250">
        <v>8.0769233405590057E-2</v>
      </c>
      <c r="HZ250">
        <v>6.7948721349239349E-2</v>
      </c>
      <c r="IA250">
        <v>6.4102567732334137E-2</v>
      </c>
      <c r="IB250">
        <v>6.1538461595773697E-2</v>
      </c>
      <c r="IC250">
        <v>9.1025643050670624E-2</v>
      </c>
      <c r="ID250">
        <v>8.461538702249527E-2</v>
      </c>
    </row>
    <row r="251" spans="4:244" x14ac:dyDescent="0.25">
      <c r="D251" s="41" t="str" cm="1">
        <f t="array" ref="D251">IF(H251="","",IF(AND(E251&lt;AVERAGE(E250,E252)*($L$19/100),$D$23:D250=""),H251,""))</f>
        <v/>
      </c>
      <c r="E251" s="78">
        <f t="shared" si="4"/>
        <v>1.787656009665739E-3</v>
      </c>
      <c r="F251" s="79"/>
      <c r="H251">
        <v>229</v>
      </c>
      <c r="I251">
        <v>7.5837656009665744E-2</v>
      </c>
      <c r="K251">
        <v>7.4390247464179993E-2</v>
      </c>
      <c r="L251">
        <v>0.1170731708407402</v>
      </c>
      <c r="M251">
        <v>7.3170728981494904E-2</v>
      </c>
      <c r="N251">
        <v>5.8536585420370102E-2</v>
      </c>
      <c r="O251">
        <v>0.10487804561853409</v>
      </c>
      <c r="P251">
        <v>6.8292684853076935E-2</v>
      </c>
      <c r="Q251">
        <v>6.4634144306182861E-2</v>
      </c>
      <c r="R251">
        <v>9.8780490458011627E-2</v>
      </c>
      <c r="S251">
        <v>0.1024390235543251</v>
      </c>
      <c r="T251">
        <v>7.9268291592597961E-2</v>
      </c>
      <c r="U251">
        <v>7.3170728981494904E-2</v>
      </c>
      <c r="V251">
        <v>7.0731706917285919E-2</v>
      </c>
      <c r="W251">
        <v>6.0975611209869385E-2</v>
      </c>
      <c r="X251">
        <v>6.4634144306182861E-2</v>
      </c>
      <c r="Y251">
        <v>0.10853658616542816</v>
      </c>
      <c r="Z251">
        <v>5.6097559630870819E-2</v>
      </c>
      <c r="AA251">
        <v>8.5365854203701019E-2</v>
      </c>
      <c r="AB251">
        <v>8.9024387300014496E-2</v>
      </c>
      <c r="AC251">
        <v>6.5853655338287354E-2</v>
      </c>
      <c r="AD251">
        <v>8.0487802624702454E-2</v>
      </c>
      <c r="AE251">
        <v>5.8536585420370102E-2</v>
      </c>
      <c r="AF251">
        <v>9.2682927846908569E-2</v>
      </c>
      <c r="AG251">
        <v>0.10731707513332367</v>
      </c>
      <c r="AH251">
        <v>0.10000000149011612</v>
      </c>
      <c r="AI251">
        <v>7.1951217949390411E-2</v>
      </c>
      <c r="AJ251">
        <v>9.5121949911117554E-2</v>
      </c>
      <c r="AK251">
        <v>7.6829269528388977E-2</v>
      </c>
      <c r="AL251">
        <v>8.6585365235805511E-2</v>
      </c>
      <c r="AM251">
        <v>9.7560971975326538E-2</v>
      </c>
      <c r="AN251">
        <v>6.5853655338287354E-2</v>
      </c>
      <c r="AO251">
        <v>6.7073173820972443E-2</v>
      </c>
      <c r="AP251">
        <v>7.1951217949390411E-2</v>
      </c>
      <c r="AQ251">
        <v>7.6829269528388977E-2</v>
      </c>
      <c r="AR251">
        <v>7.1951217949390411E-2</v>
      </c>
      <c r="AS251">
        <v>0.11463414877653122</v>
      </c>
      <c r="AT251">
        <v>6.2195122241973877E-2</v>
      </c>
      <c r="AU251">
        <v>6.4634144306182861E-2</v>
      </c>
      <c r="AV251">
        <v>9.1463416814804077E-2</v>
      </c>
      <c r="AW251">
        <v>9.2682927846908569E-2</v>
      </c>
      <c r="AX251">
        <v>7.8048780560493469E-2</v>
      </c>
      <c r="AY251">
        <v>7.1951217949390411E-2</v>
      </c>
      <c r="AZ251">
        <v>7.8048780560493469E-2</v>
      </c>
      <c r="BA251">
        <v>8.1707313656806946E-2</v>
      </c>
      <c r="BB251">
        <v>4.7560974955558777E-2</v>
      </c>
      <c r="BC251">
        <v>7.1951217949390411E-2</v>
      </c>
      <c r="BD251">
        <v>7.9268291592597961E-2</v>
      </c>
      <c r="BE251">
        <v>8.2926832139492035E-2</v>
      </c>
      <c r="BF251">
        <v>7.6829269528388977E-2</v>
      </c>
      <c r="BG251">
        <v>6.9512195885181427E-2</v>
      </c>
      <c r="BH251">
        <v>6.8292684853076935E-2</v>
      </c>
      <c r="BI251">
        <v>7.9268291592597961E-2</v>
      </c>
      <c r="BJ251">
        <v>5.8536585420370102E-2</v>
      </c>
      <c r="BK251">
        <v>6.2195122241973877E-2</v>
      </c>
      <c r="BL251">
        <v>0.10853658616542816</v>
      </c>
      <c r="BM251">
        <v>6.3414633274078369E-2</v>
      </c>
      <c r="BN251">
        <v>5.9756096452474594E-2</v>
      </c>
      <c r="BO251">
        <v>9.2682927846908569E-2</v>
      </c>
      <c r="BP251">
        <v>8.2926832139492035E-2</v>
      </c>
      <c r="BQ251">
        <v>7.8048780560493469E-2</v>
      </c>
      <c r="BR251">
        <v>5.9756096452474594E-2</v>
      </c>
      <c r="BS251">
        <v>0.10731707513332367</v>
      </c>
      <c r="BT251">
        <v>7.5609758496284485E-2</v>
      </c>
      <c r="BU251">
        <v>6.0975611209869385E-2</v>
      </c>
      <c r="BV251">
        <v>6.4634144306182861E-2</v>
      </c>
      <c r="BW251">
        <v>8.1707313656806946E-2</v>
      </c>
      <c r="BX251">
        <v>8.4146343171596527E-2</v>
      </c>
      <c r="BY251">
        <v>8.2926832139492035E-2</v>
      </c>
      <c r="BZ251">
        <v>9.6341460943222046E-2</v>
      </c>
      <c r="CA251">
        <v>7.3170728981494904E-2</v>
      </c>
      <c r="CB251">
        <v>8.5365854203701019E-2</v>
      </c>
      <c r="CC251">
        <v>6.3414633274078369E-2</v>
      </c>
      <c r="CD251">
        <v>7.4390247464179993E-2</v>
      </c>
      <c r="CE251">
        <v>7.8048780560493469E-2</v>
      </c>
      <c r="CF251">
        <v>8.1707313656806946E-2</v>
      </c>
      <c r="CG251">
        <v>5.2439022809267044E-2</v>
      </c>
      <c r="CH251">
        <v>6.5853655338287354E-2</v>
      </c>
      <c r="CI251">
        <v>8.0487802624702454E-2</v>
      </c>
      <c r="CJ251">
        <v>8.9024387300014496E-2</v>
      </c>
      <c r="CK251">
        <v>7.5609758496284485E-2</v>
      </c>
      <c r="CL251">
        <v>9.2682927846908569E-2</v>
      </c>
      <c r="CM251">
        <v>5.4878048598766327E-2</v>
      </c>
      <c r="CN251">
        <v>7.5609758496284485E-2</v>
      </c>
      <c r="CO251">
        <v>6.7073173820972443E-2</v>
      </c>
      <c r="CP251">
        <v>6.0975611209869385E-2</v>
      </c>
      <c r="CQ251">
        <v>9.0243905782699585E-2</v>
      </c>
      <c r="CR251">
        <v>6.5853655338287354E-2</v>
      </c>
      <c r="CS251">
        <v>6.7073173820972443E-2</v>
      </c>
      <c r="CT251">
        <v>7.6829269528388977E-2</v>
      </c>
      <c r="CU251">
        <v>7.4390247464179993E-2</v>
      </c>
      <c r="CV251">
        <v>7.8048780560493469E-2</v>
      </c>
      <c r="CW251">
        <v>8.0487802624702454E-2</v>
      </c>
      <c r="CX251">
        <v>6.8292684853076935E-2</v>
      </c>
      <c r="CY251">
        <v>7.4390247464179993E-2</v>
      </c>
      <c r="CZ251">
        <v>0.10853658616542816</v>
      </c>
      <c r="DA251">
        <v>6.5853655338287354E-2</v>
      </c>
      <c r="DB251">
        <v>6.8292684853076935E-2</v>
      </c>
      <c r="DC251">
        <v>7.1951217949390411E-2</v>
      </c>
      <c r="DD251">
        <v>8.2926832139492035E-2</v>
      </c>
      <c r="DE251">
        <v>7.1951217949390411E-2</v>
      </c>
      <c r="DF251">
        <v>5.6097559630870819E-2</v>
      </c>
      <c r="DG251">
        <v>9.8780490458011627E-2</v>
      </c>
      <c r="DH251">
        <v>8.9024387300014496E-2</v>
      </c>
      <c r="DI251">
        <v>5.3658537566661835E-2</v>
      </c>
      <c r="DJ251">
        <v>5.9756096452474594E-2</v>
      </c>
      <c r="DK251">
        <v>6.4634144306182861E-2</v>
      </c>
      <c r="DL251">
        <v>5.9756096452474594E-2</v>
      </c>
      <c r="DM251">
        <v>9.8780490458011627E-2</v>
      </c>
      <c r="DN251">
        <v>7.9268291592597961E-2</v>
      </c>
      <c r="DO251">
        <v>5.731707438826561E-2</v>
      </c>
      <c r="DP251">
        <v>6.8292684853076935E-2</v>
      </c>
      <c r="DQ251">
        <v>8.2926832139492035E-2</v>
      </c>
      <c r="DR251">
        <v>7.8048780560493469E-2</v>
      </c>
      <c r="DS251">
        <v>6.3414633274078369E-2</v>
      </c>
      <c r="DT251">
        <v>7.3170728981494904E-2</v>
      </c>
      <c r="DU251">
        <v>8.6585365235805511E-2</v>
      </c>
      <c r="DV251">
        <v>9.0243905782699585E-2</v>
      </c>
      <c r="DW251">
        <v>6.8292684853076935E-2</v>
      </c>
      <c r="DX251">
        <v>5.731707438826561E-2</v>
      </c>
      <c r="DY251">
        <v>6.9512195885181427E-2</v>
      </c>
      <c r="DZ251">
        <v>6.9512195885181427E-2</v>
      </c>
      <c r="EA251">
        <v>6.8292684853076935E-2</v>
      </c>
      <c r="EB251">
        <v>0.1036585345864296</v>
      </c>
      <c r="EC251">
        <v>7.4390247464179993E-2</v>
      </c>
      <c r="ED251">
        <v>5.8536585420370102E-2</v>
      </c>
      <c r="EE251">
        <v>7.6829269528388977E-2</v>
      </c>
      <c r="EF251">
        <v>9.7560971975326538E-2</v>
      </c>
      <c r="EG251">
        <v>5.8536585420370102E-2</v>
      </c>
      <c r="EH251">
        <v>9.5121949911117554E-2</v>
      </c>
      <c r="EI251">
        <v>7.6829269528388977E-2</v>
      </c>
      <c r="EJ251">
        <v>5.731707438826561E-2</v>
      </c>
      <c r="EK251">
        <v>8.0487802624702454E-2</v>
      </c>
      <c r="EL251">
        <v>6.7073173820972443E-2</v>
      </c>
      <c r="EM251">
        <v>5.6097559630870819E-2</v>
      </c>
      <c r="EN251">
        <v>5.6097559630870819E-2</v>
      </c>
      <c r="EO251">
        <v>7.1951217949390411E-2</v>
      </c>
      <c r="EP251">
        <v>6.0975611209869385E-2</v>
      </c>
      <c r="EQ251">
        <v>9.1463416814804077E-2</v>
      </c>
      <c r="ER251">
        <v>5.3658537566661835E-2</v>
      </c>
      <c r="ES251">
        <v>6.4634144306182861E-2</v>
      </c>
      <c r="ET251">
        <v>7.5609758496284485E-2</v>
      </c>
      <c r="EU251">
        <v>8.5365854203701019E-2</v>
      </c>
      <c r="EV251">
        <v>8.0487802624702454E-2</v>
      </c>
      <c r="EW251">
        <v>7.8048780560493469E-2</v>
      </c>
      <c r="EX251">
        <v>0.11097560822963715</v>
      </c>
      <c r="EY251">
        <v>5.2439022809267044E-2</v>
      </c>
      <c r="EZ251">
        <v>8.5365854203701019E-2</v>
      </c>
      <c r="FA251">
        <v>7.4390247464179993E-2</v>
      </c>
      <c r="FB251">
        <v>8.6585365235805511E-2</v>
      </c>
      <c r="FC251">
        <v>5.8536585420370102E-2</v>
      </c>
      <c r="FD251">
        <v>5.731707438826561E-2</v>
      </c>
      <c r="FE251">
        <v>6.7948721349239349E-2</v>
      </c>
      <c r="FF251">
        <v>5.128205195069313E-2</v>
      </c>
      <c r="FG251">
        <v>0.11923076957464218</v>
      </c>
      <c r="FH251">
        <v>8.9743591845035553E-2</v>
      </c>
      <c r="FI251">
        <v>7.1794874966144562E-2</v>
      </c>
      <c r="FJ251">
        <v>8.0769233405590057E-2</v>
      </c>
      <c r="FK251">
        <v>6.923077255487442E-2</v>
      </c>
      <c r="FL251">
        <v>5.8974359184503555E-2</v>
      </c>
      <c r="FM251">
        <v>5.2564103156328201E-2</v>
      </c>
      <c r="FN251">
        <v>0.10000000149011612</v>
      </c>
      <c r="FO251">
        <v>5.3846154361963272E-2</v>
      </c>
      <c r="FP251">
        <v>7.4358977377414703E-2</v>
      </c>
      <c r="FQ251">
        <v>4.7435898333787918E-2</v>
      </c>
      <c r="FR251">
        <v>9.8717950284481049E-2</v>
      </c>
      <c r="FS251">
        <v>7.8205130994319916E-2</v>
      </c>
      <c r="FT251">
        <v>5.3846154361963272E-2</v>
      </c>
      <c r="FU251">
        <v>7.5641028583049774E-2</v>
      </c>
      <c r="FV251">
        <v>7.6923079788684845E-2</v>
      </c>
      <c r="FW251">
        <v>6.4102567732334137E-2</v>
      </c>
      <c r="FX251">
        <v>8.2051284611225128E-2</v>
      </c>
      <c r="FY251">
        <v>7.3076926171779633E-2</v>
      </c>
      <c r="FZ251">
        <v>8.0769233405590057E-2</v>
      </c>
      <c r="GA251">
        <v>7.4358977377414703E-2</v>
      </c>
      <c r="GB251">
        <v>6.923077255487442E-2</v>
      </c>
      <c r="GC251">
        <v>0.13846154510974884</v>
      </c>
      <c r="GD251">
        <v>7.0512823760509491E-2</v>
      </c>
      <c r="GE251">
        <v>6.7948721349239349E-2</v>
      </c>
      <c r="GF251">
        <v>5.8974359184503555E-2</v>
      </c>
      <c r="GG251">
        <v>4.2307693511247635E-2</v>
      </c>
      <c r="GH251">
        <v>8.8461540639400482E-2</v>
      </c>
      <c r="GI251">
        <v>6.2820516526699066E-2</v>
      </c>
      <c r="GJ251">
        <v>7.5641028583049774E-2</v>
      </c>
      <c r="GK251">
        <v>8.0769233405590057E-2</v>
      </c>
      <c r="GL251">
        <v>8.8461540639400482E-2</v>
      </c>
      <c r="GM251">
        <v>8.7179489433765411E-2</v>
      </c>
      <c r="GN251">
        <v>8.2051284611225128E-2</v>
      </c>
      <c r="GO251">
        <v>6.5384618937969208E-2</v>
      </c>
      <c r="GP251">
        <v>0.11153846234083176</v>
      </c>
      <c r="GQ251">
        <v>8.461538702249527E-2</v>
      </c>
      <c r="GR251">
        <v>8.8461540639400482E-2</v>
      </c>
      <c r="GS251">
        <v>5.2564103156328201E-2</v>
      </c>
      <c r="GT251">
        <v>5.6410256773233414E-2</v>
      </c>
      <c r="GU251">
        <v>8.2051284611225128E-2</v>
      </c>
      <c r="GV251">
        <v>7.5641028583049774E-2</v>
      </c>
      <c r="GW251">
        <v>8.2051284611225128E-2</v>
      </c>
      <c r="GX251">
        <v>6.4102567732334137E-2</v>
      </c>
      <c r="GY251">
        <v>6.7948721349239349E-2</v>
      </c>
      <c r="GZ251">
        <v>7.3076926171779633E-2</v>
      </c>
      <c r="HA251">
        <v>7.0512823760509491E-2</v>
      </c>
      <c r="HB251">
        <v>8.5897438228130341E-2</v>
      </c>
      <c r="HC251">
        <v>6.923077255487442E-2</v>
      </c>
      <c r="HD251">
        <v>0.11025641113519669</v>
      </c>
      <c r="HE251">
        <v>6.5384618937969208E-2</v>
      </c>
      <c r="HF251">
        <v>7.0512823760509491E-2</v>
      </c>
      <c r="HG251">
        <v>6.7948721349239349E-2</v>
      </c>
      <c r="HH251">
        <v>8.461538702249527E-2</v>
      </c>
      <c r="HI251">
        <v>6.7948721349239349E-2</v>
      </c>
      <c r="HJ251">
        <v>9.3589745461940765E-2</v>
      </c>
      <c r="HK251">
        <v>6.5384618937969208E-2</v>
      </c>
      <c r="HL251">
        <v>6.5384618937969208E-2</v>
      </c>
      <c r="HM251">
        <v>7.1794874966144562E-2</v>
      </c>
      <c r="HN251">
        <v>7.4358977377414703E-2</v>
      </c>
      <c r="HO251">
        <v>7.3076926171779633E-2</v>
      </c>
      <c r="HP251">
        <v>6.5384618937969208E-2</v>
      </c>
      <c r="HQ251">
        <v>7.0512823760509491E-2</v>
      </c>
      <c r="HR251">
        <v>7.0512823760509491E-2</v>
      </c>
      <c r="HS251">
        <v>7.0512823760509491E-2</v>
      </c>
      <c r="HT251">
        <v>6.2820516526699066E-2</v>
      </c>
      <c r="HU251">
        <v>7.9487182199954987E-2</v>
      </c>
      <c r="HV251">
        <v>7.6923079788684845E-2</v>
      </c>
      <c r="HW251">
        <v>6.6666670143604279E-2</v>
      </c>
      <c r="HX251">
        <v>8.7179489433765411E-2</v>
      </c>
      <c r="HY251">
        <v>9.4871796667575836E-2</v>
      </c>
      <c r="HZ251">
        <v>6.6666670143604279E-2</v>
      </c>
      <c r="IA251">
        <v>8.461538702249527E-2</v>
      </c>
      <c r="IB251">
        <v>6.4102567732334137E-2</v>
      </c>
      <c r="IC251">
        <v>8.461538702249527E-2</v>
      </c>
      <c r="ID251">
        <v>8.8461540639400482E-2</v>
      </c>
      <c r="IE251">
        <v>6.4102567732334137E-2</v>
      </c>
    </row>
    <row r="252" spans="4:244" x14ac:dyDescent="0.25">
      <c r="D252" s="41" t="str" cm="1">
        <f t="array" ref="D252">IF(H252="","",IF(AND(E252&lt;AVERAGE(E251,E253)*($L$19/100),$D$23:D251=""),H252,""))</f>
        <v/>
      </c>
      <c r="E252" s="78">
        <f t="shared" si="4"/>
        <v>2.1976560538229661E-3</v>
      </c>
      <c r="F252" s="79"/>
      <c r="H252">
        <v>230</v>
      </c>
      <c r="I252">
        <v>7.6247656053822971E-2</v>
      </c>
      <c r="K252">
        <v>8.7804876267910004E-2</v>
      </c>
      <c r="L252">
        <v>8.9024387300014496E-2</v>
      </c>
      <c r="M252">
        <v>7.1951217949390411E-2</v>
      </c>
      <c r="N252">
        <v>6.8292684853076935E-2</v>
      </c>
      <c r="O252">
        <v>9.0243905782699585E-2</v>
      </c>
      <c r="P252">
        <v>8.2926832139492035E-2</v>
      </c>
      <c r="Q252">
        <v>0.11463414877653122</v>
      </c>
      <c r="R252">
        <v>9.8780490458011627E-2</v>
      </c>
      <c r="S252">
        <v>6.9512195885181427E-2</v>
      </c>
      <c r="T252">
        <v>8.2926832139492035E-2</v>
      </c>
      <c r="U252">
        <v>6.7073173820972443E-2</v>
      </c>
      <c r="V252">
        <v>4.3902438133955002E-2</v>
      </c>
      <c r="W252">
        <v>7.8048780560493469E-2</v>
      </c>
      <c r="X252">
        <v>9.0243905782699585E-2</v>
      </c>
      <c r="Y252">
        <v>7.4390247464179993E-2</v>
      </c>
      <c r="Z252">
        <v>7.4390247464179993E-2</v>
      </c>
      <c r="AA252">
        <v>8.6585365235805511E-2</v>
      </c>
      <c r="AB252">
        <v>8.7804876267910004E-2</v>
      </c>
      <c r="AC252">
        <v>6.8292684853076935E-2</v>
      </c>
      <c r="AD252">
        <v>7.8048780560493469E-2</v>
      </c>
      <c r="AE252">
        <v>8.2926832139492035E-2</v>
      </c>
      <c r="AF252">
        <v>9.0243905782699585E-2</v>
      </c>
      <c r="AG252">
        <v>8.4146343171596527E-2</v>
      </c>
      <c r="AH252">
        <v>6.7073173820972443E-2</v>
      </c>
      <c r="AI252">
        <v>7.1951217949390411E-2</v>
      </c>
      <c r="AJ252">
        <v>8.2926832139492035E-2</v>
      </c>
      <c r="AK252">
        <v>7.8048780560493469E-2</v>
      </c>
      <c r="AL252">
        <v>5.6097559630870819E-2</v>
      </c>
      <c r="AM252">
        <v>8.0487802624702454E-2</v>
      </c>
      <c r="AN252">
        <v>7.5609758496284485E-2</v>
      </c>
      <c r="AO252">
        <v>6.5853655338287354E-2</v>
      </c>
      <c r="AP252">
        <v>7.1951217949390411E-2</v>
      </c>
      <c r="AQ252">
        <v>5.731707438826561E-2</v>
      </c>
      <c r="AR252">
        <v>5.6097559630870819E-2</v>
      </c>
      <c r="AS252">
        <v>9.3902438879013062E-2</v>
      </c>
      <c r="AT252">
        <v>6.4634144306182861E-2</v>
      </c>
      <c r="AU252">
        <v>7.1951217949390411E-2</v>
      </c>
      <c r="AV252">
        <v>9.0243905782699585E-2</v>
      </c>
      <c r="AW252">
        <v>8.6585365235805511E-2</v>
      </c>
      <c r="AX252">
        <v>6.2195122241973877E-2</v>
      </c>
      <c r="AY252">
        <v>6.7073173820972443E-2</v>
      </c>
      <c r="AZ252">
        <v>6.8292684853076935E-2</v>
      </c>
      <c r="BA252">
        <v>6.0975611209869385E-2</v>
      </c>
      <c r="BB252">
        <v>7.1951217949390411E-2</v>
      </c>
      <c r="BC252">
        <v>6.4634144306182861E-2</v>
      </c>
      <c r="BD252">
        <v>8.6585365235805511E-2</v>
      </c>
      <c r="BE252">
        <v>7.4390247464179993E-2</v>
      </c>
      <c r="BF252">
        <v>7.0731706917285919E-2</v>
      </c>
      <c r="BG252">
        <v>0.10000000149011612</v>
      </c>
      <c r="BH252">
        <v>7.0731706917285919E-2</v>
      </c>
      <c r="BI252">
        <v>8.0487802624702454E-2</v>
      </c>
      <c r="BJ252">
        <v>7.8048780560493469E-2</v>
      </c>
      <c r="BK252">
        <v>6.8292684853076935E-2</v>
      </c>
      <c r="BL252">
        <v>8.1707313656806946E-2</v>
      </c>
      <c r="BM252">
        <v>7.1951217949390411E-2</v>
      </c>
      <c r="BN252">
        <v>9.7560971975326538E-2</v>
      </c>
      <c r="BO252">
        <v>6.5853655338287354E-2</v>
      </c>
      <c r="BP252">
        <v>5.8536585420370102E-2</v>
      </c>
      <c r="BQ252">
        <v>6.5853655338287354E-2</v>
      </c>
      <c r="BR252">
        <v>6.9512195885181427E-2</v>
      </c>
      <c r="BS252">
        <v>0.11219511926174164</v>
      </c>
      <c r="BT252">
        <v>6.0975611209869385E-2</v>
      </c>
      <c r="BU252">
        <v>8.4146343171596527E-2</v>
      </c>
      <c r="BV252">
        <v>7.3170728981494904E-2</v>
      </c>
      <c r="BW252">
        <v>6.7073173820972443E-2</v>
      </c>
      <c r="BX252">
        <v>8.5365854203701019E-2</v>
      </c>
      <c r="BY252">
        <v>8.0487802624702454E-2</v>
      </c>
      <c r="BZ252">
        <v>4.1463416069746017E-2</v>
      </c>
      <c r="CA252">
        <v>7.9268291592597961E-2</v>
      </c>
      <c r="CB252">
        <v>6.8292684853076935E-2</v>
      </c>
      <c r="CC252">
        <v>6.7073173820972443E-2</v>
      </c>
      <c r="CD252">
        <v>6.4634144306182861E-2</v>
      </c>
      <c r="CE252">
        <v>5.8536585420370102E-2</v>
      </c>
      <c r="CF252">
        <v>7.5609758496284485E-2</v>
      </c>
      <c r="CG252">
        <v>0.11341463774442673</v>
      </c>
      <c r="CH252">
        <v>8.5365854203701019E-2</v>
      </c>
      <c r="CI252">
        <v>9.6341460943222046E-2</v>
      </c>
      <c r="CJ252">
        <v>6.5853655338287354E-2</v>
      </c>
      <c r="CK252">
        <v>8.0487802624702454E-2</v>
      </c>
      <c r="CL252">
        <v>9.3902438879013062E-2</v>
      </c>
      <c r="CM252">
        <v>6.7073173820972443E-2</v>
      </c>
      <c r="CN252">
        <v>7.0731706917285919E-2</v>
      </c>
      <c r="CO252">
        <v>8.2926832139492035E-2</v>
      </c>
      <c r="CP252">
        <v>9.2682927846908569E-2</v>
      </c>
      <c r="CQ252">
        <v>7.0731706917285919E-2</v>
      </c>
      <c r="CR252">
        <v>6.8292684853076935E-2</v>
      </c>
      <c r="CS252">
        <v>0.11097560822963715</v>
      </c>
      <c r="CT252">
        <v>6.5853655338287354E-2</v>
      </c>
      <c r="CU252">
        <v>5.9756096452474594E-2</v>
      </c>
      <c r="CV252">
        <v>6.9512195885181427E-2</v>
      </c>
      <c r="CW252">
        <v>4.5121952891349792E-2</v>
      </c>
      <c r="CX252">
        <v>8.6585365235805511E-2</v>
      </c>
      <c r="CY252">
        <v>7.5609758496284485E-2</v>
      </c>
      <c r="CZ252">
        <v>8.1707313656806946E-2</v>
      </c>
      <c r="DA252">
        <v>5.9756096452474594E-2</v>
      </c>
      <c r="DB252">
        <v>8.5365854203701019E-2</v>
      </c>
      <c r="DC252">
        <v>5.8536585420370102E-2</v>
      </c>
      <c r="DD252">
        <v>9.7560971975326538E-2</v>
      </c>
      <c r="DE252">
        <v>7.9268291592597961E-2</v>
      </c>
      <c r="DF252">
        <v>9.3902438879013062E-2</v>
      </c>
      <c r="DG252">
        <v>6.7073173820972443E-2</v>
      </c>
      <c r="DH252">
        <v>9.7560971975326538E-2</v>
      </c>
      <c r="DI252">
        <v>6.9512195885181427E-2</v>
      </c>
      <c r="DJ252">
        <v>6.4634144306182861E-2</v>
      </c>
      <c r="DK252">
        <v>0.10000000149011612</v>
      </c>
      <c r="DL252">
        <v>6.0975611209869385E-2</v>
      </c>
      <c r="DM252">
        <v>0.10121951252222061</v>
      </c>
      <c r="DN252">
        <v>6.4634144306182861E-2</v>
      </c>
      <c r="DO252">
        <v>6.4634144306182861E-2</v>
      </c>
      <c r="DP252">
        <v>9.5121949911117554E-2</v>
      </c>
      <c r="DQ252">
        <v>5.7692307978868484E-2</v>
      </c>
      <c r="DR252">
        <v>8.9743591845035553E-2</v>
      </c>
      <c r="DS252">
        <v>7.6923079788684845E-2</v>
      </c>
      <c r="DT252">
        <v>7.0512823760509491E-2</v>
      </c>
      <c r="DU252">
        <v>6.0256410390138626E-2</v>
      </c>
      <c r="DV252">
        <v>7.8205130994319916E-2</v>
      </c>
      <c r="DW252">
        <v>7.4358977377414703E-2</v>
      </c>
      <c r="DX252">
        <v>7.4358977377414703E-2</v>
      </c>
      <c r="DY252">
        <v>8.7179489433765411E-2</v>
      </c>
      <c r="DZ252">
        <v>6.7948721349239349E-2</v>
      </c>
      <c r="EA252">
        <v>7.6923079788684845E-2</v>
      </c>
      <c r="EB252">
        <v>8.7179489433765411E-2</v>
      </c>
      <c r="EC252">
        <v>5.3846154361963272E-2</v>
      </c>
      <c r="ED252">
        <v>7.6923079788684845E-2</v>
      </c>
      <c r="EE252">
        <v>7.4358977377414703E-2</v>
      </c>
      <c r="EF252">
        <v>7.8205130994319916E-2</v>
      </c>
      <c r="EG252">
        <v>7.0512823760509491E-2</v>
      </c>
      <c r="EH252">
        <v>5.7692307978868484E-2</v>
      </c>
      <c r="EI252">
        <v>0.11666666716337204</v>
      </c>
      <c r="EJ252">
        <v>8.3333335816860199E-2</v>
      </c>
      <c r="EK252">
        <v>6.923077255487442E-2</v>
      </c>
      <c r="EL252">
        <v>8.461538702249527E-2</v>
      </c>
      <c r="EM252">
        <v>6.6666670143604279E-2</v>
      </c>
      <c r="EN252">
        <v>7.4358977377414703E-2</v>
      </c>
      <c r="EO252">
        <v>5.5128205567598343E-2</v>
      </c>
      <c r="EP252">
        <v>8.3333335816860199E-2</v>
      </c>
      <c r="EQ252">
        <v>6.2820516526699066E-2</v>
      </c>
      <c r="ER252">
        <v>7.4358977377414703E-2</v>
      </c>
      <c r="ES252">
        <v>6.6666670143604279E-2</v>
      </c>
      <c r="ET252">
        <v>6.6666670143604279E-2</v>
      </c>
      <c r="EU252">
        <v>0.11666666716337204</v>
      </c>
      <c r="EV252">
        <v>8.8461540639400482E-2</v>
      </c>
      <c r="EW252">
        <v>7.0512823760509491E-2</v>
      </c>
      <c r="EX252">
        <v>8.8461540639400482E-2</v>
      </c>
      <c r="EY252">
        <v>5.6410256773233414E-2</v>
      </c>
      <c r="EZ252">
        <v>9.8717950284481049E-2</v>
      </c>
      <c r="FA252">
        <v>6.6666670143604279E-2</v>
      </c>
      <c r="FB252">
        <v>6.4102567732334137E-2</v>
      </c>
      <c r="FC252">
        <v>7.8205130994319916E-2</v>
      </c>
      <c r="FD252">
        <v>7.1794874966144562E-2</v>
      </c>
      <c r="FE252">
        <v>9.7435899078845978E-2</v>
      </c>
      <c r="FF252">
        <v>7.1794874966144562E-2</v>
      </c>
      <c r="FG252">
        <v>6.7948721349239349E-2</v>
      </c>
      <c r="FH252">
        <v>9.4871796667575836E-2</v>
      </c>
      <c r="FI252">
        <v>6.6666670143604279E-2</v>
      </c>
      <c r="FJ252">
        <v>6.4102567732334137E-2</v>
      </c>
      <c r="FK252">
        <v>7.1794874966144562E-2</v>
      </c>
      <c r="FL252">
        <v>5.3846154361963272E-2</v>
      </c>
      <c r="FM252">
        <v>7.8205130994319916E-2</v>
      </c>
      <c r="FN252">
        <v>6.923077255487442E-2</v>
      </c>
      <c r="FO252">
        <v>8.461538702249527E-2</v>
      </c>
      <c r="FP252">
        <v>5.3846154361963272E-2</v>
      </c>
      <c r="FQ252">
        <v>6.2820516526699066E-2</v>
      </c>
      <c r="FR252">
        <v>6.6666670143604279E-2</v>
      </c>
      <c r="FS252">
        <v>6.923077255487442E-2</v>
      </c>
      <c r="FT252">
        <v>7.0512823760509491E-2</v>
      </c>
      <c r="FU252">
        <v>9.7435899078845978E-2</v>
      </c>
      <c r="FV252">
        <v>6.0256410390138626E-2</v>
      </c>
      <c r="FW252">
        <v>7.0512823760509491E-2</v>
      </c>
      <c r="FX252">
        <v>0.10128205269575119</v>
      </c>
      <c r="FY252">
        <v>0.10128205269575119</v>
      </c>
      <c r="FZ252">
        <v>9.4871796667575836E-2</v>
      </c>
      <c r="GA252">
        <v>6.0256410390138626E-2</v>
      </c>
      <c r="GB252">
        <v>6.4102567732334137E-2</v>
      </c>
      <c r="GC252">
        <v>7.8205130994319916E-2</v>
      </c>
      <c r="GD252">
        <v>6.6666670143604279E-2</v>
      </c>
      <c r="GE252">
        <v>8.0769233405590057E-2</v>
      </c>
      <c r="GF252">
        <v>8.0769233405590057E-2</v>
      </c>
      <c r="GG252">
        <v>6.1538461595773697E-2</v>
      </c>
      <c r="GH252">
        <v>6.4102567732334137E-2</v>
      </c>
      <c r="GI252">
        <v>9.3589745461940765E-2</v>
      </c>
      <c r="GJ252">
        <v>7.9487182199954987E-2</v>
      </c>
      <c r="GK252">
        <v>9.8717950284481049E-2</v>
      </c>
      <c r="GL252">
        <v>6.923077255487442E-2</v>
      </c>
      <c r="GM252">
        <v>6.0256410390138626E-2</v>
      </c>
      <c r="GN252">
        <v>6.4102567732334137E-2</v>
      </c>
      <c r="GO252">
        <v>7.8205130994319916E-2</v>
      </c>
      <c r="GP252">
        <v>6.7948721349239349E-2</v>
      </c>
      <c r="GQ252">
        <v>7.0512823760509491E-2</v>
      </c>
      <c r="GR252">
        <v>5.7692307978868484E-2</v>
      </c>
      <c r="GS252">
        <v>7.0512823760509491E-2</v>
      </c>
      <c r="GT252">
        <v>7.3076926171779633E-2</v>
      </c>
      <c r="GU252">
        <v>5.5128205567598343E-2</v>
      </c>
      <c r="GV252">
        <v>7.0512823760509491E-2</v>
      </c>
      <c r="GW252">
        <v>8.3333335816860199E-2</v>
      </c>
      <c r="GX252">
        <v>0.12435897439718246</v>
      </c>
      <c r="GY252">
        <v>7.1794874966144562E-2</v>
      </c>
      <c r="GZ252">
        <v>6.923077255487442E-2</v>
      </c>
      <c r="HA252">
        <v>8.8461540639400482E-2</v>
      </c>
      <c r="HB252">
        <v>8.3333335816860199E-2</v>
      </c>
      <c r="HC252">
        <v>6.1538461595773697E-2</v>
      </c>
      <c r="HD252">
        <v>6.2820516526699066E-2</v>
      </c>
      <c r="HE252">
        <v>7.9487182199954987E-2</v>
      </c>
      <c r="HF252">
        <v>6.4102567732334137E-2</v>
      </c>
      <c r="HG252">
        <v>8.2051284611225128E-2</v>
      </c>
      <c r="HH252">
        <v>5.2564103156328201E-2</v>
      </c>
      <c r="HI252">
        <v>0.11282051354646683</v>
      </c>
      <c r="HJ252">
        <v>6.0256410390138626E-2</v>
      </c>
      <c r="HK252">
        <v>6.4102567732334137E-2</v>
      </c>
      <c r="HL252">
        <v>0.12307692319154739</v>
      </c>
      <c r="HM252">
        <v>9.4871796667575836E-2</v>
      </c>
      <c r="HN252">
        <v>6.1538461595773697E-2</v>
      </c>
      <c r="HO252">
        <v>9.7435899078845978E-2</v>
      </c>
      <c r="HP252">
        <v>6.5384618937969208E-2</v>
      </c>
      <c r="HQ252">
        <v>7.8205130994319916E-2</v>
      </c>
      <c r="HR252">
        <v>8.461538702249527E-2</v>
      </c>
      <c r="HS252">
        <v>6.7948721349239349E-2</v>
      </c>
      <c r="HT252">
        <v>6.6666670143604279E-2</v>
      </c>
      <c r="HU252">
        <v>6.923077255487442E-2</v>
      </c>
      <c r="HV252">
        <v>8.3333335816860199E-2</v>
      </c>
      <c r="HW252">
        <v>8.9743591845035553E-2</v>
      </c>
      <c r="HX252">
        <v>6.1538461595773697E-2</v>
      </c>
      <c r="HY252">
        <v>6.0256410390138626E-2</v>
      </c>
      <c r="HZ252">
        <v>8.9743591845035553E-2</v>
      </c>
      <c r="IA252">
        <v>7.4358977377414703E-2</v>
      </c>
      <c r="IB252">
        <v>6.5384618937969208E-2</v>
      </c>
      <c r="IC252">
        <v>0.10128205269575119</v>
      </c>
      <c r="ID252">
        <v>0.11282051354646683</v>
      </c>
      <c r="IE252">
        <v>7.3076926171779633E-2</v>
      </c>
      <c r="IF252">
        <v>7.5641028583049774E-2</v>
      </c>
    </row>
    <row r="253" spans="4:244" x14ac:dyDescent="0.25">
      <c r="D253" s="41" t="str" cm="1">
        <f t="array" ref="D253">IF(H253="","",IF(AND(E253&lt;AVERAGE(E252,E254)*($L$19/100),$D$23:D252=""),H253,""))</f>
        <v/>
      </c>
      <c r="E253" s="78">
        <f t="shared" si="4"/>
        <v>4.8671549213396975E-3</v>
      </c>
      <c r="F253" s="79"/>
      <c r="H253">
        <v>231</v>
      </c>
      <c r="I253">
        <v>7.8917154921339702E-2</v>
      </c>
      <c r="K253">
        <v>9.8780490458011627E-2</v>
      </c>
      <c r="L253">
        <v>6.3414633274078369E-2</v>
      </c>
      <c r="M253">
        <v>0.1024390235543251</v>
      </c>
      <c r="N253">
        <v>5.731707438826561E-2</v>
      </c>
      <c r="O253">
        <v>0.10121951252222061</v>
      </c>
      <c r="P253">
        <v>9.0243905782699585E-2</v>
      </c>
      <c r="Q253">
        <v>7.4390247464179993E-2</v>
      </c>
      <c r="R253">
        <v>9.7560971975326538E-2</v>
      </c>
      <c r="S253">
        <v>5.8536585420370102E-2</v>
      </c>
      <c r="T253">
        <v>6.3414633274078369E-2</v>
      </c>
      <c r="U253">
        <v>6.2195122241973877E-2</v>
      </c>
      <c r="V253">
        <v>7.5609758496284485E-2</v>
      </c>
      <c r="W253">
        <v>9.3902438879013062E-2</v>
      </c>
      <c r="X253">
        <v>7.1951217949390411E-2</v>
      </c>
      <c r="Y253">
        <v>9.1463416814804077E-2</v>
      </c>
      <c r="Z253">
        <v>0.13292683660984039</v>
      </c>
      <c r="AA253">
        <v>7.6829269528388977E-2</v>
      </c>
      <c r="AB253">
        <v>7.1951217949390411E-2</v>
      </c>
      <c r="AC253">
        <v>9.0243905782699585E-2</v>
      </c>
      <c r="AD253">
        <v>0.10731707513332367</v>
      </c>
      <c r="AE253">
        <v>7.1951217949390411E-2</v>
      </c>
      <c r="AF253">
        <v>5.731707438826561E-2</v>
      </c>
      <c r="AG253">
        <v>5.000000074505806E-2</v>
      </c>
      <c r="AH253">
        <v>6.5853655338287354E-2</v>
      </c>
      <c r="AI253">
        <v>7.1951217949390411E-2</v>
      </c>
      <c r="AJ253">
        <v>7.9268291592597961E-2</v>
      </c>
      <c r="AK253">
        <v>0.1170731708407402</v>
      </c>
      <c r="AL253">
        <v>6.9512195885181427E-2</v>
      </c>
      <c r="AM253">
        <v>8.2926832139492035E-2</v>
      </c>
      <c r="AN253">
        <v>5.9756096452474594E-2</v>
      </c>
      <c r="AO253">
        <v>6.9512195885181427E-2</v>
      </c>
      <c r="AP253">
        <v>9.3902438879013062E-2</v>
      </c>
      <c r="AQ253">
        <v>6.5853655338287354E-2</v>
      </c>
      <c r="AR253">
        <v>6.8292684853076935E-2</v>
      </c>
      <c r="AS253">
        <v>0.10731707513332367</v>
      </c>
      <c r="AT253">
        <v>0.11097560822963715</v>
      </c>
      <c r="AU253">
        <v>0.10121951252222061</v>
      </c>
      <c r="AV253">
        <v>7.5609758496284485E-2</v>
      </c>
      <c r="AW253">
        <v>7.5609758496284485E-2</v>
      </c>
      <c r="AX253">
        <v>7.6829269528388977E-2</v>
      </c>
      <c r="AY253">
        <v>6.9512195885181427E-2</v>
      </c>
      <c r="AZ253">
        <v>9.8780490458011627E-2</v>
      </c>
      <c r="BA253">
        <v>0.1182926818728447</v>
      </c>
      <c r="BB253">
        <v>5.9756096452474594E-2</v>
      </c>
      <c r="BC253">
        <v>7.3170728981494904E-2</v>
      </c>
      <c r="BD253">
        <v>0.1024390235543251</v>
      </c>
      <c r="BE253">
        <v>6.8292684853076935E-2</v>
      </c>
      <c r="BF253">
        <v>8.2926832139492035E-2</v>
      </c>
      <c r="BG253">
        <v>7.8048780560493469E-2</v>
      </c>
      <c r="BH253">
        <v>7.8048780560493469E-2</v>
      </c>
      <c r="BI253">
        <v>8.0487802624702454E-2</v>
      </c>
      <c r="BJ253">
        <v>8.2926832139492035E-2</v>
      </c>
      <c r="BK253">
        <v>8.9024387300014496E-2</v>
      </c>
      <c r="BL253">
        <v>6.5853655338287354E-2</v>
      </c>
      <c r="BM253">
        <v>7.3170728981494904E-2</v>
      </c>
      <c r="BN253">
        <v>6.4634144306182861E-2</v>
      </c>
      <c r="BO253">
        <v>7.4390247464179993E-2</v>
      </c>
      <c r="BP253">
        <v>6.3414633274078369E-2</v>
      </c>
      <c r="BQ253">
        <v>0.13902439177036285</v>
      </c>
      <c r="BR253">
        <v>6.8292684853076935E-2</v>
      </c>
      <c r="BS253">
        <v>5.9756096452474594E-2</v>
      </c>
      <c r="BT253">
        <v>6.5853655338287354E-2</v>
      </c>
      <c r="BU253">
        <v>9.2682927846908569E-2</v>
      </c>
      <c r="BV253">
        <v>5.8536585420370102E-2</v>
      </c>
      <c r="BW253">
        <v>6.2195122241973877E-2</v>
      </c>
      <c r="BX253">
        <v>0.11585365980863571</v>
      </c>
      <c r="BY253">
        <v>6.5853655338287354E-2</v>
      </c>
      <c r="BZ253">
        <v>9.1463416814804077E-2</v>
      </c>
      <c r="CA253">
        <v>8.9024387300014496E-2</v>
      </c>
      <c r="CB253">
        <v>5.8536585420370102E-2</v>
      </c>
      <c r="CC253">
        <v>6.923077255487442E-2</v>
      </c>
      <c r="CD253">
        <v>8.9743591845035553E-2</v>
      </c>
      <c r="CE253">
        <v>7.9487182199954987E-2</v>
      </c>
      <c r="CF253">
        <v>8.9743591845035553E-2</v>
      </c>
      <c r="CG253">
        <v>0.11666666716337204</v>
      </c>
      <c r="CH253">
        <v>7.0512823760509491E-2</v>
      </c>
      <c r="CI253">
        <v>4.7435898333787918E-2</v>
      </c>
      <c r="CJ253">
        <v>6.1538461595773697E-2</v>
      </c>
      <c r="CK253">
        <v>6.923077255487442E-2</v>
      </c>
      <c r="CL253">
        <v>7.8205130994319916E-2</v>
      </c>
      <c r="CM253">
        <v>5.2564103156328201E-2</v>
      </c>
      <c r="CN253">
        <v>6.5384618937969208E-2</v>
      </c>
      <c r="CO253">
        <v>8.3333335816860199E-2</v>
      </c>
      <c r="CP253">
        <v>6.1538461595773697E-2</v>
      </c>
      <c r="CQ253">
        <v>7.5641028583049774E-2</v>
      </c>
      <c r="CR253">
        <v>0.10641025751829147</v>
      </c>
      <c r="CS253">
        <v>7.8205130994319916E-2</v>
      </c>
      <c r="CT253">
        <v>7.9487182199954987E-2</v>
      </c>
      <c r="CU253">
        <v>7.6923079788684845E-2</v>
      </c>
      <c r="CV253">
        <v>8.461538702249527E-2</v>
      </c>
      <c r="CW253">
        <v>5.8974359184503555E-2</v>
      </c>
      <c r="CX253">
        <v>6.0256410390138626E-2</v>
      </c>
      <c r="CY253">
        <v>0.10256410390138626</v>
      </c>
      <c r="CZ253">
        <v>7.5641028583049774E-2</v>
      </c>
      <c r="DA253">
        <v>8.8461540639400482E-2</v>
      </c>
      <c r="DB253">
        <v>6.2820516526699066E-2</v>
      </c>
      <c r="DC253">
        <v>7.5641028583049774E-2</v>
      </c>
      <c r="DD253">
        <v>6.5384618937969208E-2</v>
      </c>
      <c r="DE253">
        <v>6.6666670143604279E-2</v>
      </c>
      <c r="DF253">
        <v>8.461538702249527E-2</v>
      </c>
      <c r="DG253">
        <v>6.0256410390138626E-2</v>
      </c>
      <c r="DH253">
        <v>0.11794871836900711</v>
      </c>
      <c r="DI253">
        <v>4.6153847128152847E-2</v>
      </c>
      <c r="DJ253">
        <v>6.2820516526699066E-2</v>
      </c>
      <c r="DK253">
        <v>6.2820516526699066E-2</v>
      </c>
      <c r="DL253">
        <v>8.3333335816860199E-2</v>
      </c>
      <c r="DM253">
        <v>8.9743591845035553E-2</v>
      </c>
      <c r="DN253">
        <v>0.11153846234083176</v>
      </c>
      <c r="DO253">
        <v>7.5641028583049774E-2</v>
      </c>
      <c r="DP253">
        <v>6.2820516526699066E-2</v>
      </c>
      <c r="DQ253">
        <v>8.2051284611225128E-2</v>
      </c>
      <c r="DR253">
        <v>8.0769233405590057E-2</v>
      </c>
      <c r="DS253">
        <v>7.9487182199954987E-2</v>
      </c>
      <c r="DT253">
        <v>8.3333335816860199E-2</v>
      </c>
      <c r="DU253">
        <v>7.5641028583049774E-2</v>
      </c>
      <c r="DV253">
        <v>8.5897438228130341E-2</v>
      </c>
      <c r="DW253">
        <v>6.2820516526699066E-2</v>
      </c>
      <c r="DX253">
        <v>0.12051282078027725</v>
      </c>
      <c r="DY253">
        <v>7.0512823760509491E-2</v>
      </c>
      <c r="DZ253">
        <v>6.0256410390138626E-2</v>
      </c>
      <c r="EA253">
        <v>8.5897438228130341E-2</v>
      </c>
      <c r="EB253">
        <v>8.3333335816860199E-2</v>
      </c>
      <c r="EC253">
        <v>9.4871796667575836E-2</v>
      </c>
      <c r="ED253">
        <v>7.4358977377414703E-2</v>
      </c>
      <c r="EE253">
        <v>6.7948721349239349E-2</v>
      </c>
      <c r="EF253">
        <v>0.10256410390138626</v>
      </c>
      <c r="EG253">
        <v>6.7948721349239349E-2</v>
      </c>
      <c r="EH253">
        <v>7.3076926171779633E-2</v>
      </c>
      <c r="EI253">
        <v>7.1794874966144562E-2</v>
      </c>
      <c r="EJ253">
        <v>9.8717950284481049E-2</v>
      </c>
      <c r="EK253">
        <v>7.6923079788684845E-2</v>
      </c>
      <c r="EL253">
        <v>7.4358977377414703E-2</v>
      </c>
      <c r="EM253">
        <v>7.5641028583049774E-2</v>
      </c>
      <c r="EN253">
        <v>7.9487182199954987E-2</v>
      </c>
      <c r="EO253">
        <v>9.2307694256305695E-2</v>
      </c>
      <c r="EP253">
        <v>6.7948721349239349E-2</v>
      </c>
      <c r="EQ253">
        <v>5.6410256773233414E-2</v>
      </c>
      <c r="ER253">
        <v>0.11666666716337204</v>
      </c>
      <c r="ES253">
        <v>5.8974359184503555E-2</v>
      </c>
      <c r="ET253">
        <v>6.0256410390138626E-2</v>
      </c>
      <c r="EU253">
        <v>7.6923079788684845E-2</v>
      </c>
      <c r="EV253">
        <v>5.3846154361963272E-2</v>
      </c>
      <c r="EW253">
        <v>8.3333335816860199E-2</v>
      </c>
      <c r="EX253">
        <v>7.5641028583049774E-2</v>
      </c>
      <c r="EY253">
        <v>5.000000074505806E-2</v>
      </c>
      <c r="EZ253">
        <v>0.10256410390138626</v>
      </c>
      <c r="FA253">
        <v>8.5897438228130341E-2</v>
      </c>
      <c r="FB253">
        <v>7.0512823760509491E-2</v>
      </c>
      <c r="FC253">
        <v>7.8205130994319916E-2</v>
      </c>
      <c r="FD253">
        <v>7.6923079788684845E-2</v>
      </c>
      <c r="FE253">
        <v>7.9487182199954987E-2</v>
      </c>
      <c r="FF253">
        <v>5.5128205567598343E-2</v>
      </c>
      <c r="FG253">
        <v>9.8717950284481049E-2</v>
      </c>
      <c r="FH253">
        <v>6.5384618937969208E-2</v>
      </c>
      <c r="FI253">
        <v>6.5384618937969208E-2</v>
      </c>
      <c r="FJ253">
        <v>5.5128205567598343E-2</v>
      </c>
      <c r="FK253">
        <v>0.15128205716609955</v>
      </c>
      <c r="FL253">
        <v>7.1794874966144562E-2</v>
      </c>
      <c r="FM253">
        <v>8.3333335816860199E-2</v>
      </c>
      <c r="FN253">
        <v>8.5897438228130341E-2</v>
      </c>
      <c r="FO253">
        <v>8.2051284611225128E-2</v>
      </c>
      <c r="FP253">
        <v>5.3846154361963272E-2</v>
      </c>
      <c r="FQ253">
        <v>0.10000000149011612</v>
      </c>
      <c r="FR253">
        <v>7.3076926171779633E-2</v>
      </c>
      <c r="FS253">
        <v>5.7692307978868484E-2</v>
      </c>
      <c r="FT253">
        <v>6.2820516526699066E-2</v>
      </c>
      <c r="FU253">
        <v>8.3333335816860199E-2</v>
      </c>
      <c r="FV253">
        <v>5.3846154361963272E-2</v>
      </c>
      <c r="FW253">
        <v>5.2564103156328201E-2</v>
      </c>
      <c r="FX253">
        <v>0.10384615510702133</v>
      </c>
      <c r="FY253">
        <v>7.0512823760509491E-2</v>
      </c>
      <c r="FZ253">
        <v>7.9487182199954987E-2</v>
      </c>
      <c r="GA253">
        <v>8.7179489433765411E-2</v>
      </c>
      <c r="GB253">
        <v>0.11923076957464218</v>
      </c>
      <c r="GC253">
        <v>7.4358977377414703E-2</v>
      </c>
      <c r="GD253">
        <v>8.461538702249527E-2</v>
      </c>
      <c r="GE253">
        <v>6.0256410390138626E-2</v>
      </c>
      <c r="GF253">
        <v>9.6153847873210907E-2</v>
      </c>
      <c r="GG253">
        <v>6.2820516526699066E-2</v>
      </c>
      <c r="GH253">
        <v>7.8205130994319916E-2</v>
      </c>
      <c r="GI253">
        <v>7.0512823760509491E-2</v>
      </c>
      <c r="GJ253">
        <v>8.3333335816860199E-2</v>
      </c>
      <c r="GK253">
        <v>0.10000000149011612</v>
      </c>
      <c r="GL253">
        <v>5.8974359184503555E-2</v>
      </c>
      <c r="GM253">
        <v>7.1794874966144562E-2</v>
      </c>
      <c r="GN253">
        <v>9.7435899078845978E-2</v>
      </c>
      <c r="GO253">
        <v>5.7692307978868484E-2</v>
      </c>
      <c r="GP253">
        <v>6.7948721349239349E-2</v>
      </c>
      <c r="GQ253">
        <v>7.1794874966144562E-2</v>
      </c>
      <c r="GR253">
        <v>8.461538702249527E-2</v>
      </c>
      <c r="GS253">
        <v>7.1794874966144562E-2</v>
      </c>
      <c r="GT253">
        <v>7.3076926171779633E-2</v>
      </c>
      <c r="GU253">
        <v>6.7948721349239349E-2</v>
      </c>
      <c r="GV253">
        <v>8.8461540639400482E-2</v>
      </c>
      <c r="GW253">
        <v>7.1794874966144562E-2</v>
      </c>
      <c r="GX253">
        <v>9.1025643050670624E-2</v>
      </c>
      <c r="GY253">
        <v>6.2820516526699066E-2</v>
      </c>
      <c r="GZ253">
        <v>0.11025641113519669</v>
      </c>
      <c r="HA253">
        <v>8.7179489433765411E-2</v>
      </c>
      <c r="HB253">
        <v>6.4102567732334137E-2</v>
      </c>
      <c r="HC253">
        <v>7.3076926171779633E-2</v>
      </c>
      <c r="HD253">
        <v>7.8205130994319916E-2</v>
      </c>
      <c r="HE253">
        <v>8.2051284611225128E-2</v>
      </c>
      <c r="HF253">
        <v>8.0769233405590057E-2</v>
      </c>
      <c r="HG253">
        <v>7.5641028583049774E-2</v>
      </c>
      <c r="HH253">
        <v>9.3589745461940765E-2</v>
      </c>
      <c r="HI253">
        <v>8.5897438228130341E-2</v>
      </c>
      <c r="HJ253">
        <v>6.0256410390138626E-2</v>
      </c>
      <c r="HK253">
        <v>8.0769233405590057E-2</v>
      </c>
      <c r="HL253">
        <v>8.9743591845035553E-2</v>
      </c>
      <c r="HM253">
        <v>5.8974359184503555E-2</v>
      </c>
      <c r="HN253">
        <v>0.11153846234083176</v>
      </c>
      <c r="HO253">
        <v>8.5897438228130341E-2</v>
      </c>
      <c r="HP253">
        <v>6.1538461595773697E-2</v>
      </c>
      <c r="HQ253">
        <v>6.4102567732334137E-2</v>
      </c>
      <c r="HR253">
        <v>0.10256410390138626</v>
      </c>
      <c r="HS253">
        <v>9.1025643050670624E-2</v>
      </c>
      <c r="HT253">
        <v>7.9487182199954987E-2</v>
      </c>
      <c r="HU253">
        <v>7.6923079788684845E-2</v>
      </c>
      <c r="HV253">
        <v>6.7948721349239349E-2</v>
      </c>
      <c r="HW253">
        <v>7.0512823760509491E-2</v>
      </c>
      <c r="HX253">
        <v>8.461538702249527E-2</v>
      </c>
      <c r="HY253">
        <v>8.461538702249527E-2</v>
      </c>
      <c r="HZ253">
        <v>7.0512823760509491E-2</v>
      </c>
      <c r="IA253">
        <v>0.12179487198591232</v>
      </c>
      <c r="IB253">
        <v>7.1794874966144562E-2</v>
      </c>
      <c r="IC253">
        <v>8.2051284611225128E-2</v>
      </c>
      <c r="ID253">
        <v>7.1794874966144562E-2</v>
      </c>
      <c r="IE253">
        <v>8.0769233405590057E-2</v>
      </c>
      <c r="IF253">
        <v>0.1051282063126564</v>
      </c>
      <c r="IG253">
        <v>5.8974359184503555E-2</v>
      </c>
    </row>
    <row r="254" spans="4:244" x14ac:dyDescent="0.25">
      <c r="D254" s="41" t="str" cm="1">
        <f t="array" ref="D254">IF(H254="","",IF(AND(E254&lt;AVERAGE(E253,E255)*($L$19/100),$D$23:D253=""),H254,""))</f>
        <v/>
      </c>
      <c r="E254" s="78">
        <f t="shared" si="4"/>
        <v>3.4849916055284674E-3</v>
      </c>
      <c r="F254" s="79"/>
      <c r="H254">
        <v>232</v>
      </c>
      <c r="I254">
        <v>7.7534991605528472E-2</v>
      </c>
      <c r="K254">
        <v>0.11341463774442673</v>
      </c>
      <c r="L254">
        <v>6.8292684853076935E-2</v>
      </c>
      <c r="M254">
        <v>0.13414634764194489</v>
      </c>
      <c r="N254">
        <v>6.0975611209869385E-2</v>
      </c>
      <c r="O254">
        <v>7.9268291592597961E-2</v>
      </c>
      <c r="P254">
        <v>8.9024387300014496E-2</v>
      </c>
      <c r="Q254">
        <v>8.2926832139492035E-2</v>
      </c>
      <c r="R254">
        <v>7.8048780560493469E-2</v>
      </c>
      <c r="S254">
        <v>0.1036585345864296</v>
      </c>
      <c r="T254">
        <v>6.3414633274078369E-2</v>
      </c>
      <c r="U254">
        <v>7.0731706917285919E-2</v>
      </c>
      <c r="V254">
        <v>8.0487802624702454E-2</v>
      </c>
      <c r="W254">
        <v>7.5609758496284485E-2</v>
      </c>
      <c r="X254">
        <v>6.8292684853076935E-2</v>
      </c>
      <c r="Y254">
        <v>0.12195122241973877</v>
      </c>
      <c r="Z254">
        <v>6.2195122241973877E-2</v>
      </c>
      <c r="AA254">
        <v>4.6341463923454285E-2</v>
      </c>
      <c r="AB254">
        <v>6.4634144306182861E-2</v>
      </c>
      <c r="AC254">
        <v>6.8292684853076935E-2</v>
      </c>
      <c r="AD254">
        <v>9.1463416814804077E-2</v>
      </c>
      <c r="AE254">
        <v>7.8048780560493469E-2</v>
      </c>
      <c r="AF254">
        <v>7.1951217949390411E-2</v>
      </c>
      <c r="AG254">
        <v>8.5365854203701019E-2</v>
      </c>
      <c r="AH254">
        <v>5.3658537566661835E-2</v>
      </c>
      <c r="AI254">
        <v>6.2195122241973877E-2</v>
      </c>
      <c r="AJ254">
        <v>6.5853655338287354E-2</v>
      </c>
      <c r="AK254">
        <v>6.9512195885181427E-2</v>
      </c>
      <c r="AL254">
        <v>7.4390247464179993E-2</v>
      </c>
      <c r="AM254">
        <v>6.3414633274078369E-2</v>
      </c>
      <c r="AN254">
        <v>8.4146343171596527E-2</v>
      </c>
      <c r="AO254">
        <v>7.1794874966144562E-2</v>
      </c>
      <c r="AP254">
        <v>7.4358977377414703E-2</v>
      </c>
      <c r="AQ254">
        <v>6.923077255487442E-2</v>
      </c>
      <c r="AR254">
        <v>7.4358977377414703E-2</v>
      </c>
      <c r="AS254">
        <v>8.7179489433765411E-2</v>
      </c>
      <c r="AT254">
        <v>7.0512823760509491E-2</v>
      </c>
      <c r="AU254">
        <v>5.128205195069313E-2</v>
      </c>
      <c r="AV254">
        <v>8.8461540639400482E-2</v>
      </c>
      <c r="AW254">
        <v>7.5641028583049774E-2</v>
      </c>
      <c r="AX254">
        <v>6.7948721349239349E-2</v>
      </c>
      <c r="AY254">
        <v>7.6923079788684845E-2</v>
      </c>
      <c r="AZ254">
        <v>0.15000000596046448</v>
      </c>
      <c r="BA254">
        <v>0.13205128908157349</v>
      </c>
      <c r="BB254">
        <v>5.8974359184503555E-2</v>
      </c>
      <c r="BC254">
        <v>8.7179489433765411E-2</v>
      </c>
      <c r="BD254">
        <v>6.923077255487442E-2</v>
      </c>
      <c r="BE254">
        <v>0.10897435992956161</v>
      </c>
      <c r="BF254">
        <v>0.10641025751829147</v>
      </c>
      <c r="BG254">
        <v>7.6923079788684845E-2</v>
      </c>
      <c r="BH254">
        <v>0.10128205269575119</v>
      </c>
      <c r="BI254">
        <v>5.128205195069313E-2</v>
      </c>
      <c r="BJ254">
        <v>8.3333335816860199E-2</v>
      </c>
      <c r="BK254">
        <v>6.5384618937969208E-2</v>
      </c>
      <c r="BL254">
        <v>9.7435899078845978E-2</v>
      </c>
      <c r="BM254">
        <v>0.10128205269575119</v>
      </c>
      <c r="BN254">
        <v>5.3846154361963272E-2</v>
      </c>
      <c r="BO254">
        <v>6.6666670143604279E-2</v>
      </c>
      <c r="BP254">
        <v>6.923077255487442E-2</v>
      </c>
      <c r="BQ254">
        <v>0.11923076957464218</v>
      </c>
      <c r="BR254">
        <v>5.3846154361963272E-2</v>
      </c>
      <c r="BS254">
        <v>0.1051282063126564</v>
      </c>
      <c r="BT254">
        <v>8.461538702249527E-2</v>
      </c>
      <c r="BU254">
        <v>5.3846154361963272E-2</v>
      </c>
      <c r="BV254">
        <v>7.4358977377414703E-2</v>
      </c>
      <c r="BW254">
        <v>6.4102567732334137E-2</v>
      </c>
      <c r="BX254">
        <v>5.5128205567598343E-2</v>
      </c>
      <c r="BY254">
        <v>7.0512823760509491E-2</v>
      </c>
      <c r="BZ254">
        <v>6.1538461595773697E-2</v>
      </c>
      <c r="CA254">
        <v>6.6666670143604279E-2</v>
      </c>
      <c r="CB254">
        <v>0.10769230872392654</v>
      </c>
      <c r="CC254">
        <v>6.1538461595773697E-2</v>
      </c>
      <c r="CD254">
        <v>9.6153847873210907E-2</v>
      </c>
      <c r="CE254">
        <v>5.7692307978868484E-2</v>
      </c>
      <c r="CF254">
        <v>9.6153847873210907E-2</v>
      </c>
      <c r="CG254">
        <v>8.0769233405590057E-2</v>
      </c>
      <c r="CH254">
        <v>8.7179489433765411E-2</v>
      </c>
      <c r="CI254">
        <v>6.1538461595773697E-2</v>
      </c>
      <c r="CJ254">
        <v>8.7179489433765411E-2</v>
      </c>
      <c r="CK254">
        <v>8.0769233405590057E-2</v>
      </c>
      <c r="CL254">
        <v>6.4102567732334137E-2</v>
      </c>
      <c r="CM254">
        <v>7.4358977377414703E-2</v>
      </c>
      <c r="CN254">
        <v>6.7948721349239349E-2</v>
      </c>
      <c r="CO254">
        <v>7.8205130994319916E-2</v>
      </c>
      <c r="CP254">
        <v>5.6410256773233414E-2</v>
      </c>
      <c r="CQ254">
        <v>4.7435898333787918E-2</v>
      </c>
      <c r="CR254">
        <v>0.16153846681118011</v>
      </c>
      <c r="CS254">
        <v>7.1794874966144562E-2</v>
      </c>
      <c r="CT254">
        <v>9.6153847873210907E-2</v>
      </c>
      <c r="CU254">
        <v>7.5641028583049774E-2</v>
      </c>
      <c r="CV254">
        <v>8.461538702249527E-2</v>
      </c>
      <c r="CW254">
        <v>5.7692307978868484E-2</v>
      </c>
      <c r="CX254">
        <v>9.2307694256305695E-2</v>
      </c>
      <c r="CY254">
        <v>8.461538702249527E-2</v>
      </c>
      <c r="CZ254">
        <v>6.7948721349239349E-2</v>
      </c>
      <c r="DA254">
        <v>6.1538461595773697E-2</v>
      </c>
      <c r="DB254">
        <v>7.0512823760509491E-2</v>
      </c>
      <c r="DC254">
        <v>5.3846154361963272E-2</v>
      </c>
      <c r="DD254">
        <v>6.6666670143604279E-2</v>
      </c>
      <c r="DE254">
        <v>7.4358977377414703E-2</v>
      </c>
      <c r="DF254">
        <v>6.4102567732334137E-2</v>
      </c>
      <c r="DG254">
        <v>8.3333335816860199E-2</v>
      </c>
      <c r="DH254">
        <v>7.6923079788684845E-2</v>
      </c>
      <c r="DI254">
        <v>5.6410256773233414E-2</v>
      </c>
      <c r="DJ254">
        <v>7.5641028583049774E-2</v>
      </c>
      <c r="DK254">
        <v>0.13076923787593842</v>
      </c>
      <c r="DL254">
        <v>7.5641028583049774E-2</v>
      </c>
      <c r="DM254">
        <v>5.5128205567598343E-2</v>
      </c>
      <c r="DN254">
        <v>8.3333335816860199E-2</v>
      </c>
      <c r="DO254">
        <v>5.7692307978868484E-2</v>
      </c>
      <c r="DP254">
        <v>7.9487182199954987E-2</v>
      </c>
      <c r="DQ254">
        <v>6.4102567732334137E-2</v>
      </c>
      <c r="DR254">
        <v>5.128205195069313E-2</v>
      </c>
      <c r="DS254">
        <v>9.8717950284481049E-2</v>
      </c>
      <c r="DT254">
        <v>8.461538702249527E-2</v>
      </c>
      <c r="DU254">
        <v>4.8717949539422989E-2</v>
      </c>
      <c r="DV254">
        <v>8.5897438228130341E-2</v>
      </c>
      <c r="DW254">
        <v>6.5384618937969208E-2</v>
      </c>
      <c r="DX254">
        <v>0.10000000149011612</v>
      </c>
      <c r="DY254">
        <v>7.9487182199954987E-2</v>
      </c>
      <c r="DZ254">
        <v>6.2820516526699066E-2</v>
      </c>
      <c r="EA254">
        <v>5.6410256773233414E-2</v>
      </c>
      <c r="EB254">
        <v>8.0769233405590057E-2</v>
      </c>
      <c r="EC254">
        <v>9.7435899078845978E-2</v>
      </c>
      <c r="ED254">
        <v>6.5384618937969208E-2</v>
      </c>
      <c r="EE254">
        <v>6.4102567732334137E-2</v>
      </c>
      <c r="EF254">
        <v>7.5641028583049774E-2</v>
      </c>
      <c r="EG254">
        <v>6.6666670143604279E-2</v>
      </c>
      <c r="EH254">
        <v>0.10384615510702133</v>
      </c>
      <c r="EI254">
        <v>6.7948721349239349E-2</v>
      </c>
      <c r="EJ254">
        <v>5.6410256773233414E-2</v>
      </c>
      <c r="EK254">
        <v>8.8461540639400482E-2</v>
      </c>
      <c r="EL254">
        <v>5.7692307978868484E-2</v>
      </c>
      <c r="EM254">
        <v>6.7948721349239349E-2</v>
      </c>
      <c r="EN254">
        <v>5.000000074505806E-2</v>
      </c>
      <c r="EO254">
        <v>8.5897438228130341E-2</v>
      </c>
      <c r="EP254">
        <v>7.5641028583049774E-2</v>
      </c>
      <c r="EQ254">
        <v>5.8974359184503555E-2</v>
      </c>
      <c r="ER254">
        <v>6.5384618937969208E-2</v>
      </c>
      <c r="ES254">
        <v>0.11025641113519669</v>
      </c>
      <c r="ET254">
        <v>5.3846154361963272E-2</v>
      </c>
      <c r="EU254">
        <v>8.5897438228130341E-2</v>
      </c>
      <c r="EV254">
        <v>6.5384618937969208E-2</v>
      </c>
      <c r="EW254">
        <v>5.3846154361963272E-2</v>
      </c>
      <c r="EX254">
        <v>7.0512823760509491E-2</v>
      </c>
      <c r="EY254">
        <v>8.2051284611225128E-2</v>
      </c>
      <c r="EZ254">
        <v>6.7948721349239349E-2</v>
      </c>
      <c r="FA254">
        <v>5.8974359184503555E-2</v>
      </c>
      <c r="FB254">
        <v>9.8717950284481049E-2</v>
      </c>
      <c r="FC254">
        <v>0.11666666716337204</v>
      </c>
      <c r="FD254">
        <v>7.0512823760509491E-2</v>
      </c>
      <c r="FE254">
        <v>8.0769233405590057E-2</v>
      </c>
      <c r="FF254">
        <v>7.0512823760509491E-2</v>
      </c>
      <c r="FG254">
        <v>6.5384618937969208E-2</v>
      </c>
      <c r="FH254">
        <v>4.7435898333787918E-2</v>
      </c>
      <c r="FI254">
        <v>8.2051284611225128E-2</v>
      </c>
      <c r="FJ254">
        <v>6.6666670143604279E-2</v>
      </c>
      <c r="FK254">
        <v>8.9743591845035553E-2</v>
      </c>
      <c r="FL254">
        <v>5.8974359184503555E-2</v>
      </c>
      <c r="FM254">
        <v>6.923077255487442E-2</v>
      </c>
      <c r="FN254">
        <v>8.2051284611225128E-2</v>
      </c>
      <c r="FO254">
        <v>7.5641028583049774E-2</v>
      </c>
      <c r="FP254">
        <v>6.5384618937969208E-2</v>
      </c>
      <c r="FQ254">
        <v>5.3846154361963272E-2</v>
      </c>
      <c r="FR254">
        <v>7.9487182199954987E-2</v>
      </c>
      <c r="FS254">
        <v>0.15000000596046448</v>
      </c>
      <c r="FT254">
        <v>8.0769233405590057E-2</v>
      </c>
      <c r="FU254">
        <v>0.11538461595773697</v>
      </c>
      <c r="FV254">
        <v>6.2820516526699066E-2</v>
      </c>
      <c r="FW254">
        <v>8.9743591845035553E-2</v>
      </c>
      <c r="FX254">
        <v>6.923077255487442E-2</v>
      </c>
      <c r="FY254">
        <v>7.5641028583049774E-2</v>
      </c>
      <c r="FZ254">
        <v>8.0769233405590057E-2</v>
      </c>
      <c r="GA254">
        <v>8.2051284611225128E-2</v>
      </c>
      <c r="GB254">
        <v>8.2051284611225128E-2</v>
      </c>
      <c r="GC254">
        <v>6.2820516526699066E-2</v>
      </c>
      <c r="GD254">
        <v>8.9743591845035553E-2</v>
      </c>
      <c r="GE254">
        <v>8.9743591845035553E-2</v>
      </c>
      <c r="GF254">
        <v>8.461538702249527E-2</v>
      </c>
      <c r="GG254">
        <v>8.2051284611225128E-2</v>
      </c>
      <c r="GH254">
        <v>8.2051284611225128E-2</v>
      </c>
      <c r="GI254">
        <v>8.461538702249527E-2</v>
      </c>
      <c r="GJ254">
        <v>7.3076926171779633E-2</v>
      </c>
      <c r="GK254">
        <v>7.4358977377414703E-2</v>
      </c>
      <c r="GL254">
        <v>6.2820516526699066E-2</v>
      </c>
      <c r="GM254">
        <v>5.7692307978868484E-2</v>
      </c>
      <c r="GN254">
        <v>8.3333335816860199E-2</v>
      </c>
      <c r="GO254">
        <v>6.923077255487442E-2</v>
      </c>
      <c r="GP254">
        <v>9.6153847873210907E-2</v>
      </c>
      <c r="GQ254">
        <v>8.7179489433765411E-2</v>
      </c>
      <c r="GR254">
        <v>6.0256410390138626E-2</v>
      </c>
      <c r="GS254">
        <v>0.10769230872392654</v>
      </c>
      <c r="GT254">
        <v>6.923077255487442E-2</v>
      </c>
      <c r="GU254">
        <v>7.9487182199954987E-2</v>
      </c>
      <c r="GV254">
        <v>5.8974359184503555E-2</v>
      </c>
      <c r="GW254">
        <v>9.3589745461940765E-2</v>
      </c>
      <c r="GX254">
        <v>7.1794874966144562E-2</v>
      </c>
      <c r="GY254">
        <v>6.4102567732334137E-2</v>
      </c>
      <c r="GZ254">
        <v>0.1051282063126564</v>
      </c>
      <c r="HA254">
        <v>5.8974359184503555E-2</v>
      </c>
      <c r="HB254">
        <v>0.10769230872392654</v>
      </c>
      <c r="HC254">
        <v>8.5897438228130341E-2</v>
      </c>
      <c r="HD254">
        <v>6.4102567732334137E-2</v>
      </c>
      <c r="HE254">
        <v>7.4358977377414703E-2</v>
      </c>
      <c r="HF254">
        <v>6.7948721349239349E-2</v>
      </c>
      <c r="HG254">
        <v>7.5641028583049774E-2</v>
      </c>
      <c r="HH254">
        <v>6.923077255487442E-2</v>
      </c>
      <c r="HI254">
        <v>0.12435897439718246</v>
      </c>
      <c r="HJ254">
        <v>8.2051284611225128E-2</v>
      </c>
      <c r="HK254">
        <v>5.8974359184503555E-2</v>
      </c>
      <c r="HL254">
        <v>6.923077255487442E-2</v>
      </c>
      <c r="HM254">
        <v>7.1794874966144562E-2</v>
      </c>
      <c r="HN254">
        <v>9.1025643050670624E-2</v>
      </c>
      <c r="HO254">
        <v>0.10769230872392654</v>
      </c>
      <c r="HP254">
        <v>9.2307694256305695E-2</v>
      </c>
      <c r="HQ254">
        <v>5.3846154361963272E-2</v>
      </c>
      <c r="HR254">
        <v>8.461538702249527E-2</v>
      </c>
      <c r="HS254">
        <v>7.6923079788684845E-2</v>
      </c>
      <c r="HT254">
        <v>6.5384618937969208E-2</v>
      </c>
      <c r="HU254">
        <v>6.6666670143604279E-2</v>
      </c>
      <c r="HV254">
        <v>7.8205130994319916E-2</v>
      </c>
      <c r="HW254">
        <v>6.6666670143604279E-2</v>
      </c>
      <c r="HX254">
        <v>8.3333335816860199E-2</v>
      </c>
      <c r="HY254">
        <v>0.10000000149011612</v>
      </c>
      <c r="HZ254">
        <v>7.3076926171779633E-2</v>
      </c>
      <c r="IA254">
        <v>7.3076926171779633E-2</v>
      </c>
      <c r="IB254">
        <v>6.7948721349239349E-2</v>
      </c>
      <c r="IC254">
        <v>0.1051282063126564</v>
      </c>
      <c r="ID254">
        <v>6.0256410390138626E-2</v>
      </c>
      <c r="IE254">
        <v>8.9743591845035553E-2</v>
      </c>
      <c r="IF254">
        <v>6.0256410390138626E-2</v>
      </c>
      <c r="IG254">
        <v>7.4358977377414703E-2</v>
      </c>
      <c r="IH254">
        <v>9.1025643050670624E-2</v>
      </c>
    </row>
    <row r="255" spans="4:244" x14ac:dyDescent="0.25">
      <c r="D255" s="41" t="str" cm="1">
        <f t="array" ref="D255">IF(H255="","",IF(AND(E255&lt;AVERAGE(E254,E256)*($L$19/100),$D$23:D254=""),H255,""))</f>
        <v/>
      </c>
      <c r="E255" s="78">
        <f t="shared" si="4"/>
        <v>3.0604491159895442E-3</v>
      </c>
      <c r="F255" s="79"/>
      <c r="H255">
        <v>233</v>
      </c>
      <c r="I255">
        <v>7.7110449115989549E-2</v>
      </c>
      <c r="K255">
        <v>8.2051284611225128E-2</v>
      </c>
      <c r="L255">
        <v>5.8974359184503555E-2</v>
      </c>
      <c r="M255">
        <v>8.461538702249527E-2</v>
      </c>
      <c r="N255">
        <v>4.7435898333787918E-2</v>
      </c>
      <c r="O255">
        <v>9.7435899078845978E-2</v>
      </c>
      <c r="P255">
        <v>7.8205130994319916E-2</v>
      </c>
      <c r="Q255">
        <v>5.000000074505806E-2</v>
      </c>
      <c r="R255">
        <v>6.7948721349239349E-2</v>
      </c>
      <c r="S255">
        <v>6.7948721349239349E-2</v>
      </c>
      <c r="T255">
        <v>6.5384618937969208E-2</v>
      </c>
      <c r="U255">
        <v>9.7435899078845978E-2</v>
      </c>
      <c r="V255">
        <v>0.11025641113519669</v>
      </c>
      <c r="W255">
        <v>9.1025643050670624E-2</v>
      </c>
      <c r="X255">
        <v>9.7435899078845978E-2</v>
      </c>
      <c r="Y255">
        <v>5.6410256773233414E-2</v>
      </c>
      <c r="Z255">
        <v>7.3076926171779633E-2</v>
      </c>
      <c r="AA255">
        <v>6.5384618937969208E-2</v>
      </c>
      <c r="AB255">
        <v>0.1051282063126564</v>
      </c>
      <c r="AC255">
        <v>6.1538461595773697E-2</v>
      </c>
      <c r="AD255">
        <v>5.6410256773233414E-2</v>
      </c>
      <c r="AE255">
        <v>8.3333335816860199E-2</v>
      </c>
      <c r="AF255">
        <v>9.3589745461940765E-2</v>
      </c>
      <c r="AG255">
        <v>5.5128205567598343E-2</v>
      </c>
      <c r="AH255">
        <v>9.3589745461940765E-2</v>
      </c>
      <c r="AI255">
        <v>5.5128205567598343E-2</v>
      </c>
      <c r="AJ255">
        <v>7.9487182199954987E-2</v>
      </c>
      <c r="AK255">
        <v>6.5384618937969208E-2</v>
      </c>
      <c r="AL255">
        <v>0.10256410390138626</v>
      </c>
      <c r="AM255">
        <v>5.5128205567598343E-2</v>
      </c>
      <c r="AN255">
        <v>7.4358977377414703E-2</v>
      </c>
      <c r="AO255">
        <v>5.6410256773233414E-2</v>
      </c>
      <c r="AP255">
        <v>6.1538461595773697E-2</v>
      </c>
      <c r="AQ255">
        <v>9.1025643050670624E-2</v>
      </c>
      <c r="AR255">
        <v>7.9487182199954987E-2</v>
      </c>
      <c r="AS255">
        <v>8.8461540639400482E-2</v>
      </c>
      <c r="AT255">
        <v>9.7435899078845978E-2</v>
      </c>
      <c r="AU255">
        <v>7.8205130994319916E-2</v>
      </c>
      <c r="AV255">
        <v>8.2051284611225128E-2</v>
      </c>
      <c r="AW255">
        <v>7.9487182199954987E-2</v>
      </c>
      <c r="AX255">
        <v>5.3846154361963272E-2</v>
      </c>
      <c r="AY255">
        <v>7.4358977377414703E-2</v>
      </c>
      <c r="AZ255">
        <v>7.5641028583049774E-2</v>
      </c>
      <c r="BA255">
        <v>0.1051282063126564</v>
      </c>
      <c r="BB255">
        <v>7.0512823760509491E-2</v>
      </c>
      <c r="BC255">
        <v>6.2820516526699066E-2</v>
      </c>
      <c r="BD255">
        <v>6.7948721349239349E-2</v>
      </c>
      <c r="BE255">
        <v>9.6153847873210907E-2</v>
      </c>
      <c r="BF255">
        <v>8.3333335816860199E-2</v>
      </c>
      <c r="BG255">
        <v>8.9743591845035553E-2</v>
      </c>
      <c r="BH255">
        <v>7.9487182199954987E-2</v>
      </c>
      <c r="BI255">
        <v>5.2564103156328201E-2</v>
      </c>
      <c r="BJ255">
        <v>8.2051284611225128E-2</v>
      </c>
      <c r="BK255">
        <v>0.10128205269575119</v>
      </c>
      <c r="BL255">
        <v>7.0512823760509491E-2</v>
      </c>
      <c r="BM255">
        <v>7.5641028583049774E-2</v>
      </c>
      <c r="BN255">
        <v>5.5128205567598343E-2</v>
      </c>
      <c r="BO255">
        <v>8.0769233405590057E-2</v>
      </c>
      <c r="BP255">
        <v>7.5641028583049774E-2</v>
      </c>
      <c r="BQ255">
        <v>6.923077255487442E-2</v>
      </c>
      <c r="BR255">
        <v>0.13205128908157349</v>
      </c>
      <c r="BS255">
        <v>6.6666670143604279E-2</v>
      </c>
      <c r="BT255">
        <v>9.1025643050670624E-2</v>
      </c>
      <c r="BU255">
        <v>5.6410256773233414E-2</v>
      </c>
      <c r="BV255">
        <v>7.1794874966144562E-2</v>
      </c>
      <c r="BW255">
        <v>6.1538461595773697E-2</v>
      </c>
      <c r="BX255">
        <v>7.1794874966144562E-2</v>
      </c>
      <c r="BY255">
        <v>7.3076926171779633E-2</v>
      </c>
      <c r="BZ255">
        <v>7.1794874966144562E-2</v>
      </c>
      <c r="CA255">
        <v>5.5128205567598343E-2</v>
      </c>
      <c r="CB255">
        <v>7.4358977377414703E-2</v>
      </c>
      <c r="CC255">
        <v>7.4358977377414703E-2</v>
      </c>
      <c r="CD255">
        <v>5.5128205567598343E-2</v>
      </c>
      <c r="CE255">
        <v>6.2820516526699066E-2</v>
      </c>
      <c r="CF255">
        <v>6.7948721349239349E-2</v>
      </c>
      <c r="CG255">
        <v>7.5641028583049774E-2</v>
      </c>
      <c r="CH255">
        <v>7.4358977377414703E-2</v>
      </c>
      <c r="CI255">
        <v>7.0512823760509491E-2</v>
      </c>
      <c r="CJ255">
        <v>8.9743591845035553E-2</v>
      </c>
      <c r="CK255">
        <v>7.8205130994319916E-2</v>
      </c>
      <c r="CL255">
        <v>7.3076926171779633E-2</v>
      </c>
      <c r="CM255">
        <v>7.4358977377414703E-2</v>
      </c>
      <c r="CN255">
        <v>7.0512823760509491E-2</v>
      </c>
      <c r="CO255">
        <v>7.9487182199954987E-2</v>
      </c>
      <c r="CP255">
        <v>5.5128205567598343E-2</v>
      </c>
      <c r="CQ255">
        <v>6.7948721349239349E-2</v>
      </c>
      <c r="CR255">
        <v>8.2051284611225128E-2</v>
      </c>
      <c r="CS255">
        <v>8.9743591845035553E-2</v>
      </c>
      <c r="CT255">
        <v>9.8717950284481049E-2</v>
      </c>
      <c r="CU255">
        <v>4.7435898333787918E-2</v>
      </c>
      <c r="CV255">
        <v>6.4102567732334137E-2</v>
      </c>
      <c r="CW255">
        <v>6.5384618937969208E-2</v>
      </c>
      <c r="CX255">
        <v>8.0769233405590057E-2</v>
      </c>
      <c r="CY255">
        <v>5.5128205567598343E-2</v>
      </c>
      <c r="CZ255">
        <v>9.6153847873210907E-2</v>
      </c>
      <c r="DA255">
        <v>6.4102567732334137E-2</v>
      </c>
      <c r="DB255">
        <v>7.8205130994319916E-2</v>
      </c>
      <c r="DC255">
        <v>7.6923079788684845E-2</v>
      </c>
      <c r="DD255">
        <v>6.1538461595773697E-2</v>
      </c>
      <c r="DE255">
        <v>7.5641028583049774E-2</v>
      </c>
      <c r="DF255">
        <v>6.7948721349239349E-2</v>
      </c>
      <c r="DG255">
        <v>7.1794874966144562E-2</v>
      </c>
      <c r="DH255">
        <v>8.0769233405590057E-2</v>
      </c>
      <c r="DI255">
        <v>6.4102567732334137E-2</v>
      </c>
      <c r="DJ255">
        <v>8.3333335816860199E-2</v>
      </c>
      <c r="DK255">
        <v>5.128205195069313E-2</v>
      </c>
      <c r="DL255">
        <v>6.1538461595773697E-2</v>
      </c>
      <c r="DM255">
        <v>6.923077255487442E-2</v>
      </c>
      <c r="DN255">
        <v>0.10384615510702133</v>
      </c>
      <c r="DO255">
        <v>6.923077255487442E-2</v>
      </c>
      <c r="DP255">
        <v>9.7435899078845978E-2</v>
      </c>
      <c r="DQ255">
        <v>6.6666670143604279E-2</v>
      </c>
      <c r="DR255">
        <v>7.6923079788684845E-2</v>
      </c>
      <c r="DS255">
        <v>9.7435899078845978E-2</v>
      </c>
      <c r="DT255">
        <v>8.5897438228130341E-2</v>
      </c>
      <c r="DU255">
        <v>4.7435898333787918E-2</v>
      </c>
      <c r="DV255">
        <v>7.9487182199954987E-2</v>
      </c>
      <c r="DW255">
        <v>8.3333335816860199E-2</v>
      </c>
      <c r="DX255">
        <v>9.1025643050670624E-2</v>
      </c>
      <c r="DY255">
        <v>6.5384618937969208E-2</v>
      </c>
      <c r="DZ255">
        <v>7.4358977377414703E-2</v>
      </c>
      <c r="EA255">
        <v>8.9743591845035553E-2</v>
      </c>
      <c r="EB255">
        <v>6.0256410390138626E-2</v>
      </c>
      <c r="EC255">
        <v>0.11794871836900711</v>
      </c>
      <c r="ED255">
        <v>6.923077255487442E-2</v>
      </c>
      <c r="EE255">
        <v>0.10769230872392654</v>
      </c>
      <c r="EF255">
        <v>7.3076926171779633E-2</v>
      </c>
      <c r="EG255">
        <v>8.0769233405590057E-2</v>
      </c>
      <c r="EH255">
        <v>6.6666670143604279E-2</v>
      </c>
      <c r="EI255">
        <v>8.7179489433765411E-2</v>
      </c>
      <c r="EJ255">
        <v>9.4871796667575836E-2</v>
      </c>
      <c r="EK255">
        <v>7.4358977377414703E-2</v>
      </c>
      <c r="EL255">
        <v>7.6923079788684845E-2</v>
      </c>
      <c r="EM255">
        <v>5.7692307978868484E-2</v>
      </c>
      <c r="EN255">
        <v>6.1538461595773697E-2</v>
      </c>
      <c r="EO255">
        <v>5.6410256773233414E-2</v>
      </c>
      <c r="EP255">
        <v>7.1794874966144562E-2</v>
      </c>
      <c r="EQ255">
        <v>6.5384618937969208E-2</v>
      </c>
      <c r="ER255">
        <v>0.14230769872665405</v>
      </c>
      <c r="ES255">
        <v>0.12435897439718246</v>
      </c>
      <c r="ET255">
        <v>6.7948721349239349E-2</v>
      </c>
      <c r="EU255">
        <v>7.9487182199954987E-2</v>
      </c>
      <c r="EV255">
        <v>7.4358977377414703E-2</v>
      </c>
      <c r="EW255">
        <v>6.4102567732334137E-2</v>
      </c>
      <c r="EX255">
        <v>6.923077255487442E-2</v>
      </c>
      <c r="EY255">
        <v>0.11794871836900711</v>
      </c>
      <c r="EZ255">
        <v>5.3846154361963272E-2</v>
      </c>
      <c r="FA255">
        <v>9.2307694256305695E-2</v>
      </c>
      <c r="FB255">
        <v>7.5641028583049774E-2</v>
      </c>
      <c r="FC255">
        <v>6.0256410390138626E-2</v>
      </c>
      <c r="FD255">
        <v>8.461538702249527E-2</v>
      </c>
      <c r="FE255">
        <v>6.4102567732334137E-2</v>
      </c>
      <c r="FF255">
        <v>6.6666670143604279E-2</v>
      </c>
      <c r="FG255">
        <v>8.2051284611225128E-2</v>
      </c>
      <c r="FH255">
        <v>8.9743591845035553E-2</v>
      </c>
      <c r="FI255">
        <v>7.8205130994319916E-2</v>
      </c>
      <c r="FJ255">
        <v>6.4102567732334137E-2</v>
      </c>
      <c r="FK255">
        <v>6.1538461595773697E-2</v>
      </c>
      <c r="FL255">
        <v>7.6923079788684845E-2</v>
      </c>
      <c r="FM255">
        <v>6.7948721349239349E-2</v>
      </c>
      <c r="FN255">
        <v>5.6410256773233414E-2</v>
      </c>
      <c r="FO255">
        <v>5.8974359184503555E-2</v>
      </c>
      <c r="FP255">
        <v>8.461538702249527E-2</v>
      </c>
      <c r="FQ255">
        <v>9.1025643050670624E-2</v>
      </c>
      <c r="FR255">
        <v>8.7179489433765411E-2</v>
      </c>
      <c r="FS255">
        <v>9.1025643050670624E-2</v>
      </c>
      <c r="FT255">
        <v>7.0512823760509491E-2</v>
      </c>
      <c r="FU255">
        <v>5.128205195069313E-2</v>
      </c>
      <c r="FV255">
        <v>0.1051282063126564</v>
      </c>
      <c r="FW255">
        <v>5.8974359184503555E-2</v>
      </c>
      <c r="FX255">
        <v>9.7435899078845978E-2</v>
      </c>
      <c r="FY255">
        <v>8.2051284611225128E-2</v>
      </c>
      <c r="FZ255">
        <v>7.8205130994319916E-2</v>
      </c>
      <c r="GA255">
        <v>0.10769230872392654</v>
      </c>
      <c r="GB255">
        <v>9.1025643050670624E-2</v>
      </c>
      <c r="GC255">
        <v>8.5897438228130341E-2</v>
      </c>
      <c r="GD255">
        <v>7.0512823760509491E-2</v>
      </c>
      <c r="GE255">
        <v>7.4358977377414703E-2</v>
      </c>
      <c r="GF255">
        <v>8.5897438228130341E-2</v>
      </c>
      <c r="GG255">
        <v>8.0769233405590057E-2</v>
      </c>
      <c r="GH255">
        <v>0.10384615510702133</v>
      </c>
      <c r="GI255">
        <v>7.3076926171779633E-2</v>
      </c>
      <c r="GJ255">
        <v>6.1538461595773697E-2</v>
      </c>
      <c r="GK255">
        <v>6.7948721349239349E-2</v>
      </c>
      <c r="GL255">
        <v>9.6153847873210907E-2</v>
      </c>
      <c r="GM255">
        <v>5.5128205567598343E-2</v>
      </c>
      <c r="GN255">
        <v>7.6923079788684845E-2</v>
      </c>
      <c r="GO255">
        <v>6.2820516526699066E-2</v>
      </c>
      <c r="GP255">
        <v>9.1025643050670624E-2</v>
      </c>
      <c r="GQ255">
        <v>6.7948721349239349E-2</v>
      </c>
      <c r="GR255">
        <v>7.9487182199954987E-2</v>
      </c>
      <c r="GS255">
        <v>7.1794874966144562E-2</v>
      </c>
      <c r="GT255">
        <v>9.7435899078845978E-2</v>
      </c>
      <c r="GU255">
        <v>7.1794874966144562E-2</v>
      </c>
      <c r="GV255">
        <v>6.4102567732334137E-2</v>
      </c>
      <c r="GW255">
        <v>8.8461540639400482E-2</v>
      </c>
      <c r="GX255">
        <v>6.1538461595773697E-2</v>
      </c>
      <c r="GY255">
        <v>6.5384618937969208E-2</v>
      </c>
      <c r="GZ255">
        <v>8.461538702249527E-2</v>
      </c>
      <c r="HA255">
        <v>8.3333335816860199E-2</v>
      </c>
      <c r="HB255">
        <v>6.7948721349239349E-2</v>
      </c>
      <c r="HC255">
        <v>6.923077255487442E-2</v>
      </c>
      <c r="HD255">
        <v>9.8717950284481049E-2</v>
      </c>
      <c r="HE255">
        <v>6.5384618937969208E-2</v>
      </c>
      <c r="HF255">
        <v>6.923077255487442E-2</v>
      </c>
      <c r="HG255">
        <v>8.3333335816860199E-2</v>
      </c>
      <c r="HH255">
        <v>0.10256410390138626</v>
      </c>
      <c r="HI255">
        <v>0.11666666716337204</v>
      </c>
      <c r="HJ255">
        <v>7.5641028583049774E-2</v>
      </c>
      <c r="HK255">
        <v>9.2307694256305695E-2</v>
      </c>
      <c r="HL255">
        <v>7.9487182199954987E-2</v>
      </c>
      <c r="HM255">
        <v>7.1794874966144562E-2</v>
      </c>
      <c r="HN255">
        <v>7.5641028583049774E-2</v>
      </c>
      <c r="HO255">
        <v>8.5897438228130341E-2</v>
      </c>
      <c r="HP255">
        <v>8.5897438228130341E-2</v>
      </c>
      <c r="HQ255">
        <v>7.6923079788684845E-2</v>
      </c>
      <c r="HR255">
        <v>0.11282051354646683</v>
      </c>
      <c r="HS255">
        <v>7.9487182199954987E-2</v>
      </c>
      <c r="HT255">
        <v>7.1794874966144562E-2</v>
      </c>
      <c r="HU255">
        <v>8.461538702249527E-2</v>
      </c>
      <c r="HV255">
        <v>9.4871796667575836E-2</v>
      </c>
      <c r="HW255">
        <v>7.6923079788684845E-2</v>
      </c>
      <c r="HX255">
        <v>0.11794871836900711</v>
      </c>
      <c r="HY255">
        <v>8.8461540639400482E-2</v>
      </c>
      <c r="HZ255">
        <v>5.8029688894748688E-2</v>
      </c>
      <c r="IA255">
        <v>6.8825908005237579E-2</v>
      </c>
      <c r="IB255">
        <v>6.8825908005237579E-2</v>
      </c>
      <c r="IC255">
        <v>7.0175439119338989E-2</v>
      </c>
      <c r="ID255">
        <v>0.11066126823425293</v>
      </c>
      <c r="IE255">
        <v>5.2631579339504242E-2</v>
      </c>
      <c r="IF255">
        <v>7.9622134566307068E-2</v>
      </c>
      <c r="IG255">
        <v>7.4224025011062622E-2</v>
      </c>
      <c r="IH255">
        <v>6.0728743672370911E-2</v>
      </c>
      <c r="II255">
        <v>4.9932524561882019E-2</v>
      </c>
    </row>
    <row r="256" spans="4:244" x14ac:dyDescent="0.25">
      <c r="D256" s="41" t="str" cm="1">
        <f t="array" ref="D256">IF(H256="","",IF(AND(E256&lt;AVERAGE(E255,E257)*($L$19/100),$D$23:D255=""),H256,""))</f>
        <v/>
      </c>
      <c r="E256" s="78">
        <f t="shared" si="4"/>
        <v>2.3874794900162616E-3</v>
      </c>
      <c r="F256" s="79"/>
      <c r="H256">
        <v>234</v>
      </c>
      <c r="I256">
        <v>7.6437479490016266E-2</v>
      </c>
      <c r="K256">
        <v>8.0769233405590057E-2</v>
      </c>
      <c r="L256">
        <v>9.2307694256305695E-2</v>
      </c>
      <c r="M256">
        <v>6.0256410390138626E-2</v>
      </c>
      <c r="N256">
        <v>7.0512823760509491E-2</v>
      </c>
      <c r="O256">
        <v>0.11025641113519669</v>
      </c>
      <c r="P256">
        <v>7.5641028583049774E-2</v>
      </c>
      <c r="Q256">
        <v>6.1538461595773697E-2</v>
      </c>
      <c r="R256">
        <v>7.3076926171779633E-2</v>
      </c>
      <c r="S256">
        <v>6.923077255487442E-2</v>
      </c>
      <c r="T256">
        <v>7.1794874966144562E-2</v>
      </c>
      <c r="U256">
        <v>6.5384618937969208E-2</v>
      </c>
      <c r="V256">
        <v>6.2820516526699066E-2</v>
      </c>
      <c r="W256">
        <v>7.8205130994319916E-2</v>
      </c>
      <c r="X256">
        <v>8.461538702249527E-2</v>
      </c>
      <c r="Y256">
        <v>4.4871795922517776E-2</v>
      </c>
      <c r="Z256">
        <v>7.5641028583049774E-2</v>
      </c>
      <c r="AA256">
        <v>8.8461540639400482E-2</v>
      </c>
      <c r="AB256">
        <v>8.3333335816860199E-2</v>
      </c>
      <c r="AC256">
        <v>7.9487182199954987E-2</v>
      </c>
      <c r="AD256">
        <v>8.0769233405590057E-2</v>
      </c>
      <c r="AE256">
        <v>7.4358977377414703E-2</v>
      </c>
      <c r="AF256">
        <v>0.10769230872392654</v>
      </c>
      <c r="AG256">
        <v>7.3076926171779633E-2</v>
      </c>
      <c r="AH256">
        <v>6.1538461595773697E-2</v>
      </c>
      <c r="AI256">
        <v>6.6666670143604279E-2</v>
      </c>
      <c r="AJ256">
        <v>0.10641025751829147</v>
      </c>
      <c r="AK256">
        <v>6.923077255487442E-2</v>
      </c>
      <c r="AL256">
        <v>5.5128205567598343E-2</v>
      </c>
      <c r="AM256">
        <v>6.1538461595773697E-2</v>
      </c>
      <c r="AN256">
        <v>9.8717950284481049E-2</v>
      </c>
      <c r="AO256">
        <v>8.5897438228130341E-2</v>
      </c>
      <c r="AP256">
        <v>6.5384618937969208E-2</v>
      </c>
      <c r="AQ256">
        <v>0.13461539149284363</v>
      </c>
      <c r="AR256">
        <v>5.5128205567598343E-2</v>
      </c>
      <c r="AS256">
        <v>7.9487182199954987E-2</v>
      </c>
      <c r="AT256">
        <v>0.11282051354646683</v>
      </c>
      <c r="AU256">
        <v>7.9487182199954987E-2</v>
      </c>
      <c r="AV256">
        <v>6.923077255487442E-2</v>
      </c>
      <c r="AW256">
        <v>8.0769233405590057E-2</v>
      </c>
      <c r="AX256">
        <v>7.6923079788684845E-2</v>
      </c>
      <c r="AY256">
        <v>7.0512823760509491E-2</v>
      </c>
      <c r="AZ256">
        <v>0.13076923787593842</v>
      </c>
      <c r="BA256">
        <v>6.7948721349239349E-2</v>
      </c>
      <c r="BB256">
        <v>6.4102567732334137E-2</v>
      </c>
      <c r="BC256">
        <v>7.4358977377414703E-2</v>
      </c>
      <c r="BD256">
        <v>4.8717949539422989E-2</v>
      </c>
      <c r="BE256">
        <v>7.8205130994319916E-2</v>
      </c>
      <c r="BF256">
        <v>8.2051284611225128E-2</v>
      </c>
      <c r="BG256">
        <v>8.2051284611225128E-2</v>
      </c>
      <c r="BH256">
        <v>7.0512823760509491E-2</v>
      </c>
      <c r="BI256">
        <v>9.2307694256305695E-2</v>
      </c>
      <c r="BJ256">
        <v>5.6410256773233414E-2</v>
      </c>
      <c r="BK256">
        <v>6.2820516526699066E-2</v>
      </c>
      <c r="BL256">
        <v>6.0256410390138626E-2</v>
      </c>
      <c r="BM256">
        <v>7.1794874966144562E-2</v>
      </c>
      <c r="BN256">
        <v>7.3076926171779633E-2</v>
      </c>
      <c r="BO256">
        <v>6.923077255487442E-2</v>
      </c>
      <c r="BP256">
        <v>7.6923079788684845E-2</v>
      </c>
      <c r="BQ256">
        <v>9.4871796667575836E-2</v>
      </c>
      <c r="BR256">
        <v>6.923077255487442E-2</v>
      </c>
      <c r="BS256">
        <v>8.9743591845035553E-2</v>
      </c>
      <c r="BT256">
        <v>5.2564103156328201E-2</v>
      </c>
      <c r="BU256">
        <v>5.8974359184503555E-2</v>
      </c>
      <c r="BV256">
        <v>9.1025643050670624E-2</v>
      </c>
      <c r="BW256">
        <v>0.10256410390138626</v>
      </c>
      <c r="BX256">
        <v>9.6153847873210907E-2</v>
      </c>
      <c r="BY256">
        <v>6.5384618937969208E-2</v>
      </c>
      <c r="BZ256">
        <v>4.3589744716882706E-2</v>
      </c>
      <c r="CA256">
        <v>6.6666670143604279E-2</v>
      </c>
      <c r="CB256">
        <v>8.9743591845035553E-2</v>
      </c>
      <c r="CC256">
        <v>6.923077255487442E-2</v>
      </c>
      <c r="CD256">
        <v>6.1538461595773697E-2</v>
      </c>
      <c r="CE256">
        <v>7.1794874966144562E-2</v>
      </c>
      <c r="CF256">
        <v>7.6923079788684845E-2</v>
      </c>
      <c r="CG256">
        <v>7.0512823760509491E-2</v>
      </c>
      <c r="CH256">
        <v>7.5641028583049774E-2</v>
      </c>
      <c r="CI256">
        <v>6.2820516526699066E-2</v>
      </c>
      <c r="CJ256">
        <v>7.9487182199954987E-2</v>
      </c>
      <c r="CK256">
        <v>6.6666670143604279E-2</v>
      </c>
      <c r="CL256">
        <v>8.461538702249527E-2</v>
      </c>
      <c r="CM256">
        <v>4.4871795922517776E-2</v>
      </c>
      <c r="CN256">
        <v>6.2820516526699066E-2</v>
      </c>
      <c r="CO256">
        <v>7.1794874966144562E-2</v>
      </c>
      <c r="CP256">
        <v>6.2820516526699066E-2</v>
      </c>
      <c r="CQ256">
        <v>9.6153847873210907E-2</v>
      </c>
      <c r="CR256">
        <v>7.6923079788684845E-2</v>
      </c>
      <c r="CS256">
        <v>8.0769233405590057E-2</v>
      </c>
      <c r="CT256">
        <v>7.3076926171779633E-2</v>
      </c>
      <c r="CU256">
        <v>6.5384618937969208E-2</v>
      </c>
      <c r="CV256">
        <v>8.5897438228130341E-2</v>
      </c>
      <c r="CW256">
        <v>8.3333335816860199E-2</v>
      </c>
      <c r="CX256">
        <v>5.7692307978868484E-2</v>
      </c>
      <c r="CY256">
        <v>7.1794874966144562E-2</v>
      </c>
      <c r="CZ256">
        <v>5.7692307978868484E-2</v>
      </c>
      <c r="DA256">
        <v>7.8205130994319916E-2</v>
      </c>
      <c r="DB256">
        <v>6.6666670143604279E-2</v>
      </c>
      <c r="DC256">
        <v>6.7948721349239349E-2</v>
      </c>
      <c r="DD256">
        <v>6.2820516526699066E-2</v>
      </c>
      <c r="DE256">
        <v>8.0769233405590057E-2</v>
      </c>
      <c r="DF256">
        <v>6.4102567732334137E-2</v>
      </c>
      <c r="DG256">
        <v>6.2820516526699066E-2</v>
      </c>
      <c r="DH256">
        <v>5.7692307978868484E-2</v>
      </c>
      <c r="DI256">
        <v>0.11153846234083176</v>
      </c>
      <c r="DJ256">
        <v>6.7948721349239349E-2</v>
      </c>
      <c r="DK256">
        <v>0.10128205269575119</v>
      </c>
      <c r="DL256">
        <v>9.2307694256305695E-2</v>
      </c>
      <c r="DM256">
        <v>8.9743591845035553E-2</v>
      </c>
      <c r="DN256">
        <v>6.923077255487442E-2</v>
      </c>
      <c r="DO256">
        <v>6.5384618937969208E-2</v>
      </c>
      <c r="DP256">
        <v>9.1025643050670624E-2</v>
      </c>
      <c r="DQ256">
        <v>6.2820516526699066E-2</v>
      </c>
      <c r="DR256">
        <v>0.11153846234083176</v>
      </c>
      <c r="DS256">
        <v>8.9743591845035553E-2</v>
      </c>
      <c r="DT256">
        <v>6.923077255487442E-2</v>
      </c>
      <c r="DU256">
        <v>7.3076926171779633E-2</v>
      </c>
      <c r="DV256">
        <v>9.8717950284481049E-2</v>
      </c>
      <c r="DW256">
        <v>6.7948721349239349E-2</v>
      </c>
      <c r="DX256">
        <v>6.7948721349239349E-2</v>
      </c>
      <c r="DY256">
        <v>7.9487182199954987E-2</v>
      </c>
      <c r="DZ256">
        <v>8.8461540639400482E-2</v>
      </c>
      <c r="EA256">
        <v>7.4358977377414703E-2</v>
      </c>
      <c r="EB256">
        <v>5.2564103156328201E-2</v>
      </c>
      <c r="EC256">
        <v>0.13846154510974884</v>
      </c>
      <c r="ED256">
        <v>8.5897438228130341E-2</v>
      </c>
      <c r="EE256">
        <v>6.7948721349239349E-2</v>
      </c>
      <c r="EF256">
        <v>9.1025643050670624E-2</v>
      </c>
      <c r="EG256">
        <v>6.2820516526699066E-2</v>
      </c>
      <c r="EH256">
        <v>6.5384618937969208E-2</v>
      </c>
      <c r="EI256">
        <v>0.11923076957464218</v>
      </c>
      <c r="EJ256">
        <v>6.7948721349239349E-2</v>
      </c>
      <c r="EK256">
        <v>5.7692307978868484E-2</v>
      </c>
      <c r="EL256">
        <v>5.000000074505806E-2</v>
      </c>
      <c r="EM256">
        <v>6.1538461595773697E-2</v>
      </c>
      <c r="EN256">
        <v>7.4358977377414703E-2</v>
      </c>
      <c r="EO256">
        <v>6.923077255487442E-2</v>
      </c>
      <c r="EP256">
        <v>9.2307694256305695E-2</v>
      </c>
      <c r="EQ256">
        <v>9.6153847873210907E-2</v>
      </c>
      <c r="ER256">
        <v>8.3333335816860199E-2</v>
      </c>
      <c r="ES256">
        <v>5.6410256773233414E-2</v>
      </c>
      <c r="ET256">
        <v>7.5641028583049774E-2</v>
      </c>
      <c r="EU256">
        <v>6.2820516526699066E-2</v>
      </c>
      <c r="EV256">
        <v>8.5897438228130341E-2</v>
      </c>
      <c r="EW256">
        <v>6.4102567732334137E-2</v>
      </c>
      <c r="EX256">
        <v>7.1794874966144562E-2</v>
      </c>
      <c r="EY256">
        <v>9.6153847873210907E-2</v>
      </c>
      <c r="EZ256">
        <v>5.7692307978868484E-2</v>
      </c>
      <c r="FA256">
        <v>0.1051282063126564</v>
      </c>
      <c r="FB256">
        <v>7.1794874966144562E-2</v>
      </c>
      <c r="FC256">
        <v>9.8717950284481049E-2</v>
      </c>
      <c r="FD256">
        <v>7.0512823760509491E-2</v>
      </c>
      <c r="FE256">
        <v>8.461538702249527E-2</v>
      </c>
      <c r="FF256">
        <v>5.8974359184503555E-2</v>
      </c>
      <c r="FG256">
        <v>0.10641025751829147</v>
      </c>
      <c r="FH256">
        <v>7.0512823760509491E-2</v>
      </c>
      <c r="FI256">
        <v>9.6153847873210907E-2</v>
      </c>
      <c r="FJ256">
        <v>6.1538461595773697E-2</v>
      </c>
      <c r="FK256">
        <v>9.3589745461940765E-2</v>
      </c>
      <c r="FL256">
        <v>6.6666670143604279E-2</v>
      </c>
      <c r="FM256">
        <v>8.461538702249527E-2</v>
      </c>
      <c r="FN256">
        <v>8.2051284611225128E-2</v>
      </c>
      <c r="FO256">
        <v>8.8461540639400482E-2</v>
      </c>
      <c r="FP256">
        <v>6.0256410390138626E-2</v>
      </c>
      <c r="FQ256">
        <v>6.7948721349239349E-2</v>
      </c>
      <c r="FR256">
        <v>6.6666670143604279E-2</v>
      </c>
      <c r="FS256">
        <v>7.4358977377414703E-2</v>
      </c>
      <c r="FT256">
        <v>7.3076926171779633E-2</v>
      </c>
      <c r="FU256">
        <v>6.1538461595773697E-2</v>
      </c>
      <c r="FV256">
        <v>7.5641028583049774E-2</v>
      </c>
      <c r="FW256">
        <v>6.923077255487442E-2</v>
      </c>
      <c r="FX256">
        <v>6.6666670143604279E-2</v>
      </c>
      <c r="FY256">
        <v>0.16538462042808533</v>
      </c>
      <c r="FZ256">
        <v>5.7692307978868484E-2</v>
      </c>
      <c r="GA256">
        <v>0.10256410390138626</v>
      </c>
      <c r="GB256">
        <v>6.923077255487442E-2</v>
      </c>
      <c r="GC256">
        <v>5.128205195069313E-2</v>
      </c>
      <c r="GD256">
        <v>7.4358977377414703E-2</v>
      </c>
      <c r="GE256">
        <v>7.5641028583049774E-2</v>
      </c>
      <c r="GF256">
        <v>7.5641028583049774E-2</v>
      </c>
      <c r="GG256">
        <v>7.5641028583049774E-2</v>
      </c>
      <c r="GH256">
        <v>9.7435899078845978E-2</v>
      </c>
      <c r="GI256">
        <v>6.923077255487442E-2</v>
      </c>
      <c r="GJ256">
        <v>0.1358974426984787</v>
      </c>
      <c r="GK256">
        <v>0.10000000149011612</v>
      </c>
      <c r="GL256">
        <v>4.8717949539422989E-2</v>
      </c>
      <c r="GM256">
        <v>8.0971658229827881E-2</v>
      </c>
      <c r="GN256">
        <v>7.5573548674583435E-2</v>
      </c>
      <c r="GO256">
        <v>7.1524962782859802E-2</v>
      </c>
      <c r="GP256">
        <v>9.1767884790897369E-2</v>
      </c>
      <c r="GQ256">
        <v>6.4777329564094543E-2</v>
      </c>
      <c r="GR256">
        <v>7.9622134566307068E-2</v>
      </c>
      <c r="GS256">
        <v>0.10121457278728485</v>
      </c>
      <c r="GT256">
        <v>6.6126853227615356E-2</v>
      </c>
      <c r="GU256">
        <v>6.3427798449993134E-2</v>
      </c>
      <c r="GV256">
        <v>0.10121457278728485</v>
      </c>
      <c r="GW256">
        <v>5.9379216283559799E-2</v>
      </c>
      <c r="GX256">
        <v>7.9622134566307068E-2</v>
      </c>
      <c r="GY256">
        <v>7.6923079788684845E-2</v>
      </c>
      <c r="GZ256">
        <v>7.2874493896961212E-2</v>
      </c>
      <c r="HA256">
        <v>7.6923079788684845E-2</v>
      </c>
      <c r="HB256">
        <v>6.6126853227615356E-2</v>
      </c>
      <c r="HC256">
        <v>0.10526315867900848</v>
      </c>
      <c r="HD256">
        <v>7.4224025011062622E-2</v>
      </c>
      <c r="HE256">
        <v>9.9865049123764038E-2</v>
      </c>
      <c r="HF256">
        <v>5.2631579339504242E-2</v>
      </c>
      <c r="HG256">
        <v>6.3427798449993134E-2</v>
      </c>
      <c r="HH256">
        <v>9.7165994346141815E-2</v>
      </c>
      <c r="HI256">
        <v>8.6369767785072327E-2</v>
      </c>
      <c r="HJ256">
        <v>5.9379216283559799E-2</v>
      </c>
      <c r="HK256">
        <v>7.1524962782859802E-2</v>
      </c>
      <c r="HL256">
        <v>5.6680161505937576E-2</v>
      </c>
      <c r="HM256">
        <v>6.6126853227615356E-2</v>
      </c>
      <c r="HN256">
        <v>7.2874493896961212E-2</v>
      </c>
      <c r="HO256">
        <v>9.3117408454418182E-2</v>
      </c>
      <c r="HP256">
        <v>5.128205195069313E-2</v>
      </c>
      <c r="HQ256">
        <v>6.6126853227615356E-2</v>
      </c>
      <c r="HR256">
        <v>9.5816463232040405E-2</v>
      </c>
      <c r="HS256">
        <v>6.8825908005237579E-2</v>
      </c>
      <c r="HT256">
        <v>6.7476384341716766E-2</v>
      </c>
      <c r="HU256">
        <v>8.5020244121551514E-2</v>
      </c>
      <c r="HV256">
        <v>7.8272603452205658E-2</v>
      </c>
      <c r="HW256">
        <v>0.10256410390138626</v>
      </c>
      <c r="HX256">
        <v>6.2078271061182022E-2</v>
      </c>
      <c r="HY256">
        <v>6.7476384341716766E-2</v>
      </c>
      <c r="HZ256">
        <v>6.8825908005237579E-2</v>
      </c>
      <c r="IA256">
        <v>6.3427798449993134E-2</v>
      </c>
      <c r="IB256">
        <v>6.3427798449993134E-2</v>
      </c>
      <c r="IC256">
        <v>7.8272603452205658E-2</v>
      </c>
      <c r="ID256">
        <v>8.5020244121551514E-2</v>
      </c>
      <c r="IE256">
        <v>5.5330634117126465E-2</v>
      </c>
      <c r="IF256">
        <v>7.2874493896961212E-2</v>
      </c>
      <c r="IG256">
        <v>6.2078271061182022E-2</v>
      </c>
      <c r="IH256">
        <v>6.6126853227615356E-2</v>
      </c>
      <c r="II256">
        <v>6.0728743672370911E-2</v>
      </c>
      <c r="IJ256">
        <v>7.9622134566307068E-2</v>
      </c>
    </row>
    <row r="257" spans="4:260" x14ac:dyDescent="0.25">
      <c r="D257" s="41" t="str" cm="1">
        <f t="array" ref="D257">IF(H257="","",IF(AND(E257&lt;AVERAGE(E256,E258)*($L$19/100),$D$23:D256=""),H257,""))</f>
        <v/>
      </c>
      <c r="E257" s="78">
        <f t="shared" si="4"/>
        <v>4.336598064544353E-3</v>
      </c>
      <c r="F257" s="79"/>
      <c r="H257">
        <v>235</v>
      </c>
      <c r="I257">
        <v>7.8386598064544358E-2</v>
      </c>
      <c r="K257">
        <v>5.6410256773233414E-2</v>
      </c>
      <c r="L257">
        <v>7.6923079788684845E-2</v>
      </c>
      <c r="M257">
        <v>5.5128205567598343E-2</v>
      </c>
      <c r="N257">
        <v>6.0256410390138626E-2</v>
      </c>
      <c r="O257">
        <v>5.8974359184503555E-2</v>
      </c>
      <c r="P257">
        <v>0.1051282063126564</v>
      </c>
      <c r="Q257">
        <v>9.4871796667575836E-2</v>
      </c>
      <c r="R257">
        <v>5.3846154361963272E-2</v>
      </c>
      <c r="S257">
        <v>5.6410256773233414E-2</v>
      </c>
      <c r="T257">
        <v>0.1141025647521019</v>
      </c>
      <c r="U257">
        <v>8.0769233405590057E-2</v>
      </c>
      <c r="V257">
        <v>7.0512823760509491E-2</v>
      </c>
      <c r="W257">
        <v>8.7179489433765411E-2</v>
      </c>
      <c r="X257">
        <v>6.1538461595773697E-2</v>
      </c>
      <c r="Y257">
        <v>9.4871796667575836E-2</v>
      </c>
      <c r="Z257">
        <v>5.7692307978868484E-2</v>
      </c>
      <c r="AA257">
        <v>9.4871796667575836E-2</v>
      </c>
      <c r="AB257">
        <v>6.5384618937969208E-2</v>
      </c>
      <c r="AC257">
        <v>7.1794874966144562E-2</v>
      </c>
      <c r="AD257">
        <v>5.2564103156328201E-2</v>
      </c>
      <c r="AE257">
        <v>8.7179489433765411E-2</v>
      </c>
      <c r="AF257">
        <v>9.7435899078845978E-2</v>
      </c>
      <c r="AG257">
        <v>6.5384618937969208E-2</v>
      </c>
      <c r="AH257">
        <v>8.7179489433765411E-2</v>
      </c>
      <c r="AI257">
        <v>7.9487182199954987E-2</v>
      </c>
      <c r="AJ257">
        <v>0.12179487198591232</v>
      </c>
      <c r="AK257">
        <v>8.461538702249527E-2</v>
      </c>
      <c r="AL257">
        <v>7.4358977377414703E-2</v>
      </c>
      <c r="AM257">
        <v>7.3076926171779633E-2</v>
      </c>
      <c r="AN257">
        <v>0.13205128908157349</v>
      </c>
      <c r="AO257">
        <v>7.4358977377414703E-2</v>
      </c>
      <c r="AP257">
        <v>6.4102567732334137E-2</v>
      </c>
      <c r="AQ257">
        <v>8.461538702249527E-2</v>
      </c>
      <c r="AR257">
        <v>7.6923079788684845E-2</v>
      </c>
      <c r="AS257">
        <v>6.6666670143604279E-2</v>
      </c>
      <c r="AT257">
        <v>0.10897435992956161</v>
      </c>
      <c r="AU257">
        <v>6.5384618937969208E-2</v>
      </c>
      <c r="AV257">
        <v>8.461538702249527E-2</v>
      </c>
      <c r="AW257">
        <v>9.4871796667575836E-2</v>
      </c>
      <c r="AX257">
        <v>7.9487182199954987E-2</v>
      </c>
      <c r="AY257">
        <v>6.7948721349239349E-2</v>
      </c>
      <c r="AZ257">
        <v>8.461538702249527E-2</v>
      </c>
      <c r="BA257">
        <v>7.3076926171779633E-2</v>
      </c>
      <c r="BB257">
        <v>8.5897438228130341E-2</v>
      </c>
      <c r="BC257">
        <v>6.2820516526699066E-2</v>
      </c>
      <c r="BD257">
        <v>8.2051284611225128E-2</v>
      </c>
      <c r="BE257">
        <v>6.1538461595773697E-2</v>
      </c>
      <c r="BF257">
        <v>7.9487182199954987E-2</v>
      </c>
      <c r="BG257">
        <v>7.1794874966144562E-2</v>
      </c>
      <c r="BH257">
        <v>0.11794871836900711</v>
      </c>
      <c r="BI257">
        <v>5.3846154361963272E-2</v>
      </c>
      <c r="BJ257">
        <v>6.5384618937969208E-2</v>
      </c>
      <c r="BK257">
        <v>6.0256410390138626E-2</v>
      </c>
      <c r="BL257">
        <v>5.3846154361963272E-2</v>
      </c>
      <c r="BM257">
        <v>0.10256410390138626</v>
      </c>
      <c r="BN257">
        <v>6.0256410390138626E-2</v>
      </c>
      <c r="BO257">
        <v>7.9487182199954987E-2</v>
      </c>
      <c r="BP257">
        <v>6.2820516526699066E-2</v>
      </c>
      <c r="BQ257">
        <v>6.923077255487442E-2</v>
      </c>
      <c r="BR257">
        <v>5.128205195069313E-2</v>
      </c>
      <c r="BS257">
        <v>7.5641028583049774E-2</v>
      </c>
      <c r="BT257">
        <v>9.7435899078845978E-2</v>
      </c>
      <c r="BU257">
        <v>6.4102567732334137E-2</v>
      </c>
      <c r="BV257">
        <v>6.2820516526699066E-2</v>
      </c>
      <c r="BW257">
        <v>8.7179489433765411E-2</v>
      </c>
      <c r="BX257">
        <v>7.8205130994319916E-2</v>
      </c>
      <c r="BY257">
        <v>6.923077255487442E-2</v>
      </c>
      <c r="BZ257">
        <v>7.0512823760509491E-2</v>
      </c>
      <c r="CA257">
        <v>8.8461540639400482E-2</v>
      </c>
      <c r="CB257">
        <v>8.2051284611225128E-2</v>
      </c>
      <c r="CC257">
        <v>7.1794874966144562E-2</v>
      </c>
      <c r="CD257">
        <v>8.0769233405590057E-2</v>
      </c>
      <c r="CE257">
        <v>6.2820516526699066E-2</v>
      </c>
      <c r="CF257">
        <v>7.4358977377414703E-2</v>
      </c>
      <c r="CG257">
        <v>6.5384618937969208E-2</v>
      </c>
      <c r="CH257">
        <v>5.6410256773233414E-2</v>
      </c>
      <c r="CI257">
        <v>0.11666666716337204</v>
      </c>
      <c r="CJ257">
        <v>7.0512823760509491E-2</v>
      </c>
      <c r="CK257">
        <v>7.6923079788684845E-2</v>
      </c>
      <c r="CL257">
        <v>6.6666670143604279E-2</v>
      </c>
      <c r="CM257">
        <v>0.13205128908157349</v>
      </c>
      <c r="CN257">
        <v>7.9487182199954987E-2</v>
      </c>
      <c r="CO257">
        <v>6.0256410390138626E-2</v>
      </c>
      <c r="CP257">
        <v>6.6666670143604279E-2</v>
      </c>
      <c r="CQ257">
        <v>5.7692307978868484E-2</v>
      </c>
      <c r="CR257">
        <v>0.11923076957464218</v>
      </c>
      <c r="CS257">
        <v>6.923077255487442E-2</v>
      </c>
      <c r="CT257">
        <v>6.7948721349239349E-2</v>
      </c>
      <c r="CU257">
        <v>7.6923079788684845E-2</v>
      </c>
      <c r="CV257">
        <v>9.8717950284481049E-2</v>
      </c>
      <c r="CW257">
        <v>7.4358977377414703E-2</v>
      </c>
      <c r="CX257">
        <v>9.7435899078845978E-2</v>
      </c>
      <c r="CY257">
        <v>7.5641028583049774E-2</v>
      </c>
      <c r="CZ257">
        <v>8.2051284611225128E-2</v>
      </c>
      <c r="DA257">
        <v>6.0256410390138626E-2</v>
      </c>
      <c r="DB257">
        <v>6.4102567732334137E-2</v>
      </c>
      <c r="DC257">
        <v>7.0512823760509491E-2</v>
      </c>
      <c r="DD257">
        <v>6.2820516526699066E-2</v>
      </c>
      <c r="DE257">
        <v>0.12948718667030334</v>
      </c>
      <c r="DF257">
        <v>5.8974359184503555E-2</v>
      </c>
      <c r="DG257">
        <v>8.5897438228130341E-2</v>
      </c>
      <c r="DH257">
        <v>0.10769230872392654</v>
      </c>
      <c r="DI257">
        <v>5.8974359184503555E-2</v>
      </c>
      <c r="DJ257">
        <v>8.7179489433765411E-2</v>
      </c>
      <c r="DK257">
        <v>6.5384618937969208E-2</v>
      </c>
      <c r="DL257">
        <v>6.4102567732334137E-2</v>
      </c>
      <c r="DM257">
        <v>7.4358977377414703E-2</v>
      </c>
      <c r="DN257">
        <v>0.12435897439718246</v>
      </c>
      <c r="DO257">
        <v>7.3076926171779633E-2</v>
      </c>
      <c r="DP257">
        <v>0.10128205269575119</v>
      </c>
      <c r="DQ257">
        <v>8.3333335816860199E-2</v>
      </c>
      <c r="DR257">
        <v>9.2307694256305695E-2</v>
      </c>
      <c r="DS257">
        <v>8.0769233405590057E-2</v>
      </c>
      <c r="DT257">
        <v>6.2820516526699066E-2</v>
      </c>
      <c r="DU257">
        <v>9.3589745461940765E-2</v>
      </c>
      <c r="DV257">
        <v>0.14487180113792419</v>
      </c>
      <c r="DW257">
        <v>4.7435898333787918E-2</v>
      </c>
      <c r="DX257">
        <v>6.6666670143604279E-2</v>
      </c>
      <c r="DY257">
        <v>0.10641025751829147</v>
      </c>
      <c r="DZ257">
        <v>8.8461540639400482E-2</v>
      </c>
      <c r="EA257">
        <v>0.11153846234083176</v>
      </c>
      <c r="EB257">
        <v>7.3076926171779633E-2</v>
      </c>
      <c r="EC257">
        <v>8.2051284611225128E-2</v>
      </c>
      <c r="ED257">
        <v>7.0512823760509491E-2</v>
      </c>
      <c r="EE257">
        <v>6.4102567732334137E-2</v>
      </c>
      <c r="EF257">
        <v>7.6923079788684845E-2</v>
      </c>
      <c r="EG257">
        <v>8.7179489433765411E-2</v>
      </c>
      <c r="EH257">
        <v>7.4358977377414703E-2</v>
      </c>
      <c r="EI257">
        <v>7.5641028583049774E-2</v>
      </c>
      <c r="EJ257">
        <v>6.4102567732334137E-2</v>
      </c>
      <c r="EK257">
        <v>0.11666666716337204</v>
      </c>
      <c r="EL257">
        <v>7.0512823760509491E-2</v>
      </c>
      <c r="EM257">
        <v>6.2820516526699066E-2</v>
      </c>
      <c r="EN257">
        <v>5.6410256773233414E-2</v>
      </c>
      <c r="EO257">
        <v>7.9487182199954987E-2</v>
      </c>
      <c r="EP257">
        <v>8.461538702249527E-2</v>
      </c>
      <c r="EQ257">
        <v>7.1794874966144562E-2</v>
      </c>
      <c r="ER257">
        <v>6.4102567732334137E-2</v>
      </c>
      <c r="ES257">
        <v>7.1794874966144562E-2</v>
      </c>
      <c r="ET257">
        <v>6.1538461595773697E-2</v>
      </c>
      <c r="EU257">
        <v>7.0512823760509491E-2</v>
      </c>
      <c r="EV257">
        <v>0.11153846234083176</v>
      </c>
      <c r="EW257">
        <v>8.5897438228130341E-2</v>
      </c>
      <c r="EX257">
        <v>6.923077255487442E-2</v>
      </c>
      <c r="EY257">
        <v>8.3333335816860199E-2</v>
      </c>
      <c r="EZ257">
        <v>0.11336032301187515</v>
      </c>
      <c r="FA257">
        <v>6.3427798449993134E-2</v>
      </c>
      <c r="FB257">
        <v>6.3427798449993134E-2</v>
      </c>
      <c r="FC257">
        <v>7.5573548674583435E-2</v>
      </c>
      <c r="FD257">
        <v>0.10256410390138626</v>
      </c>
      <c r="FE257">
        <v>5.6680161505937576E-2</v>
      </c>
      <c r="FF257">
        <v>0.10796221345663071</v>
      </c>
      <c r="FG257">
        <v>7.1524962782859802E-2</v>
      </c>
      <c r="FH257">
        <v>7.2874493896961212E-2</v>
      </c>
      <c r="FI257">
        <v>9.8515518009662628E-2</v>
      </c>
      <c r="FJ257">
        <v>7.8272603452205658E-2</v>
      </c>
      <c r="FK257">
        <v>8.906882256269455E-2</v>
      </c>
      <c r="FL257">
        <v>7.4224025011062622E-2</v>
      </c>
      <c r="FM257">
        <v>7.4224025011062622E-2</v>
      </c>
      <c r="FN257">
        <v>5.8029688894748688E-2</v>
      </c>
      <c r="FO257">
        <v>8.5020244121551514E-2</v>
      </c>
      <c r="FP257">
        <v>5.8029688894748688E-2</v>
      </c>
      <c r="FQ257">
        <v>5.5330634117126465E-2</v>
      </c>
      <c r="FR257">
        <v>5.8029688894748688E-2</v>
      </c>
      <c r="FS257">
        <v>9.3117408454418182E-2</v>
      </c>
      <c r="FT257">
        <v>7.9622134566307068E-2</v>
      </c>
      <c r="FU257">
        <v>7.0175439119338989E-2</v>
      </c>
      <c r="FV257">
        <v>7.4224025011062622E-2</v>
      </c>
      <c r="FW257">
        <v>0.10526315867900848</v>
      </c>
      <c r="FX257">
        <v>6.4777329564094543E-2</v>
      </c>
      <c r="FY257">
        <v>6.7476384341716766E-2</v>
      </c>
      <c r="FZ257">
        <v>4.9932524561882019E-2</v>
      </c>
      <c r="GA257">
        <v>8.3670713007450104E-2</v>
      </c>
      <c r="GB257">
        <v>7.6923079788684845E-2</v>
      </c>
      <c r="GC257">
        <v>6.4777329564094543E-2</v>
      </c>
      <c r="GD257">
        <v>4.9932524561882019E-2</v>
      </c>
      <c r="GE257">
        <v>5.5330634117126465E-2</v>
      </c>
      <c r="GF257">
        <v>8.5020244121551514E-2</v>
      </c>
      <c r="GG257">
        <v>7.4224025011062622E-2</v>
      </c>
      <c r="GH257">
        <v>0.11336032301187515</v>
      </c>
      <c r="GI257">
        <v>7.9622134566307068E-2</v>
      </c>
      <c r="GJ257">
        <v>7.0175439119338989E-2</v>
      </c>
      <c r="GK257">
        <v>7.1524962782859802E-2</v>
      </c>
      <c r="GL257">
        <v>8.7719298899173737E-2</v>
      </c>
      <c r="GM257">
        <v>5.5330634117126465E-2</v>
      </c>
      <c r="GN257">
        <v>5.8029688894748688E-2</v>
      </c>
      <c r="GO257">
        <v>9.7165994346141815E-2</v>
      </c>
      <c r="GP257">
        <v>6.8825908005237579E-2</v>
      </c>
      <c r="GQ257">
        <v>7.0175439119338989E-2</v>
      </c>
      <c r="GR257">
        <v>0.10931174457073212</v>
      </c>
      <c r="GS257">
        <v>0.10526315867900848</v>
      </c>
      <c r="GT257">
        <v>6.3427798449993134E-2</v>
      </c>
      <c r="GU257">
        <v>8.2321189343929291E-2</v>
      </c>
      <c r="GV257">
        <v>6.4777329564094543E-2</v>
      </c>
      <c r="GW257">
        <v>7.2874493896961212E-2</v>
      </c>
      <c r="GX257">
        <v>8.3670713007450104E-2</v>
      </c>
      <c r="GY257">
        <v>7.0175439119338989E-2</v>
      </c>
      <c r="GZ257">
        <v>6.8825908005237579E-2</v>
      </c>
      <c r="HA257">
        <v>8.2321189343929291E-2</v>
      </c>
      <c r="HB257">
        <v>9.7165994346141815E-2</v>
      </c>
      <c r="HC257">
        <v>6.4777329564094543E-2</v>
      </c>
      <c r="HD257">
        <v>6.7476384341716766E-2</v>
      </c>
      <c r="HE257">
        <v>0.1309041827917099</v>
      </c>
      <c r="HF257">
        <v>5.5330634117126465E-2</v>
      </c>
      <c r="HG257">
        <v>6.8825908005237579E-2</v>
      </c>
      <c r="HH257">
        <v>8.0971658229827881E-2</v>
      </c>
      <c r="HI257">
        <v>8.3670713007450104E-2</v>
      </c>
      <c r="HJ257">
        <v>7.1524962782859802E-2</v>
      </c>
      <c r="HK257">
        <v>5.9379216283559799E-2</v>
      </c>
      <c r="HL257">
        <v>0.13360324501991272</v>
      </c>
      <c r="HM257">
        <v>6.8825908005237579E-2</v>
      </c>
      <c r="HN257">
        <v>9.8515518009662628E-2</v>
      </c>
      <c r="HO257">
        <v>0.10256410390138626</v>
      </c>
      <c r="HP257">
        <v>6.0728743672370911E-2</v>
      </c>
      <c r="HQ257">
        <v>8.7719298899173737E-2</v>
      </c>
      <c r="HR257">
        <v>7.2874493896961212E-2</v>
      </c>
      <c r="HS257">
        <v>8.906882256269455E-2</v>
      </c>
      <c r="HT257">
        <v>5.6680161505937576E-2</v>
      </c>
      <c r="HU257">
        <v>8.5020244121551514E-2</v>
      </c>
      <c r="HV257">
        <v>7.6923079788684845E-2</v>
      </c>
      <c r="HW257">
        <v>8.2321189343929291E-2</v>
      </c>
      <c r="HX257">
        <v>5.3981106728315353E-2</v>
      </c>
      <c r="HY257">
        <v>7.1524962782859802E-2</v>
      </c>
      <c r="HZ257">
        <v>0.11201079934835434</v>
      </c>
      <c r="IA257">
        <v>5.8029688894748688E-2</v>
      </c>
      <c r="IB257">
        <v>0.10121457278728485</v>
      </c>
      <c r="IC257">
        <v>6.8825908005237579E-2</v>
      </c>
      <c r="ID257">
        <v>0.11336032301187515</v>
      </c>
      <c r="IE257">
        <v>8.3670713007450104E-2</v>
      </c>
      <c r="IF257">
        <v>7.2874493896961212E-2</v>
      </c>
      <c r="IG257">
        <v>9.0418353676795959E-2</v>
      </c>
      <c r="IH257">
        <v>9.1767884790897369E-2</v>
      </c>
      <c r="II257">
        <v>5.9379216283559799E-2</v>
      </c>
      <c r="IJ257">
        <v>8.0971658229827881E-2</v>
      </c>
      <c r="IK257">
        <v>5.3981106728315353E-2</v>
      </c>
    </row>
    <row r="258" spans="4:260" x14ac:dyDescent="0.25">
      <c r="D258" s="41" t="str" cm="1">
        <f t="array" ref="D258">IF(H258="","",IF(AND(E258&lt;AVERAGE(E257,E259)*($L$19/100),$D$23:D257=""),H258,""))</f>
        <v/>
      </c>
      <c r="E258" s="78">
        <f t="shared" si="4"/>
        <v>4.7060910270628198E-3</v>
      </c>
      <c r="F258" s="79"/>
      <c r="H258">
        <v>236</v>
      </c>
      <c r="I258">
        <v>7.8756091027062824E-2</v>
      </c>
      <c r="K258">
        <v>7.4358977377414703E-2</v>
      </c>
      <c r="L258">
        <v>6.0256410390138626E-2</v>
      </c>
      <c r="M258">
        <v>8.3333335816860199E-2</v>
      </c>
      <c r="N258">
        <v>6.2820516526699066E-2</v>
      </c>
      <c r="O258">
        <v>8.3333335816860199E-2</v>
      </c>
      <c r="P258">
        <v>8.3333335816860199E-2</v>
      </c>
      <c r="Q258">
        <v>6.6666670143604279E-2</v>
      </c>
      <c r="R258">
        <v>8.8461540639400482E-2</v>
      </c>
      <c r="S258">
        <v>7.9487182199954987E-2</v>
      </c>
      <c r="T258">
        <v>6.4102567732334137E-2</v>
      </c>
      <c r="U258">
        <v>9.6153847873210907E-2</v>
      </c>
      <c r="V258">
        <v>9.4871796667575836E-2</v>
      </c>
      <c r="W258">
        <v>9.6153847873210907E-2</v>
      </c>
      <c r="X258">
        <v>6.1538461595773697E-2</v>
      </c>
      <c r="Y258">
        <v>7.4358977377414703E-2</v>
      </c>
      <c r="Z258">
        <v>7.0512823760509491E-2</v>
      </c>
      <c r="AA258">
        <v>6.2820516526699066E-2</v>
      </c>
      <c r="AB258">
        <v>7.8205130994319916E-2</v>
      </c>
      <c r="AC258">
        <v>5.000000074505806E-2</v>
      </c>
      <c r="AD258">
        <v>7.8205130994319916E-2</v>
      </c>
      <c r="AE258">
        <v>7.8205130994319916E-2</v>
      </c>
      <c r="AF258">
        <v>0.12948718667030334</v>
      </c>
      <c r="AG258">
        <v>8.8461540639400482E-2</v>
      </c>
      <c r="AH258">
        <v>6.5384618937969208E-2</v>
      </c>
      <c r="AI258">
        <v>9.1025643050670624E-2</v>
      </c>
      <c r="AJ258">
        <v>8.3333335816860199E-2</v>
      </c>
      <c r="AK258">
        <v>6.7948721349239349E-2</v>
      </c>
      <c r="AL258">
        <v>6.0256410390138626E-2</v>
      </c>
      <c r="AM258">
        <v>5.128205195069313E-2</v>
      </c>
      <c r="AN258">
        <v>7.4358977377414703E-2</v>
      </c>
      <c r="AO258">
        <v>9.6153847873210907E-2</v>
      </c>
      <c r="AP258">
        <v>5.2564103156328201E-2</v>
      </c>
      <c r="AQ258">
        <v>0.14743590354919434</v>
      </c>
      <c r="AR258">
        <v>9.6153847873210907E-2</v>
      </c>
      <c r="AS258">
        <v>6.2820516526699066E-2</v>
      </c>
      <c r="AT258">
        <v>8.5897438228130341E-2</v>
      </c>
      <c r="AU258">
        <v>8.7179489433765411E-2</v>
      </c>
      <c r="AV258">
        <v>6.7948721349239349E-2</v>
      </c>
      <c r="AW258">
        <v>6.1538461595773697E-2</v>
      </c>
      <c r="AX258">
        <v>5.6410256773233414E-2</v>
      </c>
      <c r="AY258">
        <v>6.923077255487442E-2</v>
      </c>
      <c r="AZ258">
        <v>7.8205130994319916E-2</v>
      </c>
      <c r="BA258">
        <v>6.7948721349239349E-2</v>
      </c>
      <c r="BB258">
        <v>6.4102567732334137E-2</v>
      </c>
      <c r="BC258">
        <v>8.2051284611225128E-2</v>
      </c>
      <c r="BD258">
        <v>7.8205130994319916E-2</v>
      </c>
      <c r="BE258">
        <v>6.923077255487442E-2</v>
      </c>
      <c r="BF258">
        <v>6.7948721349239349E-2</v>
      </c>
      <c r="BG258">
        <v>8.3333335816860199E-2</v>
      </c>
      <c r="BH258">
        <v>5.7692307978868484E-2</v>
      </c>
      <c r="BI258">
        <v>7.3076926171779633E-2</v>
      </c>
      <c r="BJ258">
        <v>8.5897438228130341E-2</v>
      </c>
      <c r="BK258">
        <v>7.4358977377414703E-2</v>
      </c>
      <c r="BL258">
        <v>7.1794874966144562E-2</v>
      </c>
      <c r="BM258">
        <v>5.8974359184503555E-2</v>
      </c>
      <c r="BN258">
        <v>7.0512823760509491E-2</v>
      </c>
      <c r="BO258">
        <v>7.3076926171779633E-2</v>
      </c>
      <c r="BP258">
        <v>7.4358977377414703E-2</v>
      </c>
      <c r="BQ258">
        <v>7.6923079788684845E-2</v>
      </c>
      <c r="BR258">
        <v>0.13974359631538391</v>
      </c>
      <c r="BS258">
        <v>6.5384618937969208E-2</v>
      </c>
      <c r="BT258">
        <v>7.4358977377414703E-2</v>
      </c>
      <c r="BU258">
        <v>6.5384618937969208E-2</v>
      </c>
      <c r="BV258">
        <v>5.7692307978868484E-2</v>
      </c>
      <c r="BW258">
        <v>0.1051282063126564</v>
      </c>
      <c r="BX258">
        <v>8.5897438228130341E-2</v>
      </c>
      <c r="BY258">
        <v>6.5384618937969208E-2</v>
      </c>
      <c r="BZ258">
        <v>6.2820516526699066E-2</v>
      </c>
      <c r="CA258">
        <v>0.11025641113519669</v>
      </c>
      <c r="CB258">
        <v>7.8205130994319916E-2</v>
      </c>
      <c r="CC258">
        <v>8.3333335816860199E-2</v>
      </c>
      <c r="CD258">
        <v>6.7948721349239349E-2</v>
      </c>
      <c r="CE258">
        <v>7.8205130994319916E-2</v>
      </c>
      <c r="CF258">
        <v>5.7692307978868484E-2</v>
      </c>
      <c r="CG258">
        <v>0.10384615510702133</v>
      </c>
      <c r="CH258">
        <v>7.0512823760509491E-2</v>
      </c>
      <c r="CI258">
        <v>6.4102567732334137E-2</v>
      </c>
      <c r="CJ258">
        <v>8.2051284611225128E-2</v>
      </c>
      <c r="CK258">
        <v>6.4102567732334137E-2</v>
      </c>
      <c r="CL258">
        <v>0.10256410390138626</v>
      </c>
      <c r="CM258">
        <v>6.1538461595773697E-2</v>
      </c>
      <c r="CN258">
        <v>7.1794874966144562E-2</v>
      </c>
      <c r="CO258">
        <v>0.10769230872392654</v>
      </c>
      <c r="CP258">
        <v>6.7948721349239349E-2</v>
      </c>
      <c r="CQ258">
        <v>0.11923076957464218</v>
      </c>
      <c r="CR258">
        <v>7.4358977377414703E-2</v>
      </c>
      <c r="CS258">
        <v>5.5128205567598343E-2</v>
      </c>
      <c r="CT258">
        <v>9.6153847873210907E-2</v>
      </c>
      <c r="CU258">
        <v>6.7948721349239349E-2</v>
      </c>
      <c r="CV258">
        <v>6.7948721349239349E-2</v>
      </c>
      <c r="CW258">
        <v>8.0769233405590057E-2</v>
      </c>
      <c r="CX258">
        <v>0.12307692319154739</v>
      </c>
      <c r="CY258">
        <v>7.9487182199954987E-2</v>
      </c>
      <c r="CZ258">
        <v>4.6153847128152847E-2</v>
      </c>
      <c r="DA258">
        <v>6.7948721349239349E-2</v>
      </c>
      <c r="DB258">
        <v>6.4102567732334137E-2</v>
      </c>
      <c r="DC258">
        <v>9.1025643050670624E-2</v>
      </c>
      <c r="DD258">
        <v>7.6923079788684845E-2</v>
      </c>
      <c r="DE258">
        <v>0.10769230872392654</v>
      </c>
      <c r="DF258">
        <v>0.10769230872392654</v>
      </c>
      <c r="DG258">
        <v>0.1051282063126564</v>
      </c>
      <c r="DH258">
        <v>8.3333335816860199E-2</v>
      </c>
      <c r="DI258">
        <v>7.3076926171779633E-2</v>
      </c>
      <c r="DJ258">
        <v>6.2820516526699066E-2</v>
      </c>
      <c r="DK258">
        <v>0.1051282063126564</v>
      </c>
      <c r="DL258">
        <v>5.5128205567598343E-2</v>
      </c>
      <c r="DM258">
        <v>0.10256410390138626</v>
      </c>
      <c r="DN258">
        <v>7.1524962782859802E-2</v>
      </c>
      <c r="DO258">
        <v>0.14844805002212524</v>
      </c>
      <c r="DP258">
        <v>7.8272603452205658E-2</v>
      </c>
      <c r="DQ258">
        <v>8.5020244121551514E-2</v>
      </c>
      <c r="DR258">
        <v>7.9622134566307068E-2</v>
      </c>
      <c r="DS258">
        <v>7.8272603452205658E-2</v>
      </c>
      <c r="DT258">
        <v>6.6126853227615356E-2</v>
      </c>
      <c r="DU258">
        <v>7.1524962782859802E-2</v>
      </c>
      <c r="DV258">
        <v>7.6923079788684845E-2</v>
      </c>
      <c r="DW258">
        <v>7.6923079788684845E-2</v>
      </c>
      <c r="DX258">
        <v>9.8515518009662628E-2</v>
      </c>
      <c r="DY258">
        <v>0.11740890890359879</v>
      </c>
      <c r="DZ258">
        <v>7.0175439119338989E-2</v>
      </c>
      <c r="EA258">
        <v>6.7476384341716766E-2</v>
      </c>
      <c r="EB258">
        <v>8.2321189343929291E-2</v>
      </c>
      <c r="EC258">
        <v>5.3981106728315353E-2</v>
      </c>
      <c r="ED258">
        <v>9.8515518009662628E-2</v>
      </c>
      <c r="EE258">
        <v>6.0728743672370911E-2</v>
      </c>
      <c r="EF258">
        <v>5.8029688894748688E-2</v>
      </c>
      <c r="EG258">
        <v>9.8515518009662628E-2</v>
      </c>
      <c r="EH258">
        <v>6.0728743672370911E-2</v>
      </c>
      <c r="EI258">
        <v>8.6369767785072327E-2</v>
      </c>
      <c r="EJ258">
        <v>6.8825908005237579E-2</v>
      </c>
      <c r="EK258">
        <v>8.5020244121551514E-2</v>
      </c>
      <c r="EL258">
        <v>9.8515518009662628E-2</v>
      </c>
      <c r="EM258">
        <v>7.8272603452205658E-2</v>
      </c>
      <c r="EN258">
        <v>6.0728743672370911E-2</v>
      </c>
      <c r="EO258">
        <v>8.906882256269455E-2</v>
      </c>
      <c r="EP258">
        <v>6.0728743672370911E-2</v>
      </c>
      <c r="EQ258">
        <v>5.2631579339504242E-2</v>
      </c>
      <c r="ER258">
        <v>8.5020244121551514E-2</v>
      </c>
      <c r="ES258">
        <v>8.6369767785072327E-2</v>
      </c>
      <c r="ET258">
        <v>5.9379216283559799E-2</v>
      </c>
      <c r="EU258">
        <v>7.4224025011062622E-2</v>
      </c>
      <c r="EV258">
        <v>7.5573548674583435E-2</v>
      </c>
      <c r="EW258">
        <v>7.9622134566307068E-2</v>
      </c>
      <c r="EX258">
        <v>9.9865049123764038E-2</v>
      </c>
      <c r="EY258">
        <v>5.8029688894748688E-2</v>
      </c>
      <c r="EZ258">
        <v>5.2631579339504242E-2</v>
      </c>
      <c r="FA258">
        <v>6.0728743672370911E-2</v>
      </c>
      <c r="FB258">
        <v>7.5573548674583435E-2</v>
      </c>
      <c r="FC258">
        <v>7.4224025011062622E-2</v>
      </c>
      <c r="FD258">
        <v>9.9865049123764038E-2</v>
      </c>
      <c r="FE258">
        <v>8.3670713007450104E-2</v>
      </c>
      <c r="FF258">
        <v>6.6126853227615356E-2</v>
      </c>
      <c r="FG258">
        <v>8.3670713007450104E-2</v>
      </c>
      <c r="FH258">
        <v>7.1524962782859802E-2</v>
      </c>
      <c r="FI258">
        <v>8.7719298899173737E-2</v>
      </c>
      <c r="FJ258">
        <v>8.7719298899173737E-2</v>
      </c>
      <c r="FK258">
        <v>0.10526315867900848</v>
      </c>
      <c r="FL258">
        <v>9.7165994346141815E-2</v>
      </c>
      <c r="FM258">
        <v>7.0175439119338989E-2</v>
      </c>
      <c r="FN258">
        <v>9.4466939568519592E-2</v>
      </c>
      <c r="FO258">
        <v>8.0971658229827881E-2</v>
      </c>
      <c r="FP258">
        <v>5.3981106728315353E-2</v>
      </c>
      <c r="FQ258">
        <v>0.10256410390138626</v>
      </c>
      <c r="FR258">
        <v>7.4224025011062622E-2</v>
      </c>
      <c r="FS258">
        <v>7.6923079788684845E-2</v>
      </c>
      <c r="FT258">
        <v>9.3117408454418182E-2</v>
      </c>
      <c r="FU258">
        <v>7.2874493896961212E-2</v>
      </c>
      <c r="FV258">
        <v>5.2631579339504242E-2</v>
      </c>
      <c r="FW258">
        <v>0.10931174457073212</v>
      </c>
      <c r="FX258">
        <v>5.9379216283559799E-2</v>
      </c>
      <c r="FY258">
        <v>9.0418353676795959E-2</v>
      </c>
      <c r="FZ258">
        <v>7.8272603452205658E-2</v>
      </c>
      <c r="GA258">
        <v>5.128205195069313E-2</v>
      </c>
      <c r="GB258">
        <v>0.12280701845884323</v>
      </c>
      <c r="GC258">
        <v>9.1767884790897369E-2</v>
      </c>
      <c r="GD258">
        <v>9.8515518009662628E-2</v>
      </c>
      <c r="GE258">
        <v>7.0175439119338989E-2</v>
      </c>
      <c r="GF258">
        <v>9.5816463232040405E-2</v>
      </c>
      <c r="GG258">
        <v>7.5573548674583435E-2</v>
      </c>
      <c r="GH258">
        <v>6.2078271061182022E-2</v>
      </c>
      <c r="GI258">
        <v>6.0728743672370911E-2</v>
      </c>
      <c r="GJ258">
        <v>0.10256410390138626</v>
      </c>
      <c r="GK258">
        <v>9.9865049123764038E-2</v>
      </c>
      <c r="GL258">
        <v>5.8029688894748688E-2</v>
      </c>
      <c r="GM258">
        <v>5.9379216283559799E-2</v>
      </c>
      <c r="GN258">
        <v>0.11605937778949738</v>
      </c>
      <c r="GO258">
        <v>5.2631579339504242E-2</v>
      </c>
      <c r="GP258">
        <v>7.6923079788684845E-2</v>
      </c>
      <c r="GQ258">
        <v>8.2321189343929291E-2</v>
      </c>
      <c r="GR258">
        <v>8.3670713007450104E-2</v>
      </c>
      <c r="GS258">
        <v>8.2321189343929291E-2</v>
      </c>
      <c r="GT258">
        <v>9.4466939568519592E-2</v>
      </c>
      <c r="GU258">
        <v>4.9932524561882019E-2</v>
      </c>
      <c r="GV258">
        <v>7.2874493896961212E-2</v>
      </c>
      <c r="GW258">
        <v>8.0971658229827881E-2</v>
      </c>
      <c r="GX258">
        <v>5.3981106728315353E-2</v>
      </c>
      <c r="GY258">
        <v>7.2874493896961212E-2</v>
      </c>
      <c r="GZ258">
        <v>9.1767884790897369E-2</v>
      </c>
      <c r="HA258">
        <v>6.7476384341716766E-2</v>
      </c>
      <c r="HB258">
        <v>6.6126853227615356E-2</v>
      </c>
      <c r="HC258">
        <v>7.1524962782859802E-2</v>
      </c>
      <c r="HD258">
        <v>8.906882256269455E-2</v>
      </c>
      <c r="HE258">
        <v>5.5330634117126465E-2</v>
      </c>
      <c r="HF258">
        <v>9.0418353676795959E-2</v>
      </c>
      <c r="HG258">
        <v>7.0175439119338989E-2</v>
      </c>
      <c r="HH258">
        <v>5.9379216283559799E-2</v>
      </c>
      <c r="HI258">
        <v>0.12010796368122101</v>
      </c>
      <c r="HJ258">
        <v>0.10121457278728485</v>
      </c>
      <c r="HK258">
        <v>5.6680161505937576E-2</v>
      </c>
      <c r="HL258">
        <v>6.4777329564094543E-2</v>
      </c>
      <c r="HM258">
        <v>7.2874493896961212E-2</v>
      </c>
      <c r="HN258">
        <v>5.6680161505937576E-2</v>
      </c>
      <c r="HO258">
        <v>7.5573548674583435E-2</v>
      </c>
      <c r="HP258">
        <v>8.6369767785072327E-2</v>
      </c>
      <c r="HQ258">
        <v>9.8515518009662628E-2</v>
      </c>
      <c r="HR258">
        <v>0.1066126823425293</v>
      </c>
      <c r="HS258">
        <v>7.1524962782859802E-2</v>
      </c>
      <c r="HT258">
        <v>8.3670713007450104E-2</v>
      </c>
      <c r="HU258">
        <v>8.906882256269455E-2</v>
      </c>
      <c r="HV258">
        <v>7.1524962782859802E-2</v>
      </c>
      <c r="HW258">
        <v>8.7719298899173737E-2</v>
      </c>
      <c r="HX258">
        <v>7.2874493896961212E-2</v>
      </c>
      <c r="HY258">
        <v>6.2078271061182022E-2</v>
      </c>
      <c r="HZ258">
        <v>9.8515518009662628E-2</v>
      </c>
      <c r="IA258">
        <v>9.1767884790897369E-2</v>
      </c>
      <c r="IB258">
        <v>6.2078271061182022E-2</v>
      </c>
      <c r="IC258">
        <v>0.10121457278728485</v>
      </c>
      <c r="ID258">
        <v>6.4777329564094543E-2</v>
      </c>
      <c r="IE258">
        <v>8.6369767785072327E-2</v>
      </c>
      <c r="IF258">
        <v>9.4466939568519592E-2</v>
      </c>
      <c r="IG258">
        <v>8.0971658229827881E-2</v>
      </c>
      <c r="IH258">
        <v>5.6680161505937576E-2</v>
      </c>
      <c r="II258">
        <v>9.4466939568519592E-2</v>
      </c>
      <c r="IJ258">
        <v>6.2078271061182022E-2</v>
      </c>
      <c r="IK258">
        <v>6.6126853227615356E-2</v>
      </c>
      <c r="IL258">
        <v>7.1524962782859802E-2</v>
      </c>
    </row>
    <row r="259" spans="4:260" x14ac:dyDescent="0.25">
      <c r="D259" s="41" t="str" cm="1">
        <f t="array" ref="D259">IF(H259="","",IF(AND(E259&lt;AVERAGE(E258,E260)*($L$19/100),$D$23:D258=""),H259,""))</f>
        <v/>
      </c>
      <c r="E259" s="78">
        <f t="shared" si="4"/>
        <v>2.8229684410718825E-3</v>
      </c>
      <c r="F259" s="79"/>
      <c r="H259">
        <v>237</v>
      </c>
      <c r="I259">
        <v>7.6872968441071887E-2</v>
      </c>
      <c r="K259">
        <v>8.7179489433765411E-2</v>
      </c>
      <c r="L259">
        <v>7.4358977377414703E-2</v>
      </c>
      <c r="M259">
        <v>5.3846154361963272E-2</v>
      </c>
      <c r="N259">
        <v>7.3076926171779633E-2</v>
      </c>
      <c r="O259">
        <v>7.9487182199954987E-2</v>
      </c>
      <c r="P259">
        <v>0.11025641113519669</v>
      </c>
      <c r="Q259">
        <v>9.2307694256305695E-2</v>
      </c>
      <c r="R259">
        <v>8.5897438228130341E-2</v>
      </c>
      <c r="S259">
        <v>8.9743591845035553E-2</v>
      </c>
      <c r="T259">
        <v>7.4358977377414703E-2</v>
      </c>
      <c r="U259">
        <v>9.3589745461940765E-2</v>
      </c>
      <c r="V259">
        <v>5.8974359184503555E-2</v>
      </c>
      <c r="W259">
        <v>7.1794874966144562E-2</v>
      </c>
      <c r="X259">
        <v>7.5641028583049774E-2</v>
      </c>
      <c r="Y259">
        <v>7.5641028583049774E-2</v>
      </c>
      <c r="Z259">
        <v>6.1538461595773697E-2</v>
      </c>
      <c r="AA259">
        <v>7.3076926171779633E-2</v>
      </c>
      <c r="AB259">
        <v>7.3076926171779633E-2</v>
      </c>
      <c r="AC259">
        <v>6.4102567732334137E-2</v>
      </c>
      <c r="AD259">
        <v>8.8461540639400482E-2</v>
      </c>
      <c r="AE259">
        <v>8.7179489433765411E-2</v>
      </c>
      <c r="AF259">
        <v>0.1051282063126564</v>
      </c>
      <c r="AG259">
        <v>7.0512823760509491E-2</v>
      </c>
      <c r="AH259">
        <v>0.15000000596046448</v>
      </c>
      <c r="AI259">
        <v>6.7948721349239349E-2</v>
      </c>
      <c r="AJ259">
        <v>5.8974359184503555E-2</v>
      </c>
      <c r="AK259">
        <v>7.4358977377414703E-2</v>
      </c>
      <c r="AL259">
        <v>0.11794871836900711</v>
      </c>
      <c r="AM259">
        <v>7.0512823760509491E-2</v>
      </c>
      <c r="AN259">
        <v>0.10897435992956161</v>
      </c>
      <c r="AO259">
        <v>9.8717950284481049E-2</v>
      </c>
      <c r="AP259">
        <v>7.8205130994319916E-2</v>
      </c>
      <c r="AQ259">
        <v>9.2307694256305695E-2</v>
      </c>
      <c r="AR259">
        <v>6.923077255487442E-2</v>
      </c>
      <c r="AS259">
        <v>5.3846154361963272E-2</v>
      </c>
      <c r="AT259">
        <v>6.1538461595773697E-2</v>
      </c>
      <c r="AU259">
        <v>5.5128205567598343E-2</v>
      </c>
      <c r="AV259">
        <v>7.5641028583049774E-2</v>
      </c>
      <c r="AW259">
        <v>0.10897435992956161</v>
      </c>
      <c r="AX259">
        <v>6.923077255487442E-2</v>
      </c>
      <c r="AY259">
        <v>6.7948721349239349E-2</v>
      </c>
      <c r="AZ259">
        <v>0.11153846234083176</v>
      </c>
      <c r="BA259">
        <v>6.923077255487442E-2</v>
      </c>
      <c r="BB259">
        <v>7.1794874966144562E-2</v>
      </c>
      <c r="BC259">
        <v>0.10256410390138626</v>
      </c>
      <c r="BD259">
        <v>5.6410256773233414E-2</v>
      </c>
      <c r="BE259">
        <v>5.5128205567598343E-2</v>
      </c>
      <c r="BF259">
        <v>8.9743591845035553E-2</v>
      </c>
      <c r="BG259">
        <v>8.7179489433765411E-2</v>
      </c>
      <c r="BH259">
        <v>7.5641028583049774E-2</v>
      </c>
      <c r="BI259">
        <v>7.9487182199954987E-2</v>
      </c>
      <c r="BJ259">
        <v>0.10641025751829147</v>
      </c>
      <c r="BK259">
        <v>6.6666670143604279E-2</v>
      </c>
      <c r="BL259">
        <v>6.4102567732334137E-2</v>
      </c>
      <c r="BM259">
        <v>6.1538461595773697E-2</v>
      </c>
      <c r="BN259">
        <v>6.4102567732334137E-2</v>
      </c>
      <c r="BO259">
        <v>8.9743591845035553E-2</v>
      </c>
      <c r="BP259">
        <v>7.8205130994319916E-2</v>
      </c>
      <c r="BQ259">
        <v>9.1025643050670624E-2</v>
      </c>
      <c r="BR259">
        <v>7.9487182199954987E-2</v>
      </c>
      <c r="BS259">
        <v>7.0512823760509491E-2</v>
      </c>
      <c r="BT259">
        <v>8.5897438228130341E-2</v>
      </c>
      <c r="BU259">
        <v>7.3076926171779633E-2</v>
      </c>
      <c r="BV259">
        <v>6.2820516526699066E-2</v>
      </c>
      <c r="BW259">
        <v>4.7435898333787918E-2</v>
      </c>
      <c r="BX259">
        <v>6.7948721349239349E-2</v>
      </c>
      <c r="BY259">
        <v>7.0512823760509491E-2</v>
      </c>
      <c r="BZ259">
        <v>7.1524962782859802E-2</v>
      </c>
      <c r="CA259">
        <v>8.5020244121551514E-2</v>
      </c>
      <c r="CB259">
        <v>0.11201079934835434</v>
      </c>
      <c r="CC259">
        <v>7.2874493896961212E-2</v>
      </c>
      <c r="CD259">
        <v>0.10391362756490707</v>
      </c>
      <c r="CE259">
        <v>9.0418353676795959E-2</v>
      </c>
      <c r="CF259">
        <v>9.4466939568519592E-2</v>
      </c>
      <c r="CG259">
        <v>0.1066126823425293</v>
      </c>
      <c r="CH259">
        <v>6.7476384341716766E-2</v>
      </c>
      <c r="CI259">
        <v>6.3427798449993134E-2</v>
      </c>
      <c r="CJ259">
        <v>8.906882256269455E-2</v>
      </c>
      <c r="CK259">
        <v>6.6126853227615356E-2</v>
      </c>
      <c r="CL259">
        <v>9.3117408454418182E-2</v>
      </c>
      <c r="CM259">
        <v>7.0175439119338989E-2</v>
      </c>
      <c r="CN259">
        <v>7.8272603452205658E-2</v>
      </c>
      <c r="CO259">
        <v>6.0728743672370911E-2</v>
      </c>
      <c r="CP259">
        <v>7.9622134566307068E-2</v>
      </c>
      <c r="CQ259">
        <v>7.6923079788684845E-2</v>
      </c>
      <c r="CR259">
        <v>7.2874493896961212E-2</v>
      </c>
      <c r="CS259">
        <v>7.8272603452205658E-2</v>
      </c>
      <c r="CT259">
        <v>9.5816463232040405E-2</v>
      </c>
      <c r="CU259">
        <v>7.4224025011062622E-2</v>
      </c>
      <c r="CV259">
        <v>0.10256410390138626</v>
      </c>
      <c r="CW259">
        <v>5.128205195069313E-2</v>
      </c>
      <c r="CX259">
        <v>9.9865049123764038E-2</v>
      </c>
      <c r="CY259">
        <v>6.4777329564094543E-2</v>
      </c>
      <c r="CZ259">
        <v>7.0175439119338989E-2</v>
      </c>
      <c r="DA259">
        <v>0.10121457278728485</v>
      </c>
      <c r="DB259">
        <v>9.1767884790897369E-2</v>
      </c>
      <c r="DC259">
        <v>9.4466939568519592E-2</v>
      </c>
      <c r="DD259">
        <v>7.4224025011062622E-2</v>
      </c>
      <c r="DE259">
        <v>7.6923079788684845E-2</v>
      </c>
      <c r="DF259">
        <v>7.4224025011062622E-2</v>
      </c>
      <c r="DG259">
        <v>9.8515518009662628E-2</v>
      </c>
      <c r="DH259">
        <v>9.5816463232040405E-2</v>
      </c>
      <c r="DI259">
        <v>6.3427798449993134E-2</v>
      </c>
      <c r="DJ259">
        <v>8.5020244121551514E-2</v>
      </c>
      <c r="DK259">
        <v>0.10121457278728485</v>
      </c>
      <c r="DL259">
        <v>6.0728743672370911E-2</v>
      </c>
      <c r="DM259">
        <v>8.6369767785072327E-2</v>
      </c>
      <c r="DN259">
        <v>6.6126853227615356E-2</v>
      </c>
      <c r="DO259">
        <v>6.7476384341716766E-2</v>
      </c>
      <c r="DP259">
        <v>8.2321189343929291E-2</v>
      </c>
      <c r="DQ259">
        <v>7.8272603452205658E-2</v>
      </c>
      <c r="DR259">
        <v>6.0728743672370911E-2</v>
      </c>
      <c r="DS259">
        <v>8.7719298899173737E-2</v>
      </c>
      <c r="DT259">
        <v>7.4224025011062622E-2</v>
      </c>
      <c r="DU259">
        <v>6.3427798449993134E-2</v>
      </c>
      <c r="DV259">
        <v>7.5573548674583435E-2</v>
      </c>
      <c r="DW259">
        <v>6.7476384341716766E-2</v>
      </c>
      <c r="DX259">
        <v>6.6126853227615356E-2</v>
      </c>
      <c r="DY259">
        <v>6.3427798449993134E-2</v>
      </c>
      <c r="DZ259">
        <v>7.4224025011062622E-2</v>
      </c>
      <c r="EA259">
        <v>6.3427798449993134E-2</v>
      </c>
      <c r="EB259">
        <v>9.7165994346141815E-2</v>
      </c>
      <c r="EC259">
        <v>5.9379216283559799E-2</v>
      </c>
      <c r="ED259">
        <v>6.4777329564094543E-2</v>
      </c>
      <c r="EE259">
        <v>7.0175439119338989E-2</v>
      </c>
      <c r="EF259">
        <v>4.8582997173070908E-2</v>
      </c>
      <c r="EG259">
        <v>7.5573548674583435E-2</v>
      </c>
      <c r="EH259">
        <v>7.5573548674583435E-2</v>
      </c>
      <c r="EI259">
        <v>7.5573548674583435E-2</v>
      </c>
      <c r="EJ259">
        <v>6.7476384341716766E-2</v>
      </c>
      <c r="EK259">
        <v>7.2874493896961212E-2</v>
      </c>
      <c r="EL259">
        <v>6.2078271061182022E-2</v>
      </c>
      <c r="EM259">
        <v>6.7476384341716766E-2</v>
      </c>
      <c r="EN259">
        <v>6.6126853227615356E-2</v>
      </c>
      <c r="EO259">
        <v>0.10796221345663071</v>
      </c>
      <c r="EP259">
        <v>5.9379216283559799E-2</v>
      </c>
      <c r="EQ259">
        <v>6.4777329564094543E-2</v>
      </c>
      <c r="ER259">
        <v>6.0728743672370911E-2</v>
      </c>
      <c r="ES259">
        <v>6.4777329564094543E-2</v>
      </c>
      <c r="ET259">
        <v>5.6680161505937576E-2</v>
      </c>
      <c r="EU259">
        <v>7.5573548674583435E-2</v>
      </c>
      <c r="EV259">
        <v>5.8029688894748688E-2</v>
      </c>
      <c r="EW259">
        <v>0.12010796368122101</v>
      </c>
      <c r="EX259">
        <v>6.8825908005237579E-2</v>
      </c>
      <c r="EY259">
        <v>8.2321189343929291E-2</v>
      </c>
      <c r="EZ259">
        <v>9.3117408454418182E-2</v>
      </c>
      <c r="FA259">
        <v>7.1524962782859802E-2</v>
      </c>
      <c r="FB259">
        <v>6.7476384341716766E-2</v>
      </c>
      <c r="FC259">
        <v>9.5816463232040405E-2</v>
      </c>
      <c r="FD259">
        <v>8.5020244121551514E-2</v>
      </c>
      <c r="FE259">
        <v>5.2631579339504242E-2</v>
      </c>
      <c r="FF259">
        <v>6.7476384341716766E-2</v>
      </c>
      <c r="FG259">
        <v>7.4224025011062622E-2</v>
      </c>
      <c r="FH259">
        <v>6.6126853227615356E-2</v>
      </c>
      <c r="FI259">
        <v>5.2631579339504242E-2</v>
      </c>
      <c r="FJ259">
        <v>7.4224025011062622E-2</v>
      </c>
      <c r="FK259">
        <v>8.0971658229827881E-2</v>
      </c>
      <c r="FL259">
        <v>8.0971658229827881E-2</v>
      </c>
      <c r="FM259">
        <v>5.9379216283559799E-2</v>
      </c>
      <c r="FN259">
        <v>6.4777329564094543E-2</v>
      </c>
      <c r="FO259">
        <v>9.1767884790897369E-2</v>
      </c>
      <c r="FP259">
        <v>7.5573548674583435E-2</v>
      </c>
      <c r="FQ259">
        <v>7.4224025011062622E-2</v>
      </c>
      <c r="FR259">
        <v>0.13765181601047516</v>
      </c>
      <c r="FS259">
        <v>5.3981106728315353E-2</v>
      </c>
      <c r="FT259">
        <v>5.2631579339504242E-2</v>
      </c>
      <c r="FU259">
        <v>6.8825908005237579E-2</v>
      </c>
      <c r="FV259">
        <v>8.5020244121551514E-2</v>
      </c>
      <c r="FW259">
        <v>8.5020244121551514E-2</v>
      </c>
      <c r="FX259">
        <v>7.4224025011062622E-2</v>
      </c>
      <c r="FY259">
        <v>8.0971658229827881E-2</v>
      </c>
      <c r="FZ259">
        <v>7.0175439119338989E-2</v>
      </c>
      <c r="GA259">
        <v>8.906882256269455E-2</v>
      </c>
      <c r="GB259">
        <v>5.3981106728315353E-2</v>
      </c>
      <c r="GC259">
        <v>9.3117408454418182E-2</v>
      </c>
      <c r="GD259">
        <v>6.6126853227615356E-2</v>
      </c>
      <c r="GE259">
        <v>9.9865049123764038E-2</v>
      </c>
      <c r="GF259">
        <v>7.5573548674583435E-2</v>
      </c>
      <c r="GG259">
        <v>9.1767884790897369E-2</v>
      </c>
      <c r="GH259">
        <v>5.8029688894748688E-2</v>
      </c>
      <c r="GI259">
        <v>6.4777329564094543E-2</v>
      </c>
      <c r="GJ259">
        <v>7.8272603452205658E-2</v>
      </c>
      <c r="GK259">
        <v>6.8825908005237579E-2</v>
      </c>
      <c r="GL259">
        <v>8.5020244121551514E-2</v>
      </c>
      <c r="GM259">
        <v>7.2874493896961212E-2</v>
      </c>
      <c r="GN259">
        <v>6.0728743672370911E-2</v>
      </c>
      <c r="GO259">
        <v>5.9379216283559799E-2</v>
      </c>
      <c r="GP259">
        <v>8.906882256269455E-2</v>
      </c>
      <c r="GQ259">
        <v>6.2078271061182022E-2</v>
      </c>
      <c r="GR259">
        <v>6.8825908005237579E-2</v>
      </c>
      <c r="GS259">
        <v>7.9622134566307068E-2</v>
      </c>
      <c r="GT259">
        <v>4.9932524561882019E-2</v>
      </c>
      <c r="GU259">
        <v>7.8272603452205658E-2</v>
      </c>
      <c r="GV259">
        <v>5.9379216283559799E-2</v>
      </c>
      <c r="GW259">
        <v>7.2874493896961212E-2</v>
      </c>
      <c r="GX259">
        <v>7.0175439119338989E-2</v>
      </c>
      <c r="GY259">
        <v>6.2078271061182022E-2</v>
      </c>
      <c r="GZ259">
        <v>7.1524962782859802E-2</v>
      </c>
      <c r="HA259">
        <v>5.3981106728315353E-2</v>
      </c>
      <c r="HB259">
        <v>7.2874493896961212E-2</v>
      </c>
      <c r="HC259">
        <v>0.13225370645523071</v>
      </c>
      <c r="HD259">
        <v>5.6680161505937576E-2</v>
      </c>
      <c r="HE259">
        <v>8.7719298899173737E-2</v>
      </c>
      <c r="HF259">
        <v>6.3427798449993134E-2</v>
      </c>
      <c r="HG259">
        <v>0.14035087823867798</v>
      </c>
      <c r="HH259">
        <v>6.4777329564094543E-2</v>
      </c>
      <c r="HI259">
        <v>7.1524962782859802E-2</v>
      </c>
      <c r="HJ259">
        <v>8.6369767785072327E-2</v>
      </c>
      <c r="HK259">
        <v>9.1767884790897369E-2</v>
      </c>
      <c r="HL259">
        <v>5.3981106728315353E-2</v>
      </c>
      <c r="HM259">
        <v>7.4224025011062622E-2</v>
      </c>
      <c r="HN259">
        <v>8.7719298899173737E-2</v>
      </c>
      <c r="HO259">
        <v>7.2874493896961212E-2</v>
      </c>
      <c r="HP259">
        <v>6.3427798449993134E-2</v>
      </c>
      <c r="HQ259">
        <v>7.2874493896961212E-2</v>
      </c>
      <c r="HR259">
        <v>0.10526315867900848</v>
      </c>
      <c r="HS259">
        <v>7.2874493896961212E-2</v>
      </c>
      <c r="HT259">
        <v>7.9622134566307068E-2</v>
      </c>
      <c r="HU259">
        <v>5.3981106728315353E-2</v>
      </c>
      <c r="HV259">
        <v>8.0971658229827881E-2</v>
      </c>
      <c r="HW259">
        <v>7.8272603452205658E-2</v>
      </c>
      <c r="HX259">
        <v>6.6126853227615356E-2</v>
      </c>
      <c r="HY259">
        <v>6.2078271061182022E-2</v>
      </c>
      <c r="HZ259">
        <v>7.1524962782859802E-2</v>
      </c>
      <c r="IA259">
        <v>6.4777329564094543E-2</v>
      </c>
      <c r="IB259">
        <v>6.4777329564094543E-2</v>
      </c>
      <c r="IC259">
        <v>9.8515518009662628E-2</v>
      </c>
      <c r="ID259">
        <v>0.10796221345663071</v>
      </c>
      <c r="IE259">
        <v>6.3427798449993134E-2</v>
      </c>
      <c r="IF259">
        <v>8.5020244121551514E-2</v>
      </c>
      <c r="IG259">
        <v>6.0728743672370911E-2</v>
      </c>
      <c r="IH259">
        <v>0.1187584325671196</v>
      </c>
      <c r="II259">
        <v>4.8582997173070908E-2</v>
      </c>
      <c r="IJ259">
        <v>5.2631579339504242E-2</v>
      </c>
      <c r="IK259">
        <v>9.4466939568519592E-2</v>
      </c>
      <c r="IL259">
        <v>5.8029688894748688E-2</v>
      </c>
      <c r="IM259">
        <v>8.0971658229827881E-2</v>
      </c>
    </row>
    <row r="260" spans="4:260" x14ac:dyDescent="0.25">
      <c r="D260" s="41" t="str" cm="1">
        <f t="array" ref="D260">IF(H260="","",IF(AND(E260&lt;AVERAGE(E259,E261)*($L$19/100),$D$23:D259=""),H260,""))</f>
        <v/>
      </c>
      <c r="E260" s="78">
        <f t="shared" si="4"/>
        <v>3.1818239754237976E-3</v>
      </c>
      <c r="F260" s="79"/>
      <c r="H260">
        <v>238</v>
      </c>
      <c r="I260">
        <v>7.7231823975423802E-2</v>
      </c>
      <c r="K260">
        <v>8.461538702249527E-2</v>
      </c>
      <c r="L260">
        <v>5.3846154361963272E-2</v>
      </c>
      <c r="M260">
        <v>7.1794874966144562E-2</v>
      </c>
      <c r="N260">
        <v>7.4358977377414703E-2</v>
      </c>
      <c r="O260">
        <v>6.1538461595773697E-2</v>
      </c>
      <c r="P260">
        <v>8.7179489433765411E-2</v>
      </c>
      <c r="Q260">
        <v>8.8461540639400482E-2</v>
      </c>
      <c r="R260">
        <v>7.6923079788684845E-2</v>
      </c>
      <c r="S260">
        <v>9.1025643050670624E-2</v>
      </c>
      <c r="T260">
        <v>5.7692307978868484E-2</v>
      </c>
      <c r="U260">
        <v>9.8717950284481049E-2</v>
      </c>
      <c r="V260">
        <v>6.5384618937969208E-2</v>
      </c>
      <c r="W260">
        <v>0.1269230842590332</v>
      </c>
      <c r="X260">
        <v>9.1025643050670624E-2</v>
      </c>
      <c r="Y260">
        <v>9.8717950284481049E-2</v>
      </c>
      <c r="Z260">
        <v>8.5897438228130341E-2</v>
      </c>
      <c r="AA260">
        <v>8.2051284611225128E-2</v>
      </c>
      <c r="AB260">
        <v>8.7179489433765411E-2</v>
      </c>
      <c r="AC260">
        <v>7.6923079788684845E-2</v>
      </c>
      <c r="AD260">
        <v>8.7179489433765411E-2</v>
      </c>
      <c r="AE260">
        <v>0.1051282063126564</v>
      </c>
      <c r="AF260">
        <v>8.2051284611225128E-2</v>
      </c>
      <c r="AG260">
        <v>0.1269230842590332</v>
      </c>
      <c r="AH260">
        <v>0.10128205269575119</v>
      </c>
      <c r="AI260">
        <v>9.2307694256305695E-2</v>
      </c>
      <c r="AJ260">
        <v>7.5641028583049774E-2</v>
      </c>
      <c r="AK260">
        <v>8.3333335816860199E-2</v>
      </c>
      <c r="AL260">
        <v>5.8974359184503555E-2</v>
      </c>
      <c r="AM260">
        <v>0.10526315867900848</v>
      </c>
      <c r="AN260">
        <v>9.3117408454418182E-2</v>
      </c>
      <c r="AO260">
        <v>7.9622134566307068E-2</v>
      </c>
      <c r="AP260">
        <v>9.1767884790897369E-2</v>
      </c>
      <c r="AQ260">
        <v>9.0418353676795959E-2</v>
      </c>
      <c r="AR260">
        <v>8.0971658229827881E-2</v>
      </c>
      <c r="AS260">
        <v>7.2874493896961212E-2</v>
      </c>
      <c r="AT260">
        <v>4.5883942395448685E-2</v>
      </c>
      <c r="AU260">
        <v>6.3427798449993134E-2</v>
      </c>
      <c r="AV260">
        <v>7.0175439119338989E-2</v>
      </c>
      <c r="AW260">
        <v>7.9622134566307068E-2</v>
      </c>
      <c r="AX260">
        <v>5.8029688894748688E-2</v>
      </c>
      <c r="AY260">
        <v>5.6680161505937576E-2</v>
      </c>
      <c r="AZ260">
        <v>8.6369767785072327E-2</v>
      </c>
      <c r="BA260">
        <v>5.6680161505937576E-2</v>
      </c>
      <c r="BB260">
        <v>7.9622134566307068E-2</v>
      </c>
      <c r="BC260">
        <v>6.3427798449993134E-2</v>
      </c>
      <c r="BD260">
        <v>7.5573548674583435E-2</v>
      </c>
      <c r="BE260">
        <v>7.5573548674583435E-2</v>
      </c>
      <c r="BF260">
        <v>6.2078271061182022E-2</v>
      </c>
      <c r="BG260">
        <v>7.6923079788684845E-2</v>
      </c>
      <c r="BH260">
        <v>8.0971658229827881E-2</v>
      </c>
      <c r="BI260">
        <v>8.0971658229827881E-2</v>
      </c>
      <c r="BJ260">
        <v>6.2078271061182022E-2</v>
      </c>
      <c r="BK260">
        <v>0.11201079934835434</v>
      </c>
      <c r="BL260">
        <v>6.3427798449993134E-2</v>
      </c>
      <c r="BM260">
        <v>6.6126853227615356E-2</v>
      </c>
      <c r="BN260">
        <v>7.5573548674583435E-2</v>
      </c>
      <c r="BO260">
        <v>4.7233469784259796E-2</v>
      </c>
      <c r="BP260">
        <v>8.2321189343929291E-2</v>
      </c>
      <c r="BQ260">
        <v>7.6923079788684845E-2</v>
      </c>
      <c r="BR260">
        <v>5.6680161505937576E-2</v>
      </c>
      <c r="BS260">
        <v>8.0971658229827881E-2</v>
      </c>
      <c r="BT260">
        <v>6.2078271061182022E-2</v>
      </c>
      <c r="BU260">
        <v>7.6923079788684845E-2</v>
      </c>
      <c r="BV260">
        <v>5.2631579339504242E-2</v>
      </c>
      <c r="BW260">
        <v>8.3670713007450104E-2</v>
      </c>
      <c r="BX260">
        <v>7.8272603452205658E-2</v>
      </c>
      <c r="BY260">
        <v>8.6369767785072327E-2</v>
      </c>
      <c r="BZ260">
        <v>7.1524962782859802E-2</v>
      </c>
      <c r="CA260">
        <v>8.2321189343929291E-2</v>
      </c>
      <c r="CB260">
        <v>6.4777329564094543E-2</v>
      </c>
      <c r="CC260">
        <v>7.9622134566307068E-2</v>
      </c>
      <c r="CD260">
        <v>5.128205195069313E-2</v>
      </c>
      <c r="CE260">
        <v>5.8029688894748688E-2</v>
      </c>
      <c r="CF260">
        <v>5.128205195069313E-2</v>
      </c>
      <c r="CG260">
        <v>7.5573548674583435E-2</v>
      </c>
      <c r="CH260">
        <v>7.5573548674583435E-2</v>
      </c>
      <c r="CI260">
        <v>6.3427798449993134E-2</v>
      </c>
      <c r="CJ260">
        <v>5.9379216283559799E-2</v>
      </c>
      <c r="CK260">
        <v>7.6923079788684845E-2</v>
      </c>
      <c r="CL260">
        <v>8.3670713007450104E-2</v>
      </c>
      <c r="CM260">
        <v>6.6126853227615356E-2</v>
      </c>
      <c r="CN260">
        <v>9.4466939568519592E-2</v>
      </c>
      <c r="CO260">
        <v>6.6126853227615356E-2</v>
      </c>
      <c r="CP260">
        <v>4.9932524561882019E-2</v>
      </c>
      <c r="CQ260">
        <v>6.2078271061182022E-2</v>
      </c>
      <c r="CR260">
        <v>0.10391362756490707</v>
      </c>
      <c r="CS260">
        <v>0.10121457278728485</v>
      </c>
      <c r="CT260">
        <v>7.5573548674583435E-2</v>
      </c>
      <c r="CU260">
        <v>7.9622134566307068E-2</v>
      </c>
      <c r="CV260">
        <v>8.906882256269455E-2</v>
      </c>
      <c r="CW260">
        <v>7.8272603452205658E-2</v>
      </c>
      <c r="CX260">
        <v>7.8272603452205658E-2</v>
      </c>
      <c r="CY260">
        <v>8.2321189343929291E-2</v>
      </c>
      <c r="CZ260">
        <v>8.3670713007450104E-2</v>
      </c>
      <c r="DA260">
        <v>8.2321189343929291E-2</v>
      </c>
      <c r="DB260">
        <v>4.7233469784259796E-2</v>
      </c>
      <c r="DC260">
        <v>6.4777329564094543E-2</v>
      </c>
      <c r="DD260">
        <v>9.8515518009662628E-2</v>
      </c>
      <c r="DE260">
        <v>8.5020244121551514E-2</v>
      </c>
      <c r="DF260">
        <v>7.2874493896961212E-2</v>
      </c>
      <c r="DG260">
        <v>9.9865049123764038E-2</v>
      </c>
      <c r="DH260">
        <v>6.4777329564094543E-2</v>
      </c>
      <c r="DI260">
        <v>8.0971658229827881E-2</v>
      </c>
      <c r="DJ260">
        <v>7.5573548674583435E-2</v>
      </c>
      <c r="DK260">
        <v>7.9622134566307068E-2</v>
      </c>
      <c r="DL260">
        <v>5.8029688894748688E-2</v>
      </c>
      <c r="DM260">
        <v>8.2321189343929291E-2</v>
      </c>
      <c r="DN260">
        <v>6.0728743672370911E-2</v>
      </c>
      <c r="DO260">
        <v>6.4777329564094543E-2</v>
      </c>
      <c r="DP260">
        <v>8.3670713007450104E-2</v>
      </c>
      <c r="DQ260">
        <v>8.0971658229827881E-2</v>
      </c>
      <c r="DR260">
        <v>6.8825908005237579E-2</v>
      </c>
      <c r="DS260">
        <v>8.5020244121551514E-2</v>
      </c>
      <c r="DT260">
        <v>6.4777329564094543E-2</v>
      </c>
      <c r="DU260">
        <v>7.0175439119338989E-2</v>
      </c>
      <c r="DV260">
        <v>6.4777329564094543E-2</v>
      </c>
      <c r="DW260">
        <v>5.3981106728315353E-2</v>
      </c>
      <c r="DX260">
        <v>0.11605937778949738</v>
      </c>
      <c r="DY260">
        <v>6.0728743672370911E-2</v>
      </c>
      <c r="DZ260">
        <v>0.10121457278728485</v>
      </c>
      <c r="EA260">
        <v>7.0175439119338989E-2</v>
      </c>
      <c r="EB260">
        <v>0.10256410390138626</v>
      </c>
      <c r="EC260">
        <v>9.1767884790897369E-2</v>
      </c>
      <c r="ED260">
        <v>5.128205195069313E-2</v>
      </c>
      <c r="EE260">
        <v>9.4466939568519592E-2</v>
      </c>
      <c r="EF260">
        <v>5.3981106728315353E-2</v>
      </c>
      <c r="EG260">
        <v>0.10931174457073212</v>
      </c>
      <c r="EH260">
        <v>0.10391362756490707</v>
      </c>
      <c r="EI260">
        <v>7.9622134566307068E-2</v>
      </c>
      <c r="EJ260">
        <v>9.0418353676795959E-2</v>
      </c>
      <c r="EK260">
        <v>7.6923079788684845E-2</v>
      </c>
      <c r="EL260">
        <v>8.0971658229827881E-2</v>
      </c>
      <c r="EM260">
        <v>6.7476384341716766E-2</v>
      </c>
      <c r="EN260">
        <v>6.2078271061182022E-2</v>
      </c>
      <c r="EO260">
        <v>7.5573548674583435E-2</v>
      </c>
      <c r="EP260">
        <v>9.1767884790897369E-2</v>
      </c>
      <c r="EQ260">
        <v>8.6369767785072327E-2</v>
      </c>
      <c r="ER260">
        <v>7.5573548674583435E-2</v>
      </c>
      <c r="ES260">
        <v>0.11066126823425293</v>
      </c>
      <c r="ET260">
        <v>6.6126853227615356E-2</v>
      </c>
      <c r="EU260">
        <v>6.0728743672370911E-2</v>
      </c>
      <c r="EV260">
        <v>8.0971658229827881E-2</v>
      </c>
      <c r="EW260">
        <v>6.0728743672370911E-2</v>
      </c>
      <c r="EX260">
        <v>7.4224025011062622E-2</v>
      </c>
      <c r="EY260">
        <v>4.3184883892536163E-2</v>
      </c>
      <c r="EZ260">
        <v>8.906882256269455E-2</v>
      </c>
      <c r="FA260">
        <v>9.8515518009662628E-2</v>
      </c>
      <c r="FB260">
        <v>7.2874493896961212E-2</v>
      </c>
      <c r="FC260">
        <v>9.7165994346141815E-2</v>
      </c>
      <c r="FD260">
        <v>9.5816463232040405E-2</v>
      </c>
      <c r="FE260">
        <v>7.5573548674583435E-2</v>
      </c>
      <c r="FF260">
        <v>6.2078271061182022E-2</v>
      </c>
      <c r="FG260">
        <v>7.9622134566307068E-2</v>
      </c>
      <c r="FH260">
        <v>6.7476384341716766E-2</v>
      </c>
      <c r="FI260">
        <v>6.3427798449993134E-2</v>
      </c>
      <c r="FJ260">
        <v>7.5573548674583435E-2</v>
      </c>
      <c r="FK260">
        <v>7.2874493896961212E-2</v>
      </c>
      <c r="FL260">
        <v>5.5330634117126465E-2</v>
      </c>
      <c r="FM260">
        <v>6.3427798449993134E-2</v>
      </c>
      <c r="FN260">
        <v>8.906882256269455E-2</v>
      </c>
      <c r="FO260">
        <v>8.3670713007450104E-2</v>
      </c>
      <c r="FP260">
        <v>9.9865049123764038E-2</v>
      </c>
      <c r="FQ260">
        <v>6.7476384341716766E-2</v>
      </c>
      <c r="FR260">
        <v>6.3427798449993134E-2</v>
      </c>
      <c r="FS260">
        <v>6.0728743672370911E-2</v>
      </c>
      <c r="FT260">
        <v>7.5573548674583435E-2</v>
      </c>
      <c r="FU260">
        <v>7.4224025011062622E-2</v>
      </c>
      <c r="FV260">
        <v>0.10796221345663071</v>
      </c>
      <c r="FW260">
        <v>7.0175439119338989E-2</v>
      </c>
      <c r="FX260">
        <v>0.1187584325671196</v>
      </c>
      <c r="FY260">
        <v>0.12550607323646545</v>
      </c>
      <c r="FZ260">
        <v>6.7476384341716766E-2</v>
      </c>
      <c r="GA260">
        <v>6.3427798449993134E-2</v>
      </c>
      <c r="GB260">
        <v>8.5020244121551514E-2</v>
      </c>
      <c r="GC260">
        <v>8.0971658229827881E-2</v>
      </c>
      <c r="GD260">
        <v>6.6126853227615356E-2</v>
      </c>
      <c r="GE260">
        <v>0.1187584325671196</v>
      </c>
      <c r="GF260">
        <v>5.9379216283559799E-2</v>
      </c>
      <c r="GG260">
        <v>7.1524962782859802E-2</v>
      </c>
      <c r="GH260">
        <v>6.2078271061182022E-2</v>
      </c>
      <c r="GI260">
        <v>8.7719298899173737E-2</v>
      </c>
      <c r="GJ260">
        <v>6.0728743672370911E-2</v>
      </c>
      <c r="GK260">
        <v>6.4777329564094543E-2</v>
      </c>
      <c r="GL260">
        <v>7.5573548674583435E-2</v>
      </c>
      <c r="GM260">
        <v>7.0175439119338989E-2</v>
      </c>
      <c r="GN260">
        <v>7.1524962782859802E-2</v>
      </c>
      <c r="GO260">
        <v>7.4224025011062622E-2</v>
      </c>
      <c r="GP260">
        <v>6.4777329564094543E-2</v>
      </c>
      <c r="GQ260">
        <v>6.8825908005237579E-2</v>
      </c>
      <c r="GR260">
        <v>5.5330634117126465E-2</v>
      </c>
      <c r="GS260">
        <v>7.5573548674583435E-2</v>
      </c>
      <c r="GT260">
        <v>7.9622134566307068E-2</v>
      </c>
      <c r="GU260">
        <v>8.2321189343929291E-2</v>
      </c>
      <c r="GV260">
        <v>6.3427798449993134E-2</v>
      </c>
      <c r="GW260">
        <v>8.3670713007450104E-2</v>
      </c>
      <c r="GX260">
        <v>0.10256410390138626</v>
      </c>
      <c r="GY260">
        <v>7.2874493896961212E-2</v>
      </c>
      <c r="GZ260">
        <v>5.128205195069313E-2</v>
      </c>
      <c r="HA260">
        <v>0.1066126823425293</v>
      </c>
      <c r="HB260">
        <v>9.7165994346141815E-2</v>
      </c>
      <c r="HC260">
        <v>0.1066126823425293</v>
      </c>
      <c r="HD260">
        <v>6.3427798449993134E-2</v>
      </c>
      <c r="HE260">
        <v>8.7719298899173737E-2</v>
      </c>
      <c r="HF260">
        <v>7.5573548674583435E-2</v>
      </c>
      <c r="HG260">
        <v>9.5816463232040405E-2</v>
      </c>
      <c r="HH260">
        <v>7.4224025011062622E-2</v>
      </c>
      <c r="HI260">
        <v>7.5573548674583435E-2</v>
      </c>
      <c r="HJ260">
        <v>4.4534411281347275E-2</v>
      </c>
      <c r="HK260">
        <v>7.2874493896961212E-2</v>
      </c>
      <c r="HL260">
        <v>6.6126853227615356E-2</v>
      </c>
      <c r="HM260">
        <v>8.5020244121551514E-2</v>
      </c>
      <c r="HN260">
        <v>6.3427798449993134E-2</v>
      </c>
      <c r="HO260">
        <v>8.3670713007450104E-2</v>
      </c>
      <c r="HP260">
        <v>6.4777329564094543E-2</v>
      </c>
      <c r="HQ260">
        <v>7.1524962782859802E-2</v>
      </c>
      <c r="HR260">
        <v>7.8272603452205658E-2</v>
      </c>
      <c r="HS260">
        <v>5.5330634117126465E-2</v>
      </c>
      <c r="HT260">
        <v>9.5816463232040405E-2</v>
      </c>
      <c r="HU260">
        <v>7.0175439119338989E-2</v>
      </c>
      <c r="HV260">
        <v>6.6126853227615356E-2</v>
      </c>
      <c r="HW260">
        <v>7.8272603452205658E-2</v>
      </c>
      <c r="HX260">
        <v>9.0418353676795959E-2</v>
      </c>
      <c r="HY260">
        <v>8.2321189343929291E-2</v>
      </c>
      <c r="HZ260">
        <v>6.2078271061182022E-2</v>
      </c>
      <c r="IA260">
        <v>7.8272603452205658E-2</v>
      </c>
      <c r="IB260">
        <v>9.9865049123764038E-2</v>
      </c>
      <c r="IC260">
        <v>9.3117408454418182E-2</v>
      </c>
      <c r="ID260">
        <v>6.7476384341716766E-2</v>
      </c>
      <c r="IE260">
        <v>7.6923079788684845E-2</v>
      </c>
      <c r="IF260">
        <v>6.6126853227615356E-2</v>
      </c>
      <c r="IG260">
        <v>6.8825908005237579E-2</v>
      </c>
      <c r="IH260">
        <v>8.3670713007450104E-2</v>
      </c>
      <c r="II260">
        <v>5.8029688894748688E-2</v>
      </c>
      <c r="IJ260">
        <v>6.2078271061182022E-2</v>
      </c>
      <c r="IK260">
        <v>0.12010796368122101</v>
      </c>
      <c r="IL260">
        <v>6.3427798449993134E-2</v>
      </c>
      <c r="IM260">
        <v>9.3117408454418182E-2</v>
      </c>
      <c r="IN260">
        <v>5.6680161505937576E-2</v>
      </c>
    </row>
    <row r="261" spans="4:260" x14ac:dyDescent="0.25">
      <c r="D261" s="41" t="str" cm="1">
        <f t="array" ref="D261">IF(H261="","",IF(AND(E261&lt;AVERAGE(E260,E262)*($L$19/100),$D$23:D260=""),H261,""))</f>
        <v/>
      </c>
      <c r="E261" s="78">
        <f t="shared" si="4"/>
        <v>3.4452106208980732E-3</v>
      </c>
      <c r="F261" s="79"/>
      <c r="H261">
        <v>239</v>
      </c>
      <c r="I261">
        <v>7.7495210620898078E-2</v>
      </c>
      <c r="K261">
        <v>8.906882256269455E-2</v>
      </c>
      <c r="L261">
        <v>0.11336032301187515</v>
      </c>
      <c r="M261">
        <v>7.5573548674583435E-2</v>
      </c>
      <c r="N261">
        <v>5.5330634117126465E-2</v>
      </c>
      <c r="O261">
        <v>8.0971658229827881E-2</v>
      </c>
      <c r="P261">
        <v>9.0418353676795959E-2</v>
      </c>
      <c r="Q261">
        <v>6.8825908005237579E-2</v>
      </c>
      <c r="R261">
        <v>7.6923079788684845E-2</v>
      </c>
      <c r="S261">
        <v>5.8029688894748688E-2</v>
      </c>
      <c r="T261">
        <v>9.5816463232040405E-2</v>
      </c>
      <c r="U261">
        <v>9.9865049123764038E-2</v>
      </c>
      <c r="V261">
        <v>8.3670713007450104E-2</v>
      </c>
      <c r="W261">
        <v>9.1767884790897369E-2</v>
      </c>
      <c r="X261">
        <v>8.2321189343929291E-2</v>
      </c>
      <c r="Y261">
        <v>7.4224025011062622E-2</v>
      </c>
      <c r="Z261">
        <v>8.0971658229827881E-2</v>
      </c>
      <c r="AA261">
        <v>6.4777329564094543E-2</v>
      </c>
      <c r="AB261">
        <v>0.17004048824310303</v>
      </c>
      <c r="AC261">
        <v>7.6923079788684845E-2</v>
      </c>
      <c r="AD261">
        <v>9.3117408454418182E-2</v>
      </c>
      <c r="AE261">
        <v>8.6369767785072327E-2</v>
      </c>
      <c r="AF261">
        <v>0.11066126823425293</v>
      </c>
      <c r="AG261">
        <v>5.8029688894748688E-2</v>
      </c>
      <c r="AH261">
        <v>4.9932524561882019E-2</v>
      </c>
      <c r="AI261">
        <v>8.3670713007450104E-2</v>
      </c>
      <c r="AJ261">
        <v>8.3670713007450104E-2</v>
      </c>
      <c r="AK261">
        <v>5.8029688894748688E-2</v>
      </c>
      <c r="AL261">
        <v>7.2874493896961212E-2</v>
      </c>
      <c r="AM261">
        <v>5.8029688894748688E-2</v>
      </c>
      <c r="AN261">
        <v>0.10931174457073212</v>
      </c>
      <c r="AO261">
        <v>5.6680161505937576E-2</v>
      </c>
      <c r="AP261">
        <v>7.6923079788684845E-2</v>
      </c>
      <c r="AQ261">
        <v>7.4224025011062622E-2</v>
      </c>
      <c r="AR261">
        <v>7.6923079788684845E-2</v>
      </c>
      <c r="AS261">
        <v>6.0728743672370911E-2</v>
      </c>
      <c r="AT261">
        <v>7.4224025011062622E-2</v>
      </c>
      <c r="AU261">
        <v>7.8272603452205658E-2</v>
      </c>
      <c r="AV261">
        <v>7.9622134566307068E-2</v>
      </c>
      <c r="AW261">
        <v>5.6680161505937576E-2</v>
      </c>
      <c r="AX261">
        <v>9.0418353676795959E-2</v>
      </c>
      <c r="AY261">
        <v>5.3981106728315353E-2</v>
      </c>
      <c r="AZ261">
        <v>6.6126853227615356E-2</v>
      </c>
      <c r="BA261">
        <v>7.9622134566307068E-2</v>
      </c>
      <c r="BB261">
        <v>9.8515518009662628E-2</v>
      </c>
      <c r="BC261">
        <v>5.128205195069313E-2</v>
      </c>
      <c r="BD261">
        <v>4.7233469784259796E-2</v>
      </c>
      <c r="BE261">
        <v>8.6369767785072327E-2</v>
      </c>
      <c r="BF261">
        <v>5.3981106728315353E-2</v>
      </c>
      <c r="BG261">
        <v>8.0971658229827881E-2</v>
      </c>
      <c r="BH261">
        <v>6.3427798449993134E-2</v>
      </c>
      <c r="BI261">
        <v>0.12145748734474182</v>
      </c>
      <c r="BJ261">
        <v>7.8272603452205658E-2</v>
      </c>
      <c r="BK261">
        <v>8.906882256269455E-2</v>
      </c>
      <c r="BL261">
        <v>4.5883942395448685E-2</v>
      </c>
      <c r="BM261">
        <v>0.12685559689998627</v>
      </c>
      <c r="BN261">
        <v>4.8582997173070908E-2</v>
      </c>
      <c r="BO261">
        <v>5.9379216283559799E-2</v>
      </c>
      <c r="BP261">
        <v>7.8272603452205658E-2</v>
      </c>
      <c r="BQ261">
        <v>5.8029688894748688E-2</v>
      </c>
      <c r="BR261">
        <v>6.4777329564094543E-2</v>
      </c>
      <c r="BS261">
        <v>9.7165994346141815E-2</v>
      </c>
      <c r="BT261">
        <v>5.128205195069313E-2</v>
      </c>
      <c r="BU261">
        <v>9.3117408454418182E-2</v>
      </c>
      <c r="BV261">
        <v>9.7165994346141815E-2</v>
      </c>
      <c r="BW261">
        <v>7.6923079788684845E-2</v>
      </c>
      <c r="BX261">
        <v>0.13765181601047516</v>
      </c>
      <c r="BY261">
        <v>5.2631579339504242E-2</v>
      </c>
      <c r="BZ261">
        <v>6.4777329564094543E-2</v>
      </c>
      <c r="CA261">
        <v>7.2874493896961212E-2</v>
      </c>
      <c r="CB261">
        <v>6.4777329564094543E-2</v>
      </c>
      <c r="CC261">
        <v>8.2321189343929291E-2</v>
      </c>
      <c r="CD261">
        <v>7.2874493896961212E-2</v>
      </c>
      <c r="CE261">
        <v>7.8272603452205658E-2</v>
      </c>
      <c r="CF261">
        <v>8.7719298899173737E-2</v>
      </c>
      <c r="CG261">
        <v>7.5573548674583435E-2</v>
      </c>
      <c r="CH261">
        <v>7.9622134566307068E-2</v>
      </c>
      <c r="CI261">
        <v>7.1524962782859802E-2</v>
      </c>
      <c r="CJ261">
        <v>8.6369767785072327E-2</v>
      </c>
      <c r="CK261">
        <v>7.0175439119338989E-2</v>
      </c>
      <c r="CL261">
        <v>9.9865049123764038E-2</v>
      </c>
      <c r="CM261">
        <v>7.0175439119338989E-2</v>
      </c>
      <c r="CN261">
        <v>7.2874493896961212E-2</v>
      </c>
      <c r="CO261">
        <v>5.9379216283559799E-2</v>
      </c>
      <c r="CP261">
        <v>7.8272603452205658E-2</v>
      </c>
      <c r="CQ261">
        <v>7.0175439119338989E-2</v>
      </c>
      <c r="CR261">
        <v>8.7719298899173737E-2</v>
      </c>
      <c r="CS261">
        <v>6.8825908005237579E-2</v>
      </c>
      <c r="CT261">
        <v>9.3117408454418182E-2</v>
      </c>
      <c r="CU261">
        <v>5.6680161505937576E-2</v>
      </c>
      <c r="CV261">
        <v>8.3670713007450104E-2</v>
      </c>
      <c r="CW261">
        <v>4.3184883892536163E-2</v>
      </c>
      <c r="CX261">
        <v>7.2874493896961212E-2</v>
      </c>
      <c r="CY261">
        <v>8.5020244121551514E-2</v>
      </c>
      <c r="CZ261">
        <v>9.7165994346141815E-2</v>
      </c>
      <c r="DA261">
        <v>0.1187584325671196</v>
      </c>
      <c r="DB261">
        <v>5.9379216283559799E-2</v>
      </c>
      <c r="DC261">
        <v>7.8272603452205658E-2</v>
      </c>
      <c r="DD261">
        <v>9.1767884790897369E-2</v>
      </c>
      <c r="DE261">
        <v>6.4777329564094543E-2</v>
      </c>
      <c r="DF261">
        <v>6.0728743672370911E-2</v>
      </c>
      <c r="DG261">
        <v>6.6126853227615356E-2</v>
      </c>
      <c r="DH261">
        <v>6.2078271061182022E-2</v>
      </c>
      <c r="DI261">
        <v>9.5816463232040405E-2</v>
      </c>
      <c r="DJ261">
        <v>4.9932524561882019E-2</v>
      </c>
      <c r="DK261">
        <v>9.1767884790897369E-2</v>
      </c>
      <c r="DL261">
        <v>6.0728743672370911E-2</v>
      </c>
      <c r="DM261">
        <v>9.4466939568519592E-2</v>
      </c>
      <c r="DN261">
        <v>9.3117408454418182E-2</v>
      </c>
      <c r="DO261">
        <v>5.6680161505937576E-2</v>
      </c>
      <c r="DP261">
        <v>7.5573548674583435E-2</v>
      </c>
      <c r="DQ261">
        <v>6.8825908005237579E-2</v>
      </c>
      <c r="DR261">
        <v>6.2078271061182022E-2</v>
      </c>
      <c r="DS261">
        <v>9.5816463232040405E-2</v>
      </c>
      <c r="DT261">
        <v>0.10796221345663071</v>
      </c>
      <c r="DU261">
        <v>6.7476384341716766E-2</v>
      </c>
      <c r="DV261">
        <v>9.1767884790897369E-2</v>
      </c>
      <c r="DW261">
        <v>0.1066126823425293</v>
      </c>
      <c r="DX261">
        <v>7.8272603452205658E-2</v>
      </c>
      <c r="DY261">
        <v>6.3427798449993134E-2</v>
      </c>
      <c r="DZ261">
        <v>6.6126853227615356E-2</v>
      </c>
      <c r="EA261">
        <v>7.9622134566307068E-2</v>
      </c>
      <c r="EB261">
        <v>6.8825908005237579E-2</v>
      </c>
      <c r="EC261">
        <v>5.8029688894748688E-2</v>
      </c>
      <c r="ED261">
        <v>9.3117408454418182E-2</v>
      </c>
      <c r="EE261">
        <v>8.2321189343929291E-2</v>
      </c>
      <c r="EF261">
        <v>7.9622134566307068E-2</v>
      </c>
      <c r="EG261">
        <v>6.6126853227615356E-2</v>
      </c>
      <c r="EH261">
        <v>6.7476384341716766E-2</v>
      </c>
      <c r="EI261">
        <v>6.7476384341716766E-2</v>
      </c>
      <c r="EJ261">
        <v>7.1524962782859802E-2</v>
      </c>
      <c r="EK261">
        <v>9.8515518009662628E-2</v>
      </c>
      <c r="EL261">
        <v>9.4466939568519592E-2</v>
      </c>
      <c r="EM261">
        <v>6.7476384341716766E-2</v>
      </c>
      <c r="EN261">
        <v>6.8825908005237579E-2</v>
      </c>
      <c r="EO261">
        <v>7.0175439119338989E-2</v>
      </c>
      <c r="EP261">
        <v>7.0175439119338989E-2</v>
      </c>
      <c r="EQ261">
        <v>6.4777329564094543E-2</v>
      </c>
      <c r="ER261">
        <v>6.0728743672370911E-2</v>
      </c>
      <c r="ES261">
        <v>7.5573548674583435E-2</v>
      </c>
      <c r="ET261">
        <v>8.0971658229827881E-2</v>
      </c>
      <c r="EU261">
        <v>0.10796221345663071</v>
      </c>
      <c r="EV261">
        <v>7.4224025011062622E-2</v>
      </c>
      <c r="EW261">
        <v>9.7165994346141815E-2</v>
      </c>
      <c r="EX261">
        <v>7.6923079788684845E-2</v>
      </c>
      <c r="EY261">
        <v>6.0728743672370911E-2</v>
      </c>
      <c r="EZ261">
        <v>7.1524962782859802E-2</v>
      </c>
      <c r="FA261">
        <v>7.6923079788684845E-2</v>
      </c>
      <c r="FB261">
        <v>6.4777329564094543E-2</v>
      </c>
      <c r="FC261">
        <v>7.9622134566307068E-2</v>
      </c>
      <c r="FD261">
        <v>7.5573548674583435E-2</v>
      </c>
      <c r="FE261">
        <v>7.5573548674583435E-2</v>
      </c>
      <c r="FF261">
        <v>7.2874493896961212E-2</v>
      </c>
      <c r="FG261">
        <v>0.10526315867900848</v>
      </c>
      <c r="FH261">
        <v>6.2078271061182022E-2</v>
      </c>
      <c r="FI261">
        <v>6.7476384341716766E-2</v>
      </c>
      <c r="FJ261">
        <v>0.10526315867900848</v>
      </c>
      <c r="FK261">
        <v>7.2874493896961212E-2</v>
      </c>
      <c r="FL261">
        <v>0.13900135457515717</v>
      </c>
      <c r="FM261">
        <v>7.4224025011062622E-2</v>
      </c>
      <c r="FN261">
        <v>7.9622134566307068E-2</v>
      </c>
      <c r="FO261">
        <v>7.4224025011062622E-2</v>
      </c>
      <c r="FP261">
        <v>4.9932524561882019E-2</v>
      </c>
      <c r="FQ261">
        <v>7.1524962782859802E-2</v>
      </c>
      <c r="FR261">
        <v>6.4777329564094543E-2</v>
      </c>
      <c r="FS261">
        <v>9.5816463232040405E-2</v>
      </c>
      <c r="FT261">
        <v>5.128205195069313E-2</v>
      </c>
      <c r="FU261">
        <v>7.9622134566307068E-2</v>
      </c>
      <c r="FV261">
        <v>9.3117408454418182E-2</v>
      </c>
      <c r="FW261">
        <v>7.0175439119338989E-2</v>
      </c>
      <c r="FX261">
        <v>9.4466939568519592E-2</v>
      </c>
      <c r="FY261">
        <v>5.8029688894748688E-2</v>
      </c>
      <c r="FZ261">
        <v>6.6126853227615356E-2</v>
      </c>
      <c r="GA261">
        <v>8.0971658229827881E-2</v>
      </c>
      <c r="GB261">
        <v>7.9622134566307068E-2</v>
      </c>
      <c r="GC261">
        <v>5.2631579339504242E-2</v>
      </c>
      <c r="GD261">
        <v>6.0728743672370911E-2</v>
      </c>
      <c r="GE261">
        <v>0.10391362756490707</v>
      </c>
      <c r="GF261">
        <v>6.4777329564094543E-2</v>
      </c>
      <c r="GG261">
        <v>9.5816463232040405E-2</v>
      </c>
      <c r="GH261">
        <v>0.1066126823425293</v>
      </c>
      <c r="GI261">
        <v>6.7476384341716766E-2</v>
      </c>
      <c r="GJ261">
        <v>9.5816463232040405E-2</v>
      </c>
      <c r="GK261">
        <v>7.6923079788684845E-2</v>
      </c>
      <c r="GL261">
        <v>9.5816463232040405E-2</v>
      </c>
      <c r="GM261">
        <v>5.6680161505937576E-2</v>
      </c>
      <c r="GN261">
        <v>7.1524962782859802E-2</v>
      </c>
      <c r="GO261">
        <v>9.8515518009662628E-2</v>
      </c>
      <c r="GP261">
        <v>7.5573548674583435E-2</v>
      </c>
      <c r="GQ261">
        <v>0.1066126823425293</v>
      </c>
      <c r="GR261">
        <v>6.0728743672370911E-2</v>
      </c>
      <c r="GS261">
        <v>9.0418353676795959E-2</v>
      </c>
      <c r="GT261">
        <v>7.8272603452205658E-2</v>
      </c>
      <c r="GU261">
        <v>7.4224025011062622E-2</v>
      </c>
      <c r="GV261">
        <v>6.0728743672370911E-2</v>
      </c>
      <c r="GW261">
        <v>8.3670713007450104E-2</v>
      </c>
      <c r="GX261">
        <v>7.2874493896961212E-2</v>
      </c>
      <c r="GY261">
        <v>8.906882256269455E-2</v>
      </c>
      <c r="GZ261">
        <v>6.0728743672370911E-2</v>
      </c>
      <c r="HA261">
        <v>6.4777329564094543E-2</v>
      </c>
      <c r="HB261">
        <v>6.6126853227615356E-2</v>
      </c>
      <c r="HC261">
        <v>8.906882256269455E-2</v>
      </c>
      <c r="HD261">
        <v>4.4534411281347275E-2</v>
      </c>
      <c r="HE261">
        <v>9.0418353676795959E-2</v>
      </c>
      <c r="HF261">
        <v>7.4224025011062622E-2</v>
      </c>
      <c r="HG261">
        <v>6.4777329564094543E-2</v>
      </c>
      <c r="HH261">
        <v>6.6126853227615356E-2</v>
      </c>
      <c r="HI261">
        <v>6.4777329564094543E-2</v>
      </c>
      <c r="HJ261">
        <v>5.9379216283559799E-2</v>
      </c>
      <c r="HK261">
        <v>5.6680161505937576E-2</v>
      </c>
      <c r="HL261">
        <v>8.6369767785072327E-2</v>
      </c>
      <c r="HM261">
        <v>7.8272603452205658E-2</v>
      </c>
      <c r="HN261">
        <v>7.1524962782859802E-2</v>
      </c>
      <c r="HO261">
        <v>7.2874493896961212E-2</v>
      </c>
      <c r="HP261">
        <v>6.4777329564094543E-2</v>
      </c>
      <c r="HQ261">
        <v>7.9622134566307068E-2</v>
      </c>
      <c r="HR261">
        <v>7.9622134566307068E-2</v>
      </c>
      <c r="HS261">
        <v>6.0728743672370911E-2</v>
      </c>
      <c r="HT261">
        <v>8.6369767785072327E-2</v>
      </c>
      <c r="HU261">
        <v>6.7476384341716766E-2</v>
      </c>
      <c r="HV261">
        <v>9.0418353676795959E-2</v>
      </c>
      <c r="HW261">
        <v>9.1767884790897369E-2</v>
      </c>
      <c r="HX261">
        <v>5.9379216283559799E-2</v>
      </c>
      <c r="HY261">
        <v>8.7719298899173737E-2</v>
      </c>
      <c r="HZ261">
        <v>0.12415654212236404</v>
      </c>
      <c r="IA261">
        <v>9.3117408454418182E-2</v>
      </c>
      <c r="IB261">
        <v>7.6923079788684845E-2</v>
      </c>
      <c r="IC261">
        <v>9.8515518009662628E-2</v>
      </c>
      <c r="ID261">
        <v>5.5330634117126465E-2</v>
      </c>
      <c r="IE261">
        <v>8.392602950334549E-2</v>
      </c>
      <c r="IF261">
        <v>8.1081077456474304E-2</v>
      </c>
      <c r="IG261">
        <v>6.543385237455368E-2</v>
      </c>
      <c r="IH261">
        <v>9.1038405895233154E-2</v>
      </c>
      <c r="II261">
        <v>7.6813653111457825E-2</v>
      </c>
      <c r="IJ261">
        <v>6.970127671957016E-2</v>
      </c>
      <c r="IK261">
        <v>8.2503557205200195E-2</v>
      </c>
      <c r="IL261">
        <v>6.6856332123279572E-2</v>
      </c>
      <c r="IM261">
        <v>7.8236132860183716E-2</v>
      </c>
      <c r="IN261">
        <v>9.388335794210434E-2</v>
      </c>
      <c r="IO261">
        <v>6.1166428029537201E-2</v>
      </c>
    </row>
    <row r="262" spans="4:260" x14ac:dyDescent="0.25">
      <c r="D262" s="41" t="str" cm="1">
        <f t="array" ref="D262">IF(H262="","",IF(AND(E262&lt;AVERAGE(E261,E263)*($L$19/100),$D$23:D261=""),H262,""))</f>
        <v/>
      </c>
      <c r="E262" s="78">
        <f t="shared" si="4"/>
        <v>3.3224635286877441E-3</v>
      </c>
      <c r="F262" s="79"/>
      <c r="H262">
        <v>240</v>
      </c>
      <c r="I262">
        <v>7.7372463528687749E-2</v>
      </c>
      <c r="K262">
        <v>7.0175439119338989E-2</v>
      </c>
      <c r="L262">
        <v>6.4777329564094543E-2</v>
      </c>
      <c r="M262">
        <v>6.2078271061182022E-2</v>
      </c>
      <c r="N262">
        <v>7.0175439119338989E-2</v>
      </c>
      <c r="O262">
        <v>6.6126853227615356E-2</v>
      </c>
      <c r="P262">
        <v>9.0418353676795959E-2</v>
      </c>
      <c r="Q262">
        <v>8.7719298899173737E-2</v>
      </c>
      <c r="R262">
        <v>6.4777329564094543E-2</v>
      </c>
      <c r="S262">
        <v>6.7476384341716766E-2</v>
      </c>
      <c r="T262">
        <v>6.3427798449993134E-2</v>
      </c>
      <c r="U262">
        <v>8.2321189343929291E-2</v>
      </c>
      <c r="V262">
        <v>8.2321189343929291E-2</v>
      </c>
      <c r="W262">
        <v>7.9622134566307068E-2</v>
      </c>
      <c r="X262">
        <v>8.0971658229827881E-2</v>
      </c>
      <c r="Y262">
        <v>7.0175439119338989E-2</v>
      </c>
      <c r="Z262">
        <v>8.906882256269455E-2</v>
      </c>
      <c r="AA262">
        <v>6.6126853227615356E-2</v>
      </c>
      <c r="AB262">
        <v>6.8825908005237579E-2</v>
      </c>
      <c r="AC262">
        <v>6.4777329564094543E-2</v>
      </c>
      <c r="AD262">
        <v>7.0175439119338989E-2</v>
      </c>
      <c r="AE262">
        <v>6.7476384341716766E-2</v>
      </c>
      <c r="AF262">
        <v>8.0971658229827881E-2</v>
      </c>
      <c r="AG262">
        <v>6.4777329564094543E-2</v>
      </c>
      <c r="AH262">
        <v>6.2078271061182022E-2</v>
      </c>
      <c r="AI262">
        <v>8.5020244121551514E-2</v>
      </c>
      <c r="AJ262">
        <v>8.3670713007450104E-2</v>
      </c>
      <c r="AK262">
        <v>9.3117408454418182E-2</v>
      </c>
      <c r="AL262">
        <v>6.0728743672370911E-2</v>
      </c>
      <c r="AM262">
        <v>6.6126853227615356E-2</v>
      </c>
      <c r="AN262">
        <v>0.10931174457073212</v>
      </c>
      <c r="AO262">
        <v>7.8272603452205658E-2</v>
      </c>
      <c r="AP262">
        <v>5.2631579339504242E-2</v>
      </c>
      <c r="AQ262">
        <v>7.4224025011062622E-2</v>
      </c>
      <c r="AR262">
        <v>5.6680161505937576E-2</v>
      </c>
      <c r="AS262">
        <v>6.7476384341716766E-2</v>
      </c>
      <c r="AT262">
        <v>9.1767884790897369E-2</v>
      </c>
      <c r="AU262">
        <v>7.9622134566307068E-2</v>
      </c>
      <c r="AV262">
        <v>7.1524962782859802E-2</v>
      </c>
      <c r="AW262">
        <v>8.906882256269455E-2</v>
      </c>
      <c r="AX262">
        <v>6.8825908005237579E-2</v>
      </c>
      <c r="AY262">
        <v>0.11066126823425293</v>
      </c>
      <c r="AZ262">
        <v>6.0728743672370911E-2</v>
      </c>
      <c r="BA262">
        <v>5.8029688894748688E-2</v>
      </c>
      <c r="BB262">
        <v>0.10931174457073212</v>
      </c>
      <c r="BC262">
        <v>7.8272603452205658E-2</v>
      </c>
      <c r="BD262">
        <v>7.6923079788684845E-2</v>
      </c>
      <c r="BE262">
        <v>9.1767884790897369E-2</v>
      </c>
      <c r="BF262">
        <v>7.6923079788684845E-2</v>
      </c>
      <c r="BG262">
        <v>6.6126853227615356E-2</v>
      </c>
      <c r="BH262">
        <v>8.7719298899173737E-2</v>
      </c>
      <c r="BI262">
        <v>4.9932524561882019E-2</v>
      </c>
      <c r="BJ262">
        <v>5.6680161505937576E-2</v>
      </c>
      <c r="BK262">
        <v>6.6126853227615356E-2</v>
      </c>
      <c r="BL262">
        <v>6.3427798449993134E-2</v>
      </c>
      <c r="BM262">
        <v>7.6923079788684845E-2</v>
      </c>
      <c r="BN262">
        <v>6.7476384341716766E-2</v>
      </c>
      <c r="BO262">
        <v>6.4777329564094543E-2</v>
      </c>
      <c r="BP262">
        <v>7.2874493896961212E-2</v>
      </c>
      <c r="BQ262">
        <v>0.11066126823425293</v>
      </c>
      <c r="BR262">
        <v>7.1524962782859802E-2</v>
      </c>
      <c r="BS262">
        <v>7.1524962782859802E-2</v>
      </c>
      <c r="BT262">
        <v>7.8272603452205658E-2</v>
      </c>
      <c r="BU262">
        <v>6.2078271061182022E-2</v>
      </c>
      <c r="BV262">
        <v>9.7165994346141815E-2</v>
      </c>
      <c r="BW262">
        <v>6.7476384341716766E-2</v>
      </c>
      <c r="BX262">
        <v>6.8825908005237579E-2</v>
      </c>
      <c r="BY262">
        <v>7.8272603452205658E-2</v>
      </c>
      <c r="BZ262">
        <v>7.6923079788684845E-2</v>
      </c>
      <c r="CA262">
        <v>5.8029688894748688E-2</v>
      </c>
      <c r="CB262">
        <v>9.0418353676795959E-2</v>
      </c>
      <c r="CC262">
        <v>5.3981106728315353E-2</v>
      </c>
      <c r="CD262">
        <v>9.0418353676795959E-2</v>
      </c>
      <c r="CE262">
        <v>5.3981106728315353E-2</v>
      </c>
      <c r="CF262">
        <v>9.7165994346141815E-2</v>
      </c>
      <c r="CG262">
        <v>6.6126853227615356E-2</v>
      </c>
      <c r="CH262">
        <v>7.9622134566307068E-2</v>
      </c>
      <c r="CI262">
        <v>8.7719298899173737E-2</v>
      </c>
      <c r="CJ262">
        <v>6.6126853227615356E-2</v>
      </c>
      <c r="CK262">
        <v>7.8272603452205658E-2</v>
      </c>
      <c r="CL262">
        <v>7.5573548674583435E-2</v>
      </c>
      <c r="CM262">
        <v>8.5020244121551514E-2</v>
      </c>
      <c r="CN262">
        <v>9.4466939568519592E-2</v>
      </c>
      <c r="CO262">
        <v>6.0728743672370911E-2</v>
      </c>
      <c r="CP262">
        <v>7.8272603452205658E-2</v>
      </c>
      <c r="CQ262">
        <v>9.1767884790897369E-2</v>
      </c>
      <c r="CR262">
        <v>7.5573548674583435E-2</v>
      </c>
      <c r="CS262">
        <v>8.5020244121551514E-2</v>
      </c>
      <c r="CT262">
        <v>6.4777329564094543E-2</v>
      </c>
      <c r="CU262">
        <v>9.7165994346141815E-2</v>
      </c>
      <c r="CV262">
        <v>8.0971658229827881E-2</v>
      </c>
      <c r="CW262">
        <v>7.2874493896961212E-2</v>
      </c>
      <c r="CX262">
        <v>7.9622134566307068E-2</v>
      </c>
      <c r="CY262">
        <v>9.7165994346141815E-2</v>
      </c>
      <c r="CZ262">
        <v>6.4777329564094543E-2</v>
      </c>
      <c r="DA262">
        <v>6.7476384341716766E-2</v>
      </c>
      <c r="DB262">
        <v>0.11740890890359879</v>
      </c>
      <c r="DC262">
        <v>5.2631579339504242E-2</v>
      </c>
      <c r="DD262">
        <v>7.6923079788684845E-2</v>
      </c>
      <c r="DE262">
        <v>7.5573548674583435E-2</v>
      </c>
      <c r="DF262">
        <v>7.8272603452205658E-2</v>
      </c>
      <c r="DG262">
        <v>6.4777329564094543E-2</v>
      </c>
      <c r="DH262">
        <v>9.8515518009662628E-2</v>
      </c>
      <c r="DI262">
        <v>8.3670713007450104E-2</v>
      </c>
      <c r="DJ262">
        <v>0.10796221345663071</v>
      </c>
      <c r="DK262">
        <v>4.9932524561882019E-2</v>
      </c>
      <c r="DL262">
        <v>5.128205195069313E-2</v>
      </c>
      <c r="DM262">
        <v>8.5020244121551514E-2</v>
      </c>
      <c r="DN262">
        <v>9.5816463232040405E-2</v>
      </c>
      <c r="DO262">
        <v>9.3117408454418182E-2</v>
      </c>
      <c r="DP262">
        <v>0.13765181601047516</v>
      </c>
      <c r="DQ262">
        <v>7.4224025011062622E-2</v>
      </c>
      <c r="DR262">
        <v>5.5330634117126465E-2</v>
      </c>
      <c r="DS262">
        <v>7.5573548674583435E-2</v>
      </c>
      <c r="DT262">
        <v>7.9622134566307068E-2</v>
      </c>
      <c r="DU262">
        <v>7.0175439119338989E-2</v>
      </c>
      <c r="DV262">
        <v>7.1524962782859802E-2</v>
      </c>
      <c r="DW262">
        <v>9.7165994346141815E-2</v>
      </c>
      <c r="DX262">
        <v>0.10526315867900848</v>
      </c>
      <c r="DY262">
        <v>8.7719298899173737E-2</v>
      </c>
      <c r="DZ262">
        <v>6.2078271061182022E-2</v>
      </c>
      <c r="EA262">
        <v>5.5330634117126465E-2</v>
      </c>
      <c r="EB262">
        <v>8.3670713007450104E-2</v>
      </c>
      <c r="EC262">
        <v>6.3427798449993134E-2</v>
      </c>
      <c r="ED262">
        <v>5.5330634117126465E-2</v>
      </c>
      <c r="EE262">
        <v>8.0971658229827881E-2</v>
      </c>
      <c r="EF262">
        <v>7.2874493896961212E-2</v>
      </c>
      <c r="EG262">
        <v>8.3670713007450104E-2</v>
      </c>
      <c r="EH262">
        <v>5.8029688894748688E-2</v>
      </c>
      <c r="EI262">
        <v>7.4224025011062622E-2</v>
      </c>
      <c r="EJ262">
        <v>6.8825908005237579E-2</v>
      </c>
      <c r="EK262">
        <v>7.8272603452205658E-2</v>
      </c>
      <c r="EL262">
        <v>8.906882256269455E-2</v>
      </c>
      <c r="EM262">
        <v>6.7476384341716766E-2</v>
      </c>
      <c r="EN262">
        <v>7.6923079788684845E-2</v>
      </c>
      <c r="EO262">
        <v>7.2874493896961212E-2</v>
      </c>
      <c r="EP262">
        <v>9.1767884790897369E-2</v>
      </c>
      <c r="EQ262">
        <v>7.6923079788684845E-2</v>
      </c>
      <c r="ER262">
        <v>6.8825908005237579E-2</v>
      </c>
      <c r="ES262">
        <v>9.7165994346141815E-2</v>
      </c>
      <c r="ET262">
        <v>9.8515518009662628E-2</v>
      </c>
      <c r="EU262">
        <v>9.5816463232040405E-2</v>
      </c>
      <c r="EV262">
        <v>6.0728743672370911E-2</v>
      </c>
      <c r="EW262">
        <v>9.3117408454418182E-2</v>
      </c>
      <c r="EX262">
        <v>7.2874493896961212E-2</v>
      </c>
      <c r="EY262">
        <v>6.2078271061182022E-2</v>
      </c>
      <c r="EZ262">
        <v>7.0175439119338989E-2</v>
      </c>
      <c r="FA262">
        <v>7.8272603452205658E-2</v>
      </c>
      <c r="FB262">
        <v>6.7476384341716766E-2</v>
      </c>
      <c r="FC262">
        <v>7.8272603452205658E-2</v>
      </c>
      <c r="FD262">
        <v>6.2078271061182022E-2</v>
      </c>
      <c r="FE262">
        <v>9.0418353676795959E-2</v>
      </c>
      <c r="FF262">
        <v>8.5020244121551514E-2</v>
      </c>
      <c r="FG262">
        <v>7.6923079788684845E-2</v>
      </c>
      <c r="FH262">
        <v>9.3117408454418182E-2</v>
      </c>
      <c r="FI262">
        <v>7.8272603452205658E-2</v>
      </c>
      <c r="FJ262">
        <v>6.6126853227615356E-2</v>
      </c>
      <c r="FK262">
        <v>8.3670713007450104E-2</v>
      </c>
      <c r="FL262">
        <v>0.10256410390138626</v>
      </c>
      <c r="FM262">
        <v>7.9622134566307068E-2</v>
      </c>
      <c r="FN262">
        <v>7.9622134566307068E-2</v>
      </c>
      <c r="FO262">
        <v>7.9622134566307068E-2</v>
      </c>
      <c r="FP262">
        <v>7.8272603452205658E-2</v>
      </c>
      <c r="FQ262">
        <v>7.0175439119338989E-2</v>
      </c>
      <c r="FR262">
        <v>7.8272603452205658E-2</v>
      </c>
      <c r="FS262">
        <v>6.2078271061182022E-2</v>
      </c>
      <c r="FT262">
        <v>0.11201079934835434</v>
      </c>
      <c r="FU262">
        <v>6.0728743672370911E-2</v>
      </c>
      <c r="FV262">
        <v>7.4224025011062622E-2</v>
      </c>
      <c r="FW262">
        <v>6.7476384341716766E-2</v>
      </c>
      <c r="FX262">
        <v>5.3981106728315353E-2</v>
      </c>
      <c r="FY262">
        <v>9.8515518009662628E-2</v>
      </c>
      <c r="FZ262">
        <v>5.8029688894748688E-2</v>
      </c>
      <c r="GA262">
        <v>9.7165994346141815E-2</v>
      </c>
      <c r="GB262">
        <v>6.6126853227615356E-2</v>
      </c>
      <c r="GC262">
        <v>7.4224025011062622E-2</v>
      </c>
      <c r="GD262">
        <v>8.906882256269455E-2</v>
      </c>
      <c r="GE262">
        <v>7.5573548674583435E-2</v>
      </c>
      <c r="GF262">
        <v>6.8825908005237579E-2</v>
      </c>
      <c r="GG262">
        <v>7.0175439119338989E-2</v>
      </c>
      <c r="GH262">
        <v>7.0175439119338989E-2</v>
      </c>
      <c r="GI262">
        <v>5.9379216283559799E-2</v>
      </c>
      <c r="GJ262">
        <v>5.8029688894748688E-2</v>
      </c>
      <c r="GK262">
        <v>0.10256410390138626</v>
      </c>
      <c r="GL262">
        <v>7.2874493896961212E-2</v>
      </c>
      <c r="GM262">
        <v>6.8825908005237579E-2</v>
      </c>
      <c r="GN262">
        <v>8.7719298899173737E-2</v>
      </c>
      <c r="GO262">
        <v>8.906882256269455E-2</v>
      </c>
      <c r="GP262">
        <v>6.0728743672370911E-2</v>
      </c>
      <c r="GQ262">
        <v>5.6680161505937576E-2</v>
      </c>
      <c r="GR262">
        <v>7.1524962782859802E-2</v>
      </c>
      <c r="GS262">
        <v>7.6813653111457825E-2</v>
      </c>
      <c r="GT262">
        <v>5.4054055362939835E-2</v>
      </c>
      <c r="GU262">
        <v>7.6813653111457825E-2</v>
      </c>
      <c r="GV262">
        <v>5.9743955731391907E-2</v>
      </c>
      <c r="GW262">
        <v>9.9573254585266113E-2</v>
      </c>
      <c r="GX262">
        <v>5.2631579339504242E-2</v>
      </c>
      <c r="GY262">
        <v>9.6728309988975525E-2</v>
      </c>
      <c r="GZ262">
        <v>5.8321479707956314E-2</v>
      </c>
      <c r="HA262">
        <v>8.1081077456474304E-2</v>
      </c>
      <c r="HB262">
        <v>7.965860515832901E-2</v>
      </c>
      <c r="HC262">
        <v>8.392602950334549E-2</v>
      </c>
      <c r="HD262">
        <v>8.2503557205200195E-2</v>
      </c>
      <c r="HE262">
        <v>6.2588907778263092E-2</v>
      </c>
      <c r="HF262">
        <v>6.543385237455368E-2</v>
      </c>
      <c r="HG262">
        <v>9.5305830240249634E-2</v>
      </c>
      <c r="HH262">
        <v>7.3968708515167236E-2</v>
      </c>
      <c r="HI262">
        <v>8.961593359708786E-2</v>
      </c>
      <c r="HJ262">
        <v>6.6856332123279572E-2</v>
      </c>
      <c r="HK262">
        <v>9.9573254585266113E-2</v>
      </c>
      <c r="HL262">
        <v>8.1081077456474304E-2</v>
      </c>
      <c r="HM262">
        <v>7.3968708515167236E-2</v>
      </c>
      <c r="HN262">
        <v>5.8321479707956314E-2</v>
      </c>
      <c r="HO262">
        <v>0.13371266424655914</v>
      </c>
      <c r="HP262">
        <v>8.1081077456474304E-2</v>
      </c>
      <c r="HQ262">
        <v>6.543385237455368E-2</v>
      </c>
      <c r="HR262">
        <v>0.10384068638086319</v>
      </c>
      <c r="HS262">
        <v>8.6770981550216675E-2</v>
      </c>
      <c r="HT262">
        <v>8.392602950334549E-2</v>
      </c>
      <c r="HU262">
        <v>0.10526315867900848</v>
      </c>
      <c r="HV262">
        <v>6.543385237455368E-2</v>
      </c>
      <c r="HW262">
        <v>8.2503557205200195E-2</v>
      </c>
      <c r="HX262">
        <v>9.2460885643959045E-2</v>
      </c>
      <c r="HY262">
        <v>6.543385237455368E-2</v>
      </c>
      <c r="HZ262">
        <v>6.1166428029537201E-2</v>
      </c>
      <c r="IA262">
        <v>0.14509245753288269</v>
      </c>
      <c r="IB262">
        <v>5.9743955731391907E-2</v>
      </c>
      <c r="IC262">
        <v>8.6770981550216675E-2</v>
      </c>
      <c r="ID262">
        <v>5.5476527661085129E-2</v>
      </c>
      <c r="IE262">
        <v>7.1123756468296051E-2</v>
      </c>
      <c r="IF262">
        <v>6.543385237455368E-2</v>
      </c>
      <c r="IG262">
        <v>8.392602950334549E-2</v>
      </c>
      <c r="IH262">
        <v>7.8236132860183716E-2</v>
      </c>
      <c r="II262">
        <v>7.3968708515167236E-2</v>
      </c>
      <c r="IJ262">
        <v>9.2460885643959045E-2</v>
      </c>
      <c r="IK262">
        <v>8.8193453848361969E-2</v>
      </c>
      <c r="IL262">
        <v>9.8150782287120819E-2</v>
      </c>
      <c r="IM262">
        <v>0.10668563097715378</v>
      </c>
      <c r="IN262">
        <v>6.6856332123279572E-2</v>
      </c>
      <c r="IO262">
        <v>7.3968708515167236E-2</v>
      </c>
      <c r="IP262">
        <v>8.2503557205200195E-2</v>
      </c>
    </row>
    <row r="263" spans="4:260" x14ac:dyDescent="0.25">
      <c r="D263" s="41" t="str" cm="1">
        <f t="array" ref="D263">IF(H263="","",IF(AND(E263&lt;AVERAGE(E262,E264)*($L$19/100),$D$23:D262=""),H263,""))</f>
        <v/>
      </c>
      <c r="E263" s="78">
        <f t="shared" si="4"/>
        <v>3.0471214097317761E-3</v>
      </c>
      <c r="F263" s="79"/>
      <c r="H263">
        <v>241</v>
      </c>
      <c r="I263">
        <v>7.7097121409731781E-2</v>
      </c>
      <c r="K263">
        <v>5.3981106728315353E-2</v>
      </c>
      <c r="L263">
        <v>7.6923079788684845E-2</v>
      </c>
      <c r="M263">
        <v>5.5330634117126465E-2</v>
      </c>
      <c r="N263">
        <v>7.2874493896961212E-2</v>
      </c>
      <c r="O263">
        <v>7.4224025011062622E-2</v>
      </c>
      <c r="P263">
        <v>8.906882256269455E-2</v>
      </c>
      <c r="Q263">
        <v>8.7719298899173737E-2</v>
      </c>
      <c r="R263">
        <v>7.5573548674583435E-2</v>
      </c>
      <c r="S263">
        <v>9.4466939568519592E-2</v>
      </c>
      <c r="T263">
        <v>9.4466939568519592E-2</v>
      </c>
      <c r="U263">
        <v>9.4466939568519592E-2</v>
      </c>
      <c r="V263">
        <v>6.4777329564094543E-2</v>
      </c>
      <c r="W263">
        <v>6.6126853227615356E-2</v>
      </c>
      <c r="X263">
        <v>9.8515518009662628E-2</v>
      </c>
      <c r="Y263">
        <v>4.5883942395448685E-2</v>
      </c>
      <c r="Z263">
        <v>9.1767884790897369E-2</v>
      </c>
      <c r="AA263">
        <v>6.2078271061182022E-2</v>
      </c>
      <c r="AB263">
        <v>5.2631579339504242E-2</v>
      </c>
      <c r="AC263">
        <v>0.11605937778949738</v>
      </c>
      <c r="AD263">
        <v>6.0728743672370911E-2</v>
      </c>
      <c r="AE263">
        <v>5.9379216283559799E-2</v>
      </c>
      <c r="AF263">
        <v>7.2874493896961212E-2</v>
      </c>
      <c r="AG263">
        <v>6.3427798449993134E-2</v>
      </c>
      <c r="AH263">
        <v>9.4466939568519592E-2</v>
      </c>
      <c r="AI263">
        <v>9.5816463232040405E-2</v>
      </c>
      <c r="AJ263">
        <v>7.6923079788684845E-2</v>
      </c>
      <c r="AK263">
        <v>6.4777329564094543E-2</v>
      </c>
      <c r="AL263">
        <v>8.0971658229827881E-2</v>
      </c>
      <c r="AM263">
        <v>0.11336032301187515</v>
      </c>
      <c r="AN263">
        <v>5.3981106728315353E-2</v>
      </c>
      <c r="AO263">
        <v>6.3427798449993134E-2</v>
      </c>
      <c r="AP263">
        <v>6.6126853227615356E-2</v>
      </c>
      <c r="AQ263">
        <v>7.2874493896961212E-2</v>
      </c>
      <c r="AR263">
        <v>6.4777329564094543E-2</v>
      </c>
      <c r="AS263">
        <v>6.6126853227615356E-2</v>
      </c>
      <c r="AT263">
        <v>5.2631579339504242E-2</v>
      </c>
      <c r="AU263">
        <v>0.10931174457073212</v>
      </c>
      <c r="AV263">
        <v>5.9379216283559799E-2</v>
      </c>
      <c r="AW263">
        <v>6.8825908005237579E-2</v>
      </c>
      <c r="AX263">
        <v>7.6923079788684845E-2</v>
      </c>
      <c r="AY263">
        <v>7.8272603452205658E-2</v>
      </c>
      <c r="AZ263">
        <v>7.1524962782859802E-2</v>
      </c>
      <c r="BA263">
        <v>7.5573548674583435E-2</v>
      </c>
      <c r="BB263">
        <v>6.8825908005237579E-2</v>
      </c>
      <c r="BC263">
        <v>9.7165994346141815E-2</v>
      </c>
      <c r="BD263">
        <v>7.6923079788684845E-2</v>
      </c>
      <c r="BE263">
        <v>8.0971658229827881E-2</v>
      </c>
      <c r="BF263">
        <v>4.4534411281347275E-2</v>
      </c>
      <c r="BG263">
        <v>8.7719298899173737E-2</v>
      </c>
      <c r="BH263">
        <v>8.2321189343929291E-2</v>
      </c>
      <c r="BI263">
        <v>6.0728743672370911E-2</v>
      </c>
      <c r="BJ263">
        <v>6.6126853227615356E-2</v>
      </c>
      <c r="BK263">
        <v>9.9865049123764038E-2</v>
      </c>
      <c r="BL263">
        <v>4.7233469784259796E-2</v>
      </c>
      <c r="BM263">
        <v>7.2874493896961212E-2</v>
      </c>
      <c r="BN263">
        <v>6.2078271061182022E-2</v>
      </c>
      <c r="BO263">
        <v>9.3117408454418182E-2</v>
      </c>
      <c r="BP263">
        <v>5.9379216283559799E-2</v>
      </c>
      <c r="BQ263">
        <v>6.3427798449993134E-2</v>
      </c>
      <c r="BR263">
        <v>6.7476384341716766E-2</v>
      </c>
      <c r="BS263">
        <v>6.3427798449993134E-2</v>
      </c>
      <c r="BT263">
        <v>9.0418353676795959E-2</v>
      </c>
      <c r="BU263">
        <v>5.6680161505937576E-2</v>
      </c>
      <c r="BV263">
        <v>8.2321189343929291E-2</v>
      </c>
      <c r="BW263">
        <v>6.2078271061182022E-2</v>
      </c>
      <c r="BX263">
        <v>9.0418353676795959E-2</v>
      </c>
      <c r="BY263">
        <v>6.3427798449993134E-2</v>
      </c>
      <c r="BZ263">
        <v>7.4224025011062622E-2</v>
      </c>
      <c r="CA263">
        <v>8.906882256269455E-2</v>
      </c>
      <c r="CB263">
        <v>5.3981106728315353E-2</v>
      </c>
      <c r="CC263">
        <v>0.11605937778949738</v>
      </c>
      <c r="CD263">
        <v>7.9622134566307068E-2</v>
      </c>
      <c r="CE263">
        <v>0.10256410390138626</v>
      </c>
      <c r="CF263">
        <v>7.2874493896961212E-2</v>
      </c>
      <c r="CG263">
        <v>7.0175439119338989E-2</v>
      </c>
      <c r="CH263">
        <v>7.0175439119338989E-2</v>
      </c>
      <c r="CI263">
        <v>8.6369767785072327E-2</v>
      </c>
      <c r="CJ263">
        <v>7.6923079788684845E-2</v>
      </c>
      <c r="CK263">
        <v>0.1066126823425293</v>
      </c>
      <c r="CL263">
        <v>5.8029688894748688E-2</v>
      </c>
      <c r="CM263">
        <v>7.0175439119338989E-2</v>
      </c>
      <c r="CN263">
        <v>6.8825908005237579E-2</v>
      </c>
      <c r="CO263">
        <v>8.2321189343929291E-2</v>
      </c>
      <c r="CP263">
        <v>9.9865049123764038E-2</v>
      </c>
      <c r="CQ263">
        <v>7.5573548674583435E-2</v>
      </c>
      <c r="CR263">
        <v>5.6680161505937576E-2</v>
      </c>
      <c r="CS263">
        <v>7.2874493896961212E-2</v>
      </c>
      <c r="CT263">
        <v>7.5573548674583435E-2</v>
      </c>
      <c r="CU263">
        <v>7.5573548674583435E-2</v>
      </c>
      <c r="CV263">
        <v>7.8272603452205658E-2</v>
      </c>
      <c r="CW263">
        <v>6.2078271061182022E-2</v>
      </c>
      <c r="CX263">
        <v>8.906882256269455E-2</v>
      </c>
      <c r="CY263">
        <v>9.1767884790897369E-2</v>
      </c>
      <c r="CZ263">
        <v>6.3427798449993134E-2</v>
      </c>
      <c r="DA263">
        <v>8.3670713007450104E-2</v>
      </c>
      <c r="DB263">
        <v>6.8825908005237579E-2</v>
      </c>
      <c r="DC263">
        <v>8.0971658229827881E-2</v>
      </c>
      <c r="DD263">
        <v>0.11470985412597656</v>
      </c>
      <c r="DE263">
        <v>7.1524962782859802E-2</v>
      </c>
      <c r="DF263">
        <v>6.2078271061182022E-2</v>
      </c>
      <c r="DG263">
        <v>9.3117408454418182E-2</v>
      </c>
      <c r="DH263">
        <v>7.5573548674583435E-2</v>
      </c>
      <c r="DI263">
        <v>5.9379216283559799E-2</v>
      </c>
      <c r="DJ263">
        <v>8.7719298899173737E-2</v>
      </c>
      <c r="DK263">
        <v>6.0728743672370911E-2</v>
      </c>
      <c r="DL263">
        <v>6.6126853227615356E-2</v>
      </c>
      <c r="DM263">
        <v>7.4224025011062622E-2</v>
      </c>
      <c r="DN263">
        <v>6.8825908005237579E-2</v>
      </c>
      <c r="DO263">
        <v>8.0971658229827881E-2</v>
      </c>
      <c r="DP263">
        <v>8.0971658229827881E-2</v>
      </c>
      <c r="DQ263">
        <v>7.0175439119338989E-2</v>
      </c>
      <c r="DR263">
        <v>5.6680161505937576E-2</v>
      </c>
      <c r="DS263">
        <v>8.0971658229827881E-2</v>
      </c>
      <c r="DT263">
        <v>6.4777329564094543E-2</v>
      </c>
      <c r="DU263">
        <v>7.0175439119338989E-2</v>
      </c>
      <c r="DV263">
        <v>8.5020244121551514E-2</v>
      </c>
      <c r="DW263">
        <v>0.13225370645523071</v>
      </c>
      <c r="DX263">
        <v>7.2874493896961212E-2</v>
      </c>
      <c r="DY263">
        <v>8.2321189343929291E-2</v>
      </c>
      <c r="DZ263">
        <v>8.5020244121551514E-2</v>
      </c>
      <c r="EA263">
        <v>6.0728743672370911E-2</v>
      </c>
      <c r="EB263">
        <v>9.4466939568519592E-2</v>
      </c>
      <c r="EC263">
        <v>6.6126853227615356E-2</v>
      </c>
      <c r="ED263">
        <v>8.6369767785072327E-2</v>
      </c>
      <c r="EE263">
        <v>5.8029688894748688E-2</v>
      </c>
      <c r="EF263">
        <v>6.6126853227615356E-2</v>
      </c>
      <c r="EG263">
        <v>0.11336032301187515</v>
      </c>
      <c r="EH263">
        <v>8.6369767785072327E-2</v>
      </c>
      <c r="EI263">
        <v>8.906882256269455E-2</v>
      </c>
      <c r="EJ263">
        <v>6.8825908005237579E-2</v>
      </c>
      <c r="EK263">
        <v>0.11740890890359879</v>
      </c>
      <c r="EL263">
        <v>6.8825908005237579E-2</v>
      </c>
      <c r="EM263">
        <v>8.5020244121551514E-2</v>
      </c>
      <c r="EN263">
        <v>6.6126853227615356E-2</v>
      </c>
      <c r="EO263">
        <v>6.7476384341716766E-2</v>
      </c>
      <c r="EP263">
        <v>0.12550607323646545</v>
      </c>
      <c r="EQ263">
        <v>7.1524962782859802E-2</v>
      </c>
      <c r="ER263">
        <v>7.4224025011062622E-2</v>
      </c>
      <c r="ES263">
        <v>9.9865049123764038E-2</v>
      </c>
      <c r="ET263">
        <v>6.6126853227615356E-2</v>
      </c>
      <c r="EU263">
        <v>8.5020244121551514E-2</v>
      </c>
      <c r="EV263">
        <v>5.128205195069313E-2</v>
      </c>
      <c r="EW263">
        <v>8.0971658229827881E-2</v>
      </c>
      <c r="EX263">
        <v>6.2078271061182022E-2</v>
      </c>
      <c r="EY263">
        <v>6.6126853227615356E-2</v>
      </c>
      <c r="EZ263">
        <v>7.2874493896961212E-2</v>
      </c>
      <c r="FA263">
        <v>8.5020244121551514E-2</v>
      </c>
      <c r="FB263">
        <v>6.4777329564094543E-2</v>
      </c>
      <c r="FC263">
        <v>6.3427798449993134E-2</v>
      </c>
      <c r="FD263">
        <v>7.8272603452205658E-2</v>
      </c>
      <c r="FE263">
        <v>8.2321189343929291E-2</v>
      </c>
      <c r="FF263">
        <v>6.3427798449993134E-2</v>
      </c>
      <c r="FG263">
        <v>0.1223328560590744</v>
      </c>
      <c r="FH263">
        <v>5.5476527661085129E-2</v>
      </c>
      <c r="FI263">
        <v>7.3968708515167236E-2</v>
      </c>
      <c r="FJ263">
        <v>6.970127671957016E-2</v>
      </c>
      <c r="FK263">
        <v>8.8193453848361969E-2</v>
      </c>
      <c r="FL263">
        <v>8.961593359708786E-2</v>
      </c>
      <c r="FM263">
        <v>8.961593359708786E-2</v>
      </c>
      <c r="FN263">
        <v>6.2588907778263092E-2</v>
      </c>
      <c r="FO263">
        <v>6.1166428029537201E-2</v>
      </c>
      <c r="FP263">
        <v>9.6728309988975525E-2</v>
      </c>
      <c r="FQ263">
        <v>5.6899003684520721E-2</v>
      </c>
      <c r="FR263">
        <v>6.6856332123279572E-2</v>
      </c>
      <c r="FS263">
        <v>7.1123756468296051E-2</v>
      </c>
      <c r="FT263">
        <v>5.9743955731391907E-2</v>
      </c>
      <c r="FU263">
        <v>7.5391180813312531E-2</v>
      </c>
      <c r="FV263">
        <v>7.1123756468296051E-2</v>
      </c>
      <c r="FW263">
        <v>6.1166428029537201E-2</v>
      </c>
      <c r="FX263">
        <v>5.8321479707956314E-2</v>
      </c>
      <c r="FY263">
        <v>0.13798008859157562</v>
      </c>
      <c r="FZ263">
        <v>7.5391180813312531E-2</v>
      </c>
      <c r="GA263">
        <v>5.4054055362939835E-2</v>
      </c>
      <c r="GB263">
        <v>7.8236132860183716E-2</v>
      </c>
      <c r="GC263">
        <v>9.2460885643959045E-2</v>
      </c>
      <c r="GD263">
        <v>8.6770981550216675E-2</v>
      </c>
      <c r="GE263">
        <v>5.9743955731391907E-2</v>
      </c>
      <c r="GF263">
        <v>7.2546228766441345E-2</v>
      </c>
      <c r="GG263">
        <v>7.5391180813312531E-2</v>
      </c>
      <c r="GH263">
        <v>0.1024182066321373</v>
      </c>
      <c r="GI263">
        <v>8.8193453848361969E-2</v>
      </c>
      <c r="GJ263">
        <v>7.6813653111457825E-2</v>
      </c>
      <c r="GK263">
        <v>7.5391180813312531E-2</v>
      </c>
      <c r="GL263">
        <v>8.1081077456474304E-2</v>
      </c>
      <c r="GM263">
        <v>6.6856332123279572E-2</v>
      </c>
      <c r="GN263">
        <v>6.6856332123279572E-2</v>
      </c>
      <c r="GO263">
        <v>8.1081077456474304E-2</v>
      </c>
      <c r="GP263">
        <v>6.543385237455368E-2</v>
      </c>
      <c r="GQ263">
        <v>9.8150782287120819E-2</v>
      </c>
      <c r="GR263">
        <v>5.6899003684520721E-2</v>
      </c>
      <c r="GS263">
        <v>7.8236132860183716E-2</v>
      </c>
      <c r="GT263">
        <v>6.543385237455368E-2</v>
      </c>
      <c r="GU263">
        <v>7.2546228766441345E-2</v>
      </c>
      <c r="GV263">
        <v>8.2503557205200195E-2</v>
      </c>
      <c r="GW263">
        <v>6.543385237455368E-2</v>
      </c>
      <c r="GX263">
        <v>6.6856332123279572E-2</v>
      </c>
      <c r="GY263">
        <v>7.8236132860183716E-2</v>
      </c>
      <c r="GZ263">
        <v>7.3968708515167236E-2</v>
      </c>
      <c r="HA263">
        <v>0.10668563097715378</v>
      </c>
      <c r="HB263">
        <v>5.4054055362939835E-2</v>
      </c>
      <c r="HC263">
        <v>9.5305830240249634E-2</v>
      </c>
      <c r="HD263">
        <v>0.100995734333992</v>
      </c>
      <c r="HE263">
        <v>5.5476527661085129E-2</v>
      </c>
      <c r="HF263">
        <v>5.5476527661085129E-2</v>
      </c>
      <c r="HG263">
        <v>0.10810811072587967</v>
      </c>
      <c r="HH263">
        <v>7.6813653111457825E-2</v>
      </c>
      <c r="HI263">
        <v>7.6813653111457825E-2</v>
      </c>
      <c r="HJ263">
        <v>7.965860515832901E-2</v>
      </c>
      <c r="HK263">
        <v>9.2460885643959045E-2</v>
      </c>
      <c r="HL263">
        <v>6.6856332123279572E-2</v>
      </c>
      <c r="HM263">
        <v>0.11806543171405792</v>
      </c>
      <c r="HN263">
        <v>7.1123756468296051E-2</v>
      </c>
      <c r="HO263">
        <v>0.10384068638086319</v>
      </c>
      <c r="HP263">
        <v>9.1038405895233154E-2</v>
      </c>
      <c r="HQ263">
        <v>6.6856332123279572E-2</v>
      </c>
      <c r="HR263">
        <v>7.965860515832901E-2</v>
      </c>
      <c r="HS263">
        <v>6.6856332123279572E-2</v>
      </c>
      <c r="HT263">
        <v>9.2460885643959045E-2</v>
      </c>
      <c r="HU263">
        <v>7.965860515832901E-2</v>
      </c>
      <c r="HV263">
        <v>6.1166428029537201E-2</v>
      </c>
      <c r="HW263">
        <v>8.2503557205200195E-2</v>
      </c>
      <c r="HX263">
        <v>6.1166428029537201E-2</v>
      </c>
      <c r="HY263">
        <v>0.16927453875541687</v>
      </c>
      <c r="HZ263">
        <v>6.970127671957016E-2</v>
      </c>
      <c r="IA263">
        <v>7.3968708515167236E-2</v>
      </c>
      <c r="IB263">
        <v>6.543385237455368E-2</v>
      </c>
      <c r="IC263">
        <v>6.543385237455368E-2</v>
      </c>
      <c r="ID263">
        <v>9.5305830240249634E-2</v>
      </c>
      <c r="IE263">
        <v>0.10668563097715378</v>
      </c>
      <c r="IF263">
        <v>5.6899003684520721E-2</v>
      </c>
      <c r="IG263">
        <v>7.1123756468296051E-2</v>
      </c>
      <c r="IH263">
        <v>7.8236132860183716E-2</v>
      </c>
      <c r="II263">
        <v>5.2631579339504242E-2</v>
      </c>
      <c r="IJ263">
        <v>0.11095305532217026</v>
      </c>
      <c r="IK263">
        <v>6.6856332123279572E-2</v>
      </c>
      <c r="IL263">
        <v>7.2546228766441345E-2</v>
      </c>
      <c r="IM263">
        <v>8.1081077456474304E-2</v>
      </c>
      <c r="IN263">
        <v>8.1081077456474304E-2</v>
      </c>
      <c r="IO263">
        <v>7.2546228766441345E-2</v>
      </c>
      <c r="IP263">
        <v>6.1166428029537201E-2</v>
      </c>
      <c r="IQ263">
        <v>7.6813653111457825E-2</v>
      </c>
    </row>
    <row r="264" spans="4:260" x14ac:dyDescent="0.25">
      <c r="D264" s="41" t="str" cm="1">
        <f t="array" ref="D264">IF(H264="","",IF(AND(E264&lt;AVERAGE(E263,E265)*($L$19/100),$D$23:D263=""),H264,""))</f>
        <v/>
      </c>
      <c r="E264" s="78">
        <f t="shared" si="4"/>
        <v>3.4848404961183993E-3</v>
      </c>
      <c r="F264" s="79"/>
      <c r="H264">
        <v>242</v>
      </c>
      <c r="I264">
        <v>7.7534840496118404E-2</v>
      </c>
      <c r="K264">
        <v>7.2874493896961212E-2</v>
      </c>
      <c r="L264">
        <v>0.10391362756490707</v>
      </c>
      <c r="M264">
        <v>8.3670713007450104E-2</v>
      </c>
      <c r="N264">
        <v>7.6923079788684845E-2</v>
      </c>
      <c r="O264">
        <v>6.3427798449993134E-2</v>
      </c>
      <c r="P264">
        <v>7.4224025011062622E-2</v>
      </c>
      <c r="Q264">
        <v>6.2078271061182022E-2</v>
      </c>
      <c r="R264">
        <v>7.8272603452205658E-2</v>
      </c>
      <c r="S264">
        <v>7.2874493896961212E-2</v>
      </c>
      <c r="T264">
        <v>8.906882256269455E-2</v>
      </c>
      <c r="U264">
        <v>4.4534411281347275E-2</v>
      </c>
      <c r="V264">
        <v>7.9622134566307068E-2</v>
      </c>
      <c r="W264">
        <v>8.2321189343929291E-2</v>
      </c>
      <c r="X264">
        <v>9.1767884790897369E-2</v>
      </c>
      <c r="Y264">
        <v>7.2874493896961212E-2</v>
      </c>
      <c r="Z264">
        <v>7.0175439119338989E-2</v>
      </c>
      <c r="AA264">
        <v>4.5883942395448685E-2</v>
      </c>
      <c r="AB264">
        <v>0.11740890890359879</v>
      </c>
      <c r="AC264">
        <v>5.9379216283559799E-2</v>
      </c>
      <c r="AD264">
        <v>6.7476384341716766E-2</v>
      </c>
      <c r="AE264">
        <v>8.3670713007450104E-2</v>
      </c>
      <c r="AF264">
        <v>6.4777329564094543E-2</v>
      </c>
      <c r="AG264">
        <v>7.5573548674583435E-2</v>
      </c>
      <c r="AH264">
        <v>6.3427798449993134E-2</v>
      </c>
      <c r="AI264">
        <v>0.12145748734474182</v>
      </c>
      <c r="AJ264">
        <v>6.4777329564094543E-2</v>
      </c>
      <c r="AK264">
        <v>5.8029688894748688E-2</v>
      </c>
      <c r="AL264">
        <v>7.8272603452205658E-2</v>
      </c>
      <c r="AM264">
        <v>7.5573548674583435E-2</v>
      </c>
      <c r="AN264">
        <v>7.0175439119338989E-2</v>
      </c>
      <c r="AO264">
        <v>8.5020244121551514E-2</v>
      </c>
      <c r="AP264">
        <v>5.8029688894748688E-2</v>
      </c>
      <c r="AQ264">
        <v>7.6923079788684845E-2</v>
      </c>
      <c r="AR264">
        <v>5.8029688894748688E-2</v>
      </c>
      <c r="AS264">
        <v>7.1524962782859802E-2</v>
      </c>
      <c r="AT264">
        <v>8.3670713007450104E-2</v>
      </c>
      <c r="AU264">
        <v>7.1524962782859802E-2</v>
      </c>
      <c r="AV264">
        <v>5.8029688894748688E-2</v>
      </c>
      <c r="AW264">
        <v>5.6680161505937576E-2</v>
      </c>
      <c r="AX264">
        <v>9.0418353676795959E-2</v>
      </c>
      <c r="AY264">
        <v>8.6369767785072327E-2</v>
      </c>
      <c r="AZ264">
        <v>0.12685559689998627</v>
      </c>
      <c r="BA264">
        <v>6.3427798449993134E-2</v>
      </c>
      <c r="BB264">
        <v>7.1524962782859802E-2</v>
      </c>
      <c r="BC264">
        <v>6.8825908005237579E-2</v>
      </c>
      <c r="BD264">
        <v>8.0971658229827881E-2</v>
      </c>
      <c r="BE264">
        <v>6.4777329564094543E-2</v>
      </c>
      <c r="BF264">
        <v>7.5573548674583435E-2</v>
      </c>
      <c r="BG264">
        <v>6.0728743672370911E-2</v>
      </c>
      <c r="BH264">
        <v>9.1767884790897369E-2</v>
      </c>
      <c r="BI264">
        <v>8.5020244121551514E-2</v>
      </c>
      <c r="BJ264">
        <v>9.0418353676795959E-2</v>
      </c>
      <c r="BK264">
        <v>7.6923079788684845E-2</v>
      </c>
      <c r="BL264">
        <v>6.4777329564094543E-2</v>
      </c>
      <c r="BM264">
        <v>7.2874493896961212E-2</v>
      </c>
      <c r="BN264">
        <v>7.5573548674583435E-2</v>
      </c>
      <c r="BO264">
        <v>9.3117408454418182E-2</v>
      </c>
      <c r="BP264">
        <v>7.0175439119338989E-2</v>
      </c>
      <c r="BQ264">
        <v>6.2078271061182022E-2</v>
      </c>
      <c r="BR264">
        <v>8.6369767785072327E-2</v>
      </c>
      <c r="BS264">
        <v>5.6680161505937576E-2</v>
      </c>
      <c r="BT264">
        <v>6.6126853227615356E-2</v>
      </c>
      <c r="BU264">
        <v>0.13630229234695435</v>
      </c>
      <c r="BV264">
        <v>7.1524962782859802E-2</v>
      </c>
      <c r="BW264">
        <v>8.7719298899173737E-2</v>
      </c>
      <c r="BX264">
        <v>5.2631579339504242E-2</v>
      </c>
      <c r="BY264">
        <v>7.9622134566307068E-2</v>
      </c>
      <c r="BZ264">
        <v>9.1767884790897369E-2</v>
      </c>
      <c r="CA264">
        <v>6.4777329564094543E-2</v>
      </c>
      <c r="CB264">
        <v>7.9622134566307068E-2</v>
      </c>
      <c r="CC264">
        <v>6.6126853227615356E-2</v>
      </c>
      <c r="CD264">
        <v>9.9865049123764038E-2</v>
      </c>
      <c r="CE264">
        <v>5.8029688894748688E-2</v>
      </c>
      <c r="CF264">
        <v>7.5573548674583435E-2</v>
      </c>
      <c r="CG264">
        <v>0.10391362756490707</v>
      </c>
      <c r="CH264">
        <v>6.2078271061182022E-2</v>
      </c>
      <c r="CI264">
        <v>0.10256410390138626</v>
      </c>
      <c r="CJ264">
        <v>9.7165994346141815E-2</v>
      </c>
      <c r="CK264">
        <v>8.6369767785072327E-2</v>
      </c>
      <c r="CL264">
        <v>9.7165994346141815E-2</v>
      </c>
      <c r="CM264">
        <v>6.7476384341716766E-2</v>
      </c>
      <c r="CN264">
        <v>8.2321189343929291E-2</v>
      </c>
      <c r="CO264">
        <v>7.1524962782859802E-2</v>
      </c>
      <c r="CP264">
        <v>9.3117408454418182E-2</v>
      </c>
      <c r="CQ264">
        <v>7.9622134566307068E-2</v>
      </c>
      <c r="CR264">
        <v>8.2321189343929291E-2</v>
      </c>
      <c r="CS264">
        <v>7.6923079788684845E-2</v>
      </c>
      <c r="CT264">
        <v>5.9379216283559799E-2</v>
      </c>
      <c r="CU264">
        <v>8.2321189343929291E-2</v>
      </c>
      <c r="CV264">
        <v>6.8825908005237579E-2</v>
      </c>
      <c r="CW264">
        <v>7.2874493896961212E-2</v>
      </c>
      <c r="CX264">
        <v>7.5573548674583435E-2</v>
      </c>
      <c r="CY264">
        <v>7.2874493896961212E-2</v>
      </c>
      <c r="CZ264">
        <v>8.7719298899173737E-2</v>
      </c>
      <c r="DA264">
        <v>5.8029688894748688E-2</v>
      </c>
      <c r="DB264">
        <v>5.8029688894748688E-2</v>
      </c>
      <c r="DC264">
        <v>6.4777329564094543E-2</v>
      </c>
      <c r="DD264">
        <v>7.1524962782859802E-2</v>
      </c>
      <c r="DE264">
        <v>0.10256410390138626</v>
      </c>
      <c r="DF264">
        <v>6.2078271061182022E-2</v>
      </c>
      <c r="DG264">
        <v>7.2874493896961212E-2</v>
      </c>
      <c r="DH264">
        <v>9.4466939568519592E-2</v>
      </c>
      <c r="DI264">
        <v>7.1524962782859802E-2</v>
      </c>
      <c r="DJ264">
        <v>0.10121457278728485</v>
      </c>
      <c r="DK264">
        <v>6.6126853227615356E-2</v>
      </c>
      <c r="DL264">
        <v>6.7476384341716766E-2</v>
      </c>
      <c r="DM264">
        <v>9.5816463232040405E-2</v>
      </c>
      <c r="DN264">
        <v>6.7476384341716766E-2</v>
      </c>
      <c r="DO264">
        <v>7.1524962782859802E-2</v>
      </c>
      <c r="DP264">
        <v>0.10121457278728485</v>
      </c>
      <c r="DQ264">
        <v>5.6680161505937576E-2</v>
      </c>
      <c r="DR264">
        <v>9.1767884790897369E-2</v>
      </c>
      <c r="DS264">
        <v>9.7165994346141815E-2</v>
      </c>
      <c r="DT264">
        <v>7.4224025011062622E-2</v>
      </c>
      <c r="DU264">
        <v>0.100995734333992</v>
      </c>
      <c r="DV264">
        <v>9.1038405895233154E-2</v>
      </c>
      <c r="DW264">
        <v>6.8278804421424866E-2</v>
      </c>
      <c r="DX264">
        <v>6.543385237455368E-2</v>
      </c>
      <c r="DY264">
        <v>0.10953058302402496</v>
      </c>
      <c r="DZ264">
        <v>5.5476527661085129E-2</v>
      </c>
      <c r="EA264">
        <v>9.6728309988975525E-2</v>
      </c>
      <c r="EB264">
        <v>6.4011380076408386E-2</v>
      </c>
      <c r="EC264">
        <v>0.11379800736904144</v>
      </c>
      <c r="ED264">
        <v>6.8278804421424866E-2</v>
      </c>
      <c r="EE264">
        <v>5.5476527661085129E-2</v>
      </c>
      <c r="EF264">
        <v>7.2546228766441345E-2</v>
      </c>
      <c r="EG264">
        <v>6.543385237455368E-2</v>
      </c>
      <c r="EH264">
        <v>6.1166428029537201E-2</v>
      </c>
      <c r="EI264">
        <v>8.1081077456474304E-2</v>
      </c>
      <c r="EJ264">
        <v>6.543385237455368E-2</v>
      </c>
      <c r="EK264">
        <v>6.970127671957016E-2</v>
      </c>
      <c r="EL264">
        <v>5.2631579339504242E-2</v>
      </c>
      <c r="EM264">
        <v>8.5348509252071381E-2</v>
      </c>
      <c r="EN264">
        <v>5.1209103316068649E-2</v>
      </c>
      <c r="EO264">
        <v>8.6770981550216675E-2</v>
      </c>
      <c r="EP264">
        <v>8.8193453848361969E-2</v>
      </c>
      <c r="EQ264">
        <v>0.11095305532217026</v>
      </c>
      <c r="ER264">
        <v>5.2631579339504242E-2</v>
      </c>
      <c r="ES264">
        <v>6.6856332123279572E-2</v>
      </c>
      <c r="ET264">
        <v>8.392602950334549E-2</v>
      </c>
      <c r="EU264">
        <v>6.8278804421424866E-2</v>
      </c>
      <c r="EV264">
        <v>7.3968708515167236E-2</v>
      </c>
      <c r="EW264">
        <v>7.1123756468296051E-2</v>
      </c>
      <c r="EX264">
        <v>6.2588907778263092E-2</v>
      </c>
      <c r="EY264">
        <v>8.2503557205200195E-2</v>
      </c>
      <c r="EZ264">
        <v>7.2546228766441345E-2</v>
      </c>
      <c r="FA264">
        <v>9.9573254585266113E-2</v>
      </c>
      <c r="FB264">
        <v>0.12091038376092911</v>
      </c>
      <c r="FC264">
        <v>5.5476527661085129E-2</v>
      </c>
      <c r="FD264">
        <v>6.6856332123279572E-2</v>
      </c>
      <c r="FE264">
        <v>7.8236132860183716E-2</v>
      </c>
      <c r="FF264">
        <v>7.3968708515167236E-2</v>
      </c>
      <c r="FG264">
        <v>9.388335794210434E-2</v>
      </c>
      <c r="FH264">
        <v>6.1166428029537201E-2</v>
      </c>
      <c r="FI264">
        <v>6.543385237455368E-2</v>
      </c>
      <c r="FJ264">
        <v>0.10668563097715378</v>
      </c>
      <c r="FK264">
        <v>0.10953058302402496</v>
      </c>
      <c r="FL264">
        <v>7.965860515832901E-2</v>
      </c>
      <c r="FM264">
        <v>8.1081077456474304E-2</v>
      </c>
      <c r="FN264">
        <v>6.1166428029537201E-2</v>
      </c>
      <c r="FO264">
        <v>6.543385237455368E-2</v>
      </c>
      <c r="FP264">
        <v>7.1123756468296051E-2</v>
      </c>
      <c r="FQ264">
        <v>6.970127671957016E-2</v>
      </c>
      <c r="FR264">
        <v>5.8321479707956314E-2</v>
      </c>
      <c r="FS264">
        <v>8.8193453848361969E-2</v>
      </c>
      <c r="FT264">
        <v>7.1123756468296051E-2</v>
      </c>
      <c r="FU264">
        <v>6.6856332123279572E-2</v>
      </c>
      <c r="FV264">
        <v>6.970127671957016E-2</v>
      </c>
      <c r="FW264">
        <v>6.1166428029537201E-2</v>
      </c>
      <c r="FX264">
        <v>6.543385237455368E-2</v>
      </c>
      <c r="FY264">
        <v>0.14935988187789917</v>
      </c>
      <c r="FZ264">
        <v>6.970127671957016E-2</v>
      </c>
      <c r="GA264">
        <v>0.11664295941591263</v>
      </c>
      <c r="GB264">
        <v>8.8193453848361969E-2</v>
      </c>
      <c r="GC264">
        <v>7.1123756468296051E-2</v>
      </c>
      <c r="GD264">
        <v>7.5391180813312531E-2</v>
      </c>
      <c r="GE264">
        <v>6.543385237455368E-2</v>
      </c>
      <c r="GF264">
        <v>5.6899003684520721E-2</v>
      </c>
      <c r="GG264">
        <v>6.1166428029537201E-2</v>
      </c>
      <c r="GH264">
        <v>6.1166428029537201E-2</v>
      </c>
      <c r="GI264">
        <v>7.965860515832901E-2</v>
      </c>
      <c r="GJ264">
        <v>6.6856332123279572E-2</v>
      </c>
      <c r="GK264">
        <v>7.5391180813312531E-2</v>
      </c>
      <c r="GL264">
        <v>7.3968708515167236E-2</v>
      </c>
      <c r="GM264">
        <v>7.6813653111457825E-2</v>
      </c>
      <c r="GN264">
        <v>9.2460885643959045E-2</v>
      </c>
      <c r="GO264">
        <v>0.100995734333992</v>
      </c>
      <c r="GP264">
        <v>9.9573254585266113E-2</v>
      </c>
      <c r="GQ264">
        <v>8.2503557205200195E-2</v>
      </c>
      <c r="GR264">
        <v>7.965860515832901E-2</v>
      </c>
      <c r="GS264">
        <v>6.543385237455368E-2</v>
      </c>
      <c r="GT264">
        <v>9.5305830240249634E-2</v>
      </c>
      <c r="GU264">
        <v>8.1081077456474304E-2</v>
      </c>
      <c r="GV264">
        <v>6.2588907778263092E-2</v>
      </c>
      <c r="GW264">
        <v>7.3968708515167236E-2</v>
      </c>
      <c r="GX264">
        <v>8.2503557205200195E-2</v>
      </c>
      <c r="GY264">
        <v>6.4011380076408386E-2</v>
      </c>
      <c r="GZ264">
        <v>5.5476527661085129E-2</v>
      </c>
      <c r="HA264">
        <v>0.10384068638086319</v>
      </c>
      <c r="HB264">
        <v>7.5391180813312531E-2</v>
      </c>
      <c r="HC264">
        <v>6.6856332123279572E-2</v>
      </c>
      <c r="HD264">
        <v>5.6899003684520721E-2</v>
      </c>
      <c r="HE264">
        <v>9.6728309988975525E-2</v>
      </c>
      <c r="HF264">
        <v>9.2460885643959045E-2</v>
      </c>
      <c r="HG264">
        <v>9.6728309988975525E-2</v>
      </c>
      <c r="HH264">
        <v>6.4011380076408386E-2</v>
      </c>
      <c r="HI264">
        <v>0.10668563097715378</v>
      </c>
      <c r="HJ264">
        <v>4.9786627292633057E-2</v>
      </c>
      <c r="HK264">
        <v>7.8236132860183716E-2</v>
      </c>
      <c r="HL264">
        <v>8.5348509252071381E-2</v>
      </c>
      <c r="HM264">
        <v>5.8321479707956314E-2</v>
      </c>
      <c r="HN264">
        <v>0.1223328560590744</v>
      </c>
      <c r="HO264">
        <v>7.3968708515167236E-2</v>
      </c>
      <c r="HP264">
        <v>7.5391180813312531E-2</v>
      </c>
      <c r="HQ264">
        <v>0.11379800736904144</v>
      </c>
      <c r="HR264">
        <v>8.961593359708786E-2</v>
      </c>
      <c r="HS264">
        <v>0.12660028040409088</v>
      </c>
      <c r="HT264">
        <v>8.1081077456474304E-2</v>
      </c>
      <c r="HU264">
        <v>5.1209103316068649E-2</v>
      </c>
      <c r="HV264">
        <v>7.8236132860183716E-2</v>
      </c>
      <c r="HW264">
        <v>0.100995734333992</v>
      </c>
      <c r="HX264">
        <v>7.5391180813312531E-2</v>
      </c>
      <c r="HY264">
        <v>6.1166428029537201E-2</v>
      </c>
      <c r="HZ264">
        <v>9.2460885643959045E-2</v>
      </c>
      <c r="IA264">
        <v>5.9743955731391907E-2</v>
      </c>
      <c r="IB264">
        <v>6.8278804421424866E-2</v>
      </c>
      <c r="IC264">
        <v>0.100995734333992</v>
      </c>
      <c r="ID264">
        <v>6.2588907778263092E-2</v>
      </c>
      <c r="IE264">
        <v>6.543385237455368E-2</v>
      </c>
      <c r="IF264">
        <v>8.2503557205200195E-2</v>
      </c>
      <c r="IG264">
        <v>7.2546228766441345E-2</v>
      </c>
      <c r="IH264">
        <v>5.4054055362939835E-2</v>
      </c>
      <c r="II264">
        <v>7.8236132860183716E-2</v>
      </c>
      <c r="IJ264">
        <v>6.970127671957016E-2</v>
      </c>
      <c r="IK264">
        <v>7.5391180813312531E-2</v>
      </c>
      <c r="IL264">
        <v>7.3968708515167236E-2</v>
      </c>
      <c r="IM264">
        <v>7.3968708515167236E-2</v>
      </c>
      <c r="IN264">
        <v>5.2631579339504242E-2</v>
      </c>
      <c r="IO264">
        <v>6.8278804421424866E-2</v>
      </c>
      <c r="IP264">
        <v>8.2503557205200195E-2</v>
      </c>
      <c r="IQ264">
        <v>0.11237553507089615</v>
      </c>
      <c r="IR264">
        <v>6.1166428029537201E-2</v>
      </c>
    </row>
    <row r="265" spans="4:260" x14ac:dyDescent="0.25">
      <c r="D265" s="41" t="str" cm="1">
        <f t="array" ref="D265">IF(H265="","",IF(AND(E265&lt;AVERAGE(E264,E266)*($L$19/100),$D$23:D264=""),H265,""))</f>
        <v/>
      </c>
      <c r="E265" s="78">
        <f t="shared" si="4"/>
        <v>2.6113064448774481E-3</v>
      </c>
      <c r="F265" s="79"/>
      <c r="H265">
        <v>243</v>
      </c>
      <c r="I265">
        <v>7.6661306444877453E-2</v>
      </c>
      <c r="K265">
        <v>6.0728743672370911E-2</v>
      </c>
      <c r="L265">
        <v>8.5020244121551514E-2</v>
      </c>
      <c r="M265">
        <v>6.2078271061182022E-2</v>
      </c>
      <c r="N265">
        <v>0.12550607323646545</v>
      </c>
      <c r="O265">
        <v>7.1524962782859802E-2</v>
      </c>
      <c r="P265">
        <v>0.10391362756490707</v>
      </c>
      <c r="Q265">
        <v>8.0971658229827881E-2</v>
      </c>
      <c r="R265">
        <v>7.1524962782859802E-2</v>
      </c>
      <c r="S265">
        <v>7.5573548674583435E-2</v>
      </c>
      <c r="T265">
        <v>5.8029688894748688E-2</v>
      </c>
      <c r="U265">
        <v>5.9379216283559799E-2</v>
      </c>
      <c r="V265">
        <v>7.2874493896961212E-2</v>
      </c>
      <c r="W265">
        <v>7.2874493896961212E-2</v>
      </c>
      <c r="X265">
        <v>5.5330634117126465E-2</v>
      </c>
      <c r="Y265">
        <v>7.2874493896961212E-2</v>
      </c>
      <c r="Z265">
        <v>5.2631579339504242E-2</v>
      </c>
      <c r="AA265">
        <v>0.12145748734474182</v>
      </c>
      <c r="AB265">
        <v>5.9379216283559799E-2</v>
      </c>
      <c r="AC265">
        <v>7.8272603452205658E-2</v>
      </c>
      <c r="AD265">
        <v>7.1524962782859802E-2</v>
      </c>
      <c r="AE265">
        <v>8.3670713007450104E-2</v>
      </c>
      <c r="AF265">
        <v>7.1524962782859802E-2</v>
      </c>
      <c r="AG265">
        <v>4.3184883892536163E-2</v>
      </c>
      <c r="AH265">
        <v>9.4466939568519592E-2</v>
      </c>
      <c r="AI265">
        <v>8.0971658229827881E-2</v>
      </c>
      <c r="AJ265">
        <v>6.2078271061182022E-2</v>
      </c>
      <c r="AK265">
        <v>8.5020244121551514E-2</v>
      </c>
      <c r="AL265">
        <v>6.7476384341716766E-2</v>
      </c>
      <c r="AM265">
        <v>9.0418353676795959E-2</v>
      </c>
      <c r="AN265">
        <v>7.1524962782859802E-2</v>
      </c>
      <c r="AO265">
        <v>8.5020244121551514E-2</v>
      </c>
      <c r="AP265">
        <v>7.4224025011062622E-2</v>
      </c>
      <c r="AQ265">
        <v>7.4224025011062622E-2</v>
      </c>
      <c r="AR265">
        <v>6.7476384341716766E-2</v>
      </c>
      <c r="AS265">
        <v>6.8825908005237579E-2</v>
      </c>
      <c r="AT265">
        <v>0.10256410390138626</v>
      </c>
      <c r="AU265">
        <v>5.2631579339504242E-2</v>
      </c>
      <c r="AV265">
        <v>9.1767884790897369E-2</v>
      </c>
      <c r="AW265">
        <v>8.906882256269455E-2</v>
      </c>
      <c r="AX265">
        <v>9.4466939568519592E-2</v>
      </c>
      <c r="AY265">
        <v>0.1187584325671196</v>
      </c>
      <c r="AZ265">
        <v>7.4224025011062622E-2</v>
      </c>
      <c r="BA265">
        <v>0.10391362756490707</v>
      </c>
      <c r="BB265">
        <v>6.0728743672370911E-2</v>
      </c>
      <c r="BC265">
        <v>5.128205195069313E-2</v>
      </c>
      <c r="BD265">
        <v>9.3117408454418182E-2</v>
      </c>
      <c r="BE265">
        <v>5.9379216283559799E-2</v>
      </c>
      <c r="BF265">
        <v>6.6126853227615356E-2</v>
      </c>
      <c r="BG265">
        <v>7.0175439119338989E-2</v>
      </c>
      <c r="BH265">
        <v>7.4224025011062622E-2</v>
      </c>
      <c r="BI265">
        <v>7.2874493896961212E-2</v>
      </c>
      <c r="BJ265">
        <v>8.3670713007450104E-2</v>
      </c>
      <c r="BK265">
        <v>6.6126853227615356E-2</v>
      </c>
      <c r="BL265">
        <v>5.5330634117126465E-2</v>
      </c>
      <c r="BM265">
        <v>0.10526315867900848</v>
      </c>
      <c r="BN265">
        <v>9.4466939568519592E-2</v>
      </c>
      <c r="BO265">
        <v>0.13360324501991272</v>
      </c>
      <c r="BP265">
        <v>4.5883942395448685E-2</v>
      </c>
      <c r="BQ265">
        <v>6.7476384341716766E-2</v>
      </c>
      <c r="BR265">
        <v>6.0728743672370911E-2</v>
      </c>
      <c r="BS265">
        <v>7.6923079788684845E-2</v>
      </c>
      <c r="BT265">
        <v>7.6923079788684845E-2</v>
      </c>
      <c r="BU265">
        <v>8.3670713007450104E-2</v>
      </c>
      <c r="BV265">
        <v>8.3670713007450104E-2</v>
      </c>
      <c r="BW265">
        <v>8.5020244121551514E-2</v>
      </c>
      <c r="BX265">
        <v>6.2078271061182022E-2</v>
      </c>
      <c r="BY265">
        <v>8.5020244121551514E-2</v>
      </c>
      <c r="BZ265">
        <v>6.4777329564094543E-2</v>
      </c>
      <c r="CA265">
        <v>7.0175439119338989E-2</v>
      </c>
      <c r="CB265">
        <v>6.0728743672370911E-2</v>
      </c>
      <c r="CC265">
        <v>8.906882256269455E-2</v>
      </c>
      <c r="CD265">
        <v>8.2321189343929291E-2</v>
      </c>
      <c r="CE265">
        <v>7.0175439119338989E-2</v>
      </c>
      <c r="CF265">
        <v>6.6126853227615356E-2</v>
      </c>
      <c r="CG265">
        <v>8.2321189343929291E-2</v>
      </c>
      <c r="CH265">
        <v>5.8029688894748688E-2</v>
      </c>
      <c r="CI265">
        <v>6.8278804421424866E-2</v>
      </c>
      <c r="CJ265">
        <v>8.6770981550216675E-2</v>
      </c>
      <c r="CK265">
        <v>6.970127671957016E-2</v>
      </c>
      <c r="CL265">
        <v>0.11095305532217026</v>
      </c>
      <c r="CM265">
        <v>0.10384068638086319</v>
      </c>
      <c r="CN265">
        <v>5.8321479707956314E-2</v>
      </c>
      <c r="CO265">
        <v>0.1024182066321373</v>
      </c>
      <c r="CP265">
        <v>6.543385237455368E-2</v>
      </c>
      <c r="CQ265">
        <v>5.9743955731391907E-2</v>
      </c>
      <c r="CR265">
        <v>8.6770981550216675E-2</v>
      </c>
      <c r="CS265">
        <v>7.1123756468296051E-2</v>
      </c>
      <c r="CT265">
        <v>7.5391180813312531E-2</v>
      </c>
      <c r="CU265">
        <v>6.1166428029537201E-2</v>
      </c>
      <c r="CV265">
        <v>9.1038405895233154E-2</v>
      </c>
      <c r="CW265">
        <v>7.1123756468296051E-2</v>
      </c>
      <c r="CX265">
        <v>5.4054055362939835E-2</v>
      </c>
      <c r="CY265">
        <v>0.12802276015281677</v>
      </c>
      <c r="CZ265">
        <v>6.1166428029537201E-2</v>
      </c>
      <c r="DA265">
        <v>6.543385237455368E-2</v>
      </c>
      <c r="DB265">
        <v>8.392602950334549E-2</v>
      </c>
      <c r="DC265">
        <v>6.970127671957016E-2</v>
      </c>
      <c r="DD265">
        <v>5.6899003684520721E-2</v>
      </c>
      <c r="DE265">
        <v>0.10668563097715378</v>
      </c>
      <c r="DF265">
        <v>6.2588907778263092E-2</v>
      </c>
      <c r="DG265">
        <v>9.388335794210434E-2</v>
      </c>
      <c r="DH265">
        <v>0.11379800736904144</v>
      </c>
      <c r="DI265">
        <v>7.6813653111457825E-2</v>
      </c>
      <c r="DJ265">
        <v>6.1166428029537201E-2</v>
      </c>
      <c r="DK265">
        <v>9.388335794210434E-2</v>
      </c>
      <c r="DL265">
        <v>9.388335794210434E-2</v>
      </c>
      <c r="DM265">
        <v>5.9743955731391907E-2</v>
      </c>
      <c r="DN265">
        <v>6.2588907778263092E-2</v>
      </c>
      <c r="DO265">
        <v>7.1123756468296051E-2</v>
      </c>
      <c r="DP265">
        <v>0.10953058302402496</v>
      </c>
      <c r="DQ265">
        <v>6.543385237455368E-2</v>
      </c>
      <c r="DR265">
        <v>7.6813653111457825E-2</v>
      </c>
      <c r="DS265">
        <v>8.2503557205200195E-2</v>
      </c>
      <c r="DT265">
        <v>7.3968708515167236E-2</v>
      </c>
      <c r="DU265">
        <v>8.1081077456474304E-2</v>
      </c>
      <c r="DV265">
        <v>7.5391180813312531E-2</v>
      </c>
      <c r="DW265">
        <v>7.965860515832901E-2</v>
      </c>
      <c r="DX265">
        <v>8.8193453848361969E-2</v>
      </c>
      <c r="DY265">
        <v>6.8278804421424866E-2</v>
      </c>
      <c r="DZ265">
        <v>5.1209103316068649E-2</v>
      </c>
      <c r="EA265">
        <v>7.3968708515167236E-2</v>
      </c>
      <c r="EB265">
        <v>6.6856332123279572E-2</v>
      </c>
      <c r="EC265">
        <v>8.1081077456474304E-2</v>
      </c>
      <c r="ED265">
        <v>9.2460885643959045E-2</v>
      </c>
      <c r="EE265">
        <v>7.1123756468296051E-2</v>
      </c>
      <c r="EF265">
        <v>9.9573254585266113E-2</v>
      </c>
      <c r="EG265">
        <v>7.8236132860183716E-2</v>
      </c>
      <c r="EH265">
        <v>7.5391180813312531E-2</v>
      </c>
      <c r="EI265">
        <v>5.2631579339504242E-2</v>
      </c>
      <c r="EJ265">
        <v>5.9743955731391907E-2</v>
      </c>
      <c r="EK265">
        <v>8.1081077456474304E-2</v>
      </c>
      <c r="EL265">
        <v>0.11806543171405792</v>
      </c>
      <c r="EM265">
        <v>5.8321479707956314E-2</v>
      </c>
      <c r="EN265">
        <v>9.1038405895233154E-2</v>
      </c>
      <c r="EO265">
        <v>6.4011380076408386E-2</v>
      </c>
      <c r="EP265">
        <v>5.6899003684520721E-2</v>
      </c>
      <c r="EQ265">
        <v>8.1081077456474304E-2</v>
      </c>
      <c r="ER265">
        <v>5.5476527661085129E-2</v>
      </c>
      <c r="ES265">
        <v>7.2546228766441345E-2</v>
      </c>
      <c r="ET265">
        <v>6.1166428029537201E-2</v>
      </c>
      <c r="EU265">
        <v>6.1166428029537201E-2</v>
      </c>
      <c r="EV265">
        <v>6.8278804421424866E-2</v>
      </c>
      <c r="EW265">
        <v>5.9743955731391907E-2</v>
      </c>
      <c r="EX265">
        <v>7.3968708515167236E-2</v>
      </c>
      <c r="EY265">
        <v>6.8278804421424866E-2</v>
      </c>
      <c r="EZ265">
        <v>6.6856332123279572E-2</v>
      </c>
      <c r="FA265">
        <v>0.11948791146278381</v>
      </c>
      <c r="FB265">
        <v>7.3968708515167236E-2</v>
      </c>
      <c r="FC265">
        <v>0.10526315867900848</v>
      </c>
      <c r="FD265">
        <v>6.2588907778263092E-2</v>
      </c>
      <c r="FE265">
        <v>7.965860515832901E-2</v>
      </c>
      <c r="FF265">
        <v>6.6856332123279572E-2</v>
      </c>
      <c r="FG265">
        <v>7.965860515832901E-2</v>
      </c>
      <c r="FH265">
        <v>6.543385237455368E-2</v>
      </c>
      <c r="FI265">
        <v>5.6899003684520721E-2</v>
      </c>
      <c r="FJ265">
        <v>5.8321479707956314E-2</v>
      </c>
      <c r="FK265">
        <v>9.388335794210434E-2</v>
      </c>
      <c r="FL265">
        <v>6.543385237455368E-2</v>
      </c>
      <c r="FM265">
        <v>9.1038405895233154E-2</v>
      </c>
      <c r="FN265">
        <v>7.3968708515167236E-2</v>
      </c>
      <c r="FO265">
        <v>0.11095305532217026</v>
      </c>
      <c r="FP265">
        <v>7.2546228766441345E-2</v>
      </c>
      <c r="FQ265">
        <v>6.543385237455368E-2</v>
      </c>
      <c r="FR265">
        <v>7.2546228766441345E-2</v>
      </c>
      <c r="FS265">
        <v>7.965860515832901E-2</v>
      </c>
      <c r="FT265">
        <v>8.8193453848361969E-2</v>
      </c>
      <c r="FU265">
        <v>8.1081077456474304E-2</v>
      </c>
      <c r="FV265">
        <v>6.8278804421424866E-2</v>
      </c>
      <c r="FW265">
        <v>6.6856332123279572E-2</v>
      </c>
      <c r="FX265">
        <v>9.5305830240249634E-2</v>
      </c>
      <c r="FY265">
        <v>0.100995734333992</v>
      </c>
      <c r="FZ265">
        <v>7.3968708515167236E-2</v>
      </c>
      <c r="GA265">
        <v>8.8193453848361969E-2</v>
      </c>
      <c r="GB265">
        <v>8.392602950334549E-2</v>
      </c>
      <c r="GC265">
        <v>6.970127671957016E-2</v>
      </c>
      <c r="GD265">
        <v>6.4011380076408386E-2</v>
      </c>
      <c r="GE265">
        <v>9.8150782287120819E-2</v>
      </c>
      <c r="GF265">
        <v>9.388335794210434E-2</v>
      </c>
      <c r="GG265">
        <v>7.5391180813312531E-2</v>
      </c>
      <c r="GH265">
        <v>5.2631579339504242E-2</v>
      </c>
      <c r="GI265">
        <v>9.6728309988975525E-2</v>
      </c>
      <c r="GJ265">
        <v>6.1166428029537201E-2</v>
      </c>
      <c r="GK265">
        <v>5.5476527661085129E-2</v>
      </c>
      <c r="GL265">
        <v>8.392602950334549E-2</v>
      </c>
      <c r="GM265">
        <v>6.8278804421424866E-2</v>
      </c>
      <c r="GN265">
        <v>8.5348509252071381E-2</v>
      </c>
      <c r="GO265">
        <v>7.965860515832901E-2</v>
      </c>
      <c r="GP265">
        <v>7.8236132860183716E-2</v>
      </c>
      <c r="GQ265">
        <v>0.10953058302402496</v>
      </c>
      <c r="GR265">
        <v>6.4011380076408386E-2</v>
      </c>
      <c r="GS265">
        <v>6.8278804421424866E-2</v>
      </c>
      <c r="GT265">
        <v>5.2631579339504242E-2</v>
      </c>
      <c r="GU265">
        <v>7.1123756468296051E-2</v>
      </c>
      <c r="GV265">
        <v>8.961593359708786E-2</v>
      </c>
      <c r="GW265">
        <v>7.5391180813312531E-2</v>
      </c>
      <c r="GX265">
        <v>0.13513512909412384</v>
      </c>
      <c r="GY265">
        <v>5.4054055362939835E-2</v>
      </c>
      <c r="GZ265">
        <v>8.8193453848361969E-2</v>
      </c>
      <c r="HA265">
        <v>6.970127671957016E-2</v>
      </c>
      <c r="HB265">
        <v>7.5391180813312531E-2</v>
      </c>
      <c r="HC265">
        <v>8.1081077456474304E-2</v>
      </c>
      <c r="HD265">
        <v>6.970127671957016E-2</v>
      </c>
      <c r="HE265">
        <v>0.11237553507089615</v>
      </c>
      <c r="HF265">
        <v>7.3968708515167236E-2</v>
      </c>
      <c r="HG265">
        <v>6.1166428029537201E-2</v>
      </c>
      <c r="HH265">
        <v>6.543385237455368E-2</v>
      </c>
      <c r="HI265">
        <v>6.4011380076408386E-2</v>
      </c>
      <c r="HJ265">
        <v>8.392602950334549E-2</v>
      </c>
      <c r="HK265">
        <v>7.1123756468296051E-2</v>
      </c>
      <c r="HL265">
        <v>9.2460885643959045E-2</v>
      </c>
      <c r="HM265">
        <v>8.6770981550216675E-2</v>
      </c>
      <c r="HN265">
        <v>7.2546228766441345E-2</v>
      </c>
      <c r="HO265">
        <v>0.11948791146278381</v>
      </c>
      <c r="HP265">
        <v>5.6899003684520721E-2</v>
      </c>
      <c r="HQ265">
        <v>5.1209103316068649E-2</v>
      </c>
      <c r="HR265">
        <v>0.10384068638086319</v>
      </c>
      <c r="HS265">
        <v>5.6899003684520721E-2</v>
      </c>
      <c r="HT265">
        <v>6.4011380076408386E-2</v>
      </c>
      <c r="HU265">
        <v>8.5348509252071381E-2</v>
      </c>
      <c r="HV265">
        <v>7.3968708515167236E-2</v>
      </c>
      <c r="HW265">
        <v>7.2546228766441345E-2</v>
      </c>
      <c r="HX265">
        <v>5.4054055362939835E-2</v>
      </c>
      <c r="HY265">
        <v>6.2588907778263092E-2</v>
      </c>
      <c r="HZ265">
        <v>0.11806543171405792</v>
      </c>
      <c r="IA265">
        <v>6.2588907778263092E-2</v>
      </c>
      <c r="IB265">
        <v>5.1209103316068649E-2</v>
      </c>
      <c r="IC265">
        <v>8.1081077456474304E-2</v>
      </c>
      <c r="ID265">
        <v>0.10526315867900848</v>
      </c>
      <c r="IE265">
        <v>5.5476527661085129E-2</v>
      </c>
      <c r="IF265">
        <v>8.2503557205200195E-2</v>
      </c>
      <c r="IG265">
        <v>7.2546228766441345E-2</v>
      </c>
      <c r="IH265">
        <v>5.4054055362939835E-2</v>
      </c>
      <c r="II265">
        <v>5.5476527661085129E-2</v>
      </c>
      <c r="IJ265">
        <v>8.1081077456474304E-2</v>
      </c>
      <c r="IK265">
        <v>9.1038405895233154E-2</v>
      </c>
      <c r="IL265">
        <v>6.543385237455368E-2</v>
      </c>
      <c r="IM265">
        <v>7.3968708515167236E-2</v>
      </c>
      <c r="IN265">
        <v>5.1209103316068649E-2</v>
      </c>
      <c r="IO265">
        <v>7.1123756468296051E-2</v>
      </c>
      <c r="IP265">
        <v>7.8236132860183716E-2</v>
      </c>
      <c r="IQ265">
        <v>8.392602950334549E-2</v>
      </c>
      <c r="IR265">
        <v>7.2546228766441345E-2</v>
      </c>
      <c r="IS265">
        <v>7.5391180813312531E-2</v>
      </c>
    </row>
    <row r="266" spans="4:260" x14ac:dyDescent="0.25">
      <c r="D266" s="41" t="str" cm="1">
        <f t="array" ref="D266">IF(H266="","",IF(AND(E266&lt;AVERAGE(E265,E267)*($L$19/100),$D$23:D265=""),H266,""))</f>
        <v/>
      </c>
      <c r="E266" s="78">
        <f t="shared" si="4"/>
        <v>2.5008654847985395E-3</v>
      </c>
      <c r="F266" s="79"/>
      <c r="H266">
        <v>244</v>
      </c>
      <c r="I266">
        <v>7.6550865484798544E-2</v>
      </c>
      <c r="K266">
        <v>5.6680161505937576E-2</v>
      </c>
      <c r="L266">
        <v>8.0971658229827881E-2</v>
      </c>
      <c r="M266">
        <v>9.3117408454418182E-2</v>
      </c>
      <c r="N266">
        <v>6.0728743672370911E-2</v>
      </c>
      <c r="O266">
        <v>0.12550607323646545</v>
      </c>
      <c r="P266">
        <v>7.4224025011062622E-2</v>
      </c>
      <c r="Q266">
        <v>6.8825908005237579E-2</v>
      </c>
      <c r="R266">
        <v>7.0175439119338989E-2</v>
      </c>
      <c r="S266">
        <v>8.0971658229827881E-2</v>
      </c>
      <c r="T266">
        <v>0.1066126823425293</v>
      </c>
      <c r="U266">
        <v>7.8272603452205658E-2</v>
      </c>
      <c r="V266">
        <v>5.3981106728315353E-2</v>
      </c>
      <c r="W266">
        <v>8.3670713007450104E-2</v>
      </c>
      <c r="X266">
        <v>0.14035087823867798</v>
      </c>
      <c r="Y266">
        <v>6.7476384341716766E-2</v>
      </c>
      <c r="Z266">
        <v>6.0728743672370911E-2</v>
      </c>
      <c r="AA266">
        <v>7.1524962782859802E-2</v>
      </c>
      <c r="AB266">
        <v>7.8272603452205658E-2</v>
      </c>
      <c r="AC266">
        <v>7.6923079788684845E-2</v>
      </c>
      <c r="AD266">
        <v>0.14439946413040161</v>
      </c>
      <c r="AE266">
        <v>6.4777329564094543E-2</v>
      </c>
      <c r="AF266">
        <v>5.5330634117126465E-2</v>
      </c>
      <c r="AG266">
        <v>0.10256410390138626</v>
      </c>
      <c r="AH266">
        <v>7.5573548674583435E-2</v>
      </c>
      <c r="AI266">
        <v>6.4777329564094543E-2</v>
      </c>
      <c r="AJ266">
        <v>7.9622134566307068E-2</v>
      </c>
      <c r="AK266">
        <v>6.8825908005237579E-2</v>
      </c>
      <c r="AL266">
        <v>6.3427798449993134E-2</v>
      </c>
      <c r="AM266">
        <v>7.4224025011062622E-2</v>
      </c>
      <c r="AN266">
        <v>6.7476384341716766E-2</v>
      </c>
      <c r="AO266">
        <v>8.6369767785072327E-2</v>
      </c>
      <c r="AP266">
        <v>6.3427798449993134E-2</v>
      </c>
      <c r="AQ266">
        <v>6.7476384341716766E-2</v>
      </c>
      <c r="AR266">
        <v>7.0175439119338989E-2</v>
      </c>
      <c r="AS266">
        <v>7.8272603452205658E-2</v>
      </c>
      <c r="AT266">
        <v>6.6126853227615356E-2</v>
      </c>
      <c r="AU266">
        <v>9.1767884790897369E-2</v>
      </c>
      <c r="AV266">
        <v>6.2078271061182022E-2</v>
      </c>
      <c r="AW266">
        <v>8.8193453848361969E-2</v>
      </c>
      <c r="AX266">
        <v>6.543385237455368E-2</v>
      </c>
      <c r="AY266">
        <v>6.1166428029537201E-2</v>
      </c>
      <c r="AZ266">
        <v>7.3968708515167236E-2</v>
      </c>
      <c r="BA266">
        <v>6.4011380076408386E-2</v>
      </c>
      <c r="BB266">
        <v>8.6770981550216675E-2</v>
      </c>
      <c r="BC266">
        <v>6.543385237455368E-2</v>
      </c>
      <c r="BD266">
        <v>9.388335794210434E-2</v>
      </c>
      <c r="BE266">
        <v>8.2503557205200195E-2</v>
      </c>
      <c r="BF266">
        <v>8.1081077456474304E-2</v>
      </c>
      <c r="BG266">
        <v>7.3968708515167236E-2</v>
      </c>
      <c r="BH266">
        <v>8.1081077456474304E-2</v>
      </c>
      <c r="BI266">
        <v>6.6856332123279572E-2</v>
      </c>
      <c r="BJ266">
        <v>0.10384068638086319</v>
      </c>
      <c r="BK266">
        <v>6.6856332123279572E-2</v>
      </c>
      <c r="BL266">
        <v>5.5476527661085129E-2</v>
      </c>
      <c r="BM266">
        <v>5.5476527661085129E-2</v>
      </c>
      <c r="BN266">
        <v>7.2546228766441345E-2</v>
      </c>
      <c r="BO266">
        <v>6.6856332123279572E-2</v>
      </c>
      <c r="BP266">
        <v>6.2588907778263092E-2</v>
      </c>
      <c r="BQ266">
        <v>5.4054055362939835E-2</v>
      </c>
      <c r="BR266">
        <v>5.9743955731391907E-2</v>
      </c>
      <c r="BS266">
        <v>6.2588907778263092E-2</v>
      </c>
      <c r="BT266">
        <v>6.1166428029537201E-2</v>
      </c>
      <c r="BU266">
        <v>7.8236132860183716E-2</v>
      </c>
      <c r="BV266">
        <v>5.4054055362939835E-2</v>
      </c>
      <c r="BW266">
        <v>8.2503557205200195E-2</v>
      </c>
      <c r="BX266">
        <v>0.10810811072587967</v>
      </c>
      <c r="BY266">
        <v>6.6856332123279572E-2</v>
      </c>
      <c r="BZ266">
        <v>5.6899003684520721E-2</v>
      </c>
      <c r="CA266">
        <v>6.4011380076408386E-2</v>
      </c>
      <c r="CB266">
        <v>9.8150782287120819E-2</v>
      </c>
      <c r="CC266">
        <v>8.1081077456474304E-2</v>
      </c>
      <c r="CD266">
        <v>9.388335794210434E-2</v>
      </c>
      <c r="CE266">
        <v>6.970127671957016E-2</v>
      </c>
      <c r="CF266">
        <v>6.4011380076408386E-2</v>
      </c>
      <c r="CG266">
        <v>7.3968708515167236E-2</v>
      </c>
      <c r="CH266">
        <v>7.2546228766441345E-2</v>
      </c>
      <c r="CI266">
        <v>7.1123756468296051E-2</v>
      </c>
      <c r="CJ266">
        <v>6.8278804421424866E-2</v>
      </c>
      <c r="CK266">
        <v>8.1081077456474304E-2</v>
      </c>
      <c r="CL266">
        <v>6.970127671957016E-2</v>
      </c>
      <c r="CM266">
        <v>8.6770981550216675E-2</v>
      </c>
      <c r="CN266">
        <v>8.2503557205200195E-2</v>
      </c>
      <c r="CO266">
        <v>6.8278804421424866E-2</v>
      </c>
      <c r="CP266">
        <v>6.543385237455368E-2</v>
      </c>
      <c r="CQ266">
        <v>0.1223328560590744</v>
      </c>
      <c r="CR266">
        <v>4.9786627292633057E-2</v>
      </c>
      <c r="CS266">
        <v>9.388335794210434E-2</v>
      </c>
      <c r="CT266">
        <v>5.9743955731391907E-2</v>
      </c>
      <c r="CU266">
        <v>0.11806543171405792</v>
      </c>
      <c r="CV266">
        <v>7.1123756468296051E-2</v>
      </c>
      <c r="CW266">
        <v>6.8278804421424866E-2</v>
      </c>
      <c r="CX266">
        <v>7.965860515832901E-2</v>
      </c>
      <c r="CY266">
        <v>5.6899003684520721E-2</v>
      </c>
      <c r="CZ266">
        <v>6.6856332123279572E-2</v>
      </c>
      <c r="DA266">
        <v>7.965860515832901E-2</v>
      </c>
      <c r="DB266">
        <v>6.8278804421424866E-2</v>
      </c>
      <c r="DC266">
        <v>5.8321479707956314E-2</v>
      </c>
      <c r="DD266">
        <v>8.1081077456474304E-2</v>
      </c>
      <c r="DE266">
        <v>7.5391180813312531E-2</v>
      </c>
      <c r="DF266">
        <v>9.2460885643959045E-2</v>
      </c>
      <c r="DG266">
        <v>9.8150782287120819E-2</v>
      </c>
      <c r="DH266">
        <v>7.5391180813312531E-2</v>
      </c>
      <c r="DI266">
        <v>6.8278804421424866E-2</v>
      </c>
      <c r="DJ266">
        <v>5.8321479707956314E-2</v>
      </c>
      <c r="DK266">
        <v>9.6728309988975525E-2</v>
      </c>
      <c r="DL266">
        <v>7.3968708515167236E-2</v>
      </c>
      <c r="DM266">
        <v>8.961593359708786E-2</v>
      </c>
      <c r="DN266">
        <v>6.970127671957016E-2</v>
      </c>
      <c r="DO266">
        <v>9.1038405895233154E-2</v>
      </c>
      <c r="DP266">
        <v>6.543385237455368E-2</v>
      </c>
      <c r="DQ266">
        <v>6.8278804421424866E-2</v>
      </c>
      <c r="DR266">
        <v>6.4011380076408386E-2</v>
      </c>
      <c r="DS266">
        <v>7.5391180813312531E-2</v>
      </c>
      <c r="DT266">
        <v>6.4011380076408386E-2</v>
      </c>
      <c r="DU266">
        <v>5.8321479707956314E-2</v>
      </c>
      <c r="DV266">
        <v>8.5348509252071381E-2</v>
      </c>
      <c r="DW266">
        <v>7.965860515832901E-2</v>
      </c>
      <c r="DX266">
        <v>5.9743955731391907E-2</v>
      </c>
      <c r="DY266">
        <v>6.6856332123279572E-2</v>
      </c>
      <c r="DZ266">
        <v>9.1038405895233154E-2</v>
      </c>
      <c r="EA266">
        <v>7.3968708515167236E-2</v>
      </c>
      <c r="EB266">
        <v>7.2546228766441345E-2</v>
      </c>
      <c r="EC266">
        <v>8.8193453848361969E-2</v>
      </c>
      <c r="ED266">
        <v>7.3968708515167236E-2</v>
      </c>
      <c r="EE266">
        <v>8.8193453848361969E-2</v>
      </c>
      <c r="EF266">
        <v>8.5348509252071381E-2</v>
      </c>
      <c r="EG266">
        <v>6.8278804421424866E-2</v>
      </c>
      <c r="EH266">
        <v>7.965860515832901E-2</v>
      </c>
      <c r="EI266">
        <v>7.3968708515167236E-2</v>
      </c>
      <c r="EJ266">
        <v>9.1038405895233154E-2</v>
      </c>
      <c r="EK266">
        <v>9.6728309988975525E-2</v>
      </c>
      <c r="EL266">
        <v>6.970127671957016E-2</v>
      </c>
      <c r="EM266">
        <v>8.8193453848361969E-2</v>
      </c>
      <c r="EN266">
        <v>5.8321479707956314E-2</v>
      </c>
      <c r="EO266">
        <v>7.8236132860183716E-2</v>
      </c>
      <c r="EP266">
        <v>6.8278804421424866E-2</v>
      </c>
      <c r="EQ266">
        <v>0.10953058302402496</v>
      </c>
      <c r="ER266">
        <v>6.970127671957016E-2</v>
      </c>
      <c r="ES266">
        <v>7.965860515832901E-2</v>
      </c>
      <c r="ET266">
        <v>6.6856332123279572E-2</v>
      </c>
      <c r="EU266">
        <v>0.11237553507089615</v>
      </c>
      <c r="EV266">
        <v>5.9743955731391907E-2</v>
      </c>
      <c r="EW266">
        <v>6.543385237455368E-2</v>
      </c>
      <c r="EX266">
        <v>9.388335794210434E-2</v>
      </c>
      <c r="EY266">
        <v>6.4011380076408386E-2</v>
      </c>
      <c r="EZ266">
        <v>7.5391180813312531E-2</v>
      </c>
      <c r="FA266">
        <v>0.11095305532217026</v>
      </c>
      <c r="FB266">
        <v>6.1166428029537201E-2</v>
      </c>
      <c r="FC266">
        <v>0.10810811072587967</v>
      </c>
      <c r="FD266">
        <v>6.970127671957016E-2</v>
      </c>
      <c r="FE266">
        <v>7.6813653111457825E-2</v>
      </c>
      <c r="FF266">
        <v>7.965860515832901E-2</v>
      </c>
      <c r="FG266">
        <v>8.5348509252071381E-2</v>
      </c>
      <c r="FH266">
        <v>8.1081077456474304E-2</v>
      </c>
      <c r="FI266">
        <v>6.6856332123279572E-2</v>
      </c>
      <c r="FJ266">
        <v>9.2460885643959045E-2</v>
      </c>
      <c r="FK266">
        <v>8.5348509252071381E-2</v>
      </c>
      <c r="FL266">
        <v>4.5519202947616577E-2</v>
      </c>
      <c r="FM266">
        <v>9.8150782287120819E-2</v>
      </c>
      <c r="FN266">
        <v>6.6856332123279572E-2</v>
      </c>
      <c r="FO266">
        <v>6.543385237455368E-2</v>
      </c>
      <c r="FP266">
        <v>0.10526315867900848</v>
      </c>
      <c r="FQ266">
        <v>9.1038405895233154E-2</v>
      </c>
      <c r="FR266">
        <v>8.1081077456474304E-2</v>
      </c>
      <c r="FS266">
        <v>4.9786627292633057E-2</v>
      </c>
      <c r="FT266">
        <v>5.8321479707956314E-2</v>
      </c>
      <c r="FU266">
        <v>9.1038405895233154E-2</v>
      </c>
      <c r="FV266">
        <v>7.3968708515167236E-2</v>
      </c>
      <c r="FW266">
        <v>8.8193453848361969E-2</v>
      </c>
      <c r="FX266">
        <v>7.965860515832901E-2</v>
      </c>
      <c r="FY266">
        <v>0.10810811072587967</v>
      </c>
      <c r="FZ266">
        <v>7.3968708515167236E-2</v>
      </c>
      <c r="GA266">
        <v>6.970127671957016E-2</v>
      </c>
      <c r="GB266">
        <v>6.970127671957016E-2</v>
      </c>
      <c r="GC266">
        <v>7.5391180813312531E-2</v>
      </c>
      <c r="GD266">
        <v>6.8278804421424866E-2</v>
      </c>
      <c r="GE266">
        <v>7.2546228766441345E-2</v>
      </c>
      <c r="GF266">
        <v>7.2546228766441345E-2</v>
      </c>
      <c r="GG266">
        <v>8.2503557205200195E-2</v>
      </c>
      <c r="GH266">
        <v>0.1024182066321373</v>
      </c>
      <c r="GI266">
        <v>7.2546228766441345E-2</v>
      </c>
      <c r="GJ266">
        <v>5.4054055362939835E-2</v>
      </c>
      <c r="GK266">
        <v>7.8236132860183716E-2</v>
      </c>
      <c r="GL266">
        <v>8.392602950334549E-2</v>
      </c>
      <c r="GM266">
        <v>6.6856332123279572E-2</v>
      </c>
      <c r="GN266">
        <v>6.1166428029537201E-2</v>
      </c>
      <c r="GO266">
        <v>8.961593359708786E-2</v>
      </c>
      <c r="GP266">
        <v>6.1166428029537201E-2</v>
      </c>
      <c r="GQ266">
        <v>7.1123756468296051E-2</v>
      </c>
      <c r="GR266">
        <v>0.12660028040409088</v>
      </c>
      <c r="GS266">
        <v>7.6813653111457825E-2</v>
      </c>
      <c r="GT266">
        <v>7.6813653111457825E-2</v>
      </c>
      <c r="GU266">
        <v>0.12375533580780029</v>
      </c>
      <c r="GV266">
        <v>6.2588907778263092E-2</v>
      </c>
      <c r="GW266">
        <v>7.8236132860183716E-2</v>
      </c>
      <c r="GX266">
        <v>6.4011380076408386E-2</v>
      </c>
      <c r="GY266">
        <v>6.543385237455368E-2</v>
      </c>
      <c r="GZ266">
        <v>6.543385237455368E-2</v>
      </c>
      <c r="HA266">
        <v>7.8236132860183716E-2</v>
      </c>
      <c r="HB266">
        <v>8.1081077456474304E-2</v>
      </c>
      <c r="HC266">
        <v>6.2588907778263092E-2</v>
      </c>
      <c r="HD266">
        <v>8.392602950334549E-2</v>
      </c>
      <c r="HE266">
        <v>7.1123756468296051E-2</v>
      </c>
      <c r="HF266">
        <v>8.6770981550216675E-2</v>
      </c>
      <c r="HG266">
        <v>8.6770981550216675E-2</v>
      </c>
      <c r="HH266">
        <v>8.8193453848361969E-2</v>
      </c>
      <c r="HI266">
        <v>5.8321479707956314E-2</v>
      </c>
      <c r="HJ266">
        <v>7.965860515832901E-2</v>
      </c>
      <c r="HK266">
        <v>9.388335794210434E-2</v>
      </c>
      <c r="HL266">
        <v>7.2546228766441345E-2</v>
      </c>
      <c r="HM266">
        <v>5.8321479707956314E-2</v>
      </c>
      <c r="HN266">
        <v>7.3968708515167236E-2</v>
      </c>
      <c r="HO266">
        <v>7.5391180813312531E-2</v>
      </c>
      <c r="HP266">
        <v>7.8236132860183716E-2</v>
      </c>
      <c r="HQ266">
        <v>8.2503557205200195E-2</v>
      </c>
      <c r="HR266">
        <v>9.8150782287120819E-2</v>
      </c>
      <c r="HS266">
        <v>0.10526315867900848</v>
      </c>
      <c r="HT266">
        <v>7.6813653111457825E-2</v>
      </c>
      <c r="HU266">
        <v>7.8236132860183716E-2</v>
      </c>
      <c r="HV266">
        <v>7.5391180813312531E-2</v>
      </c>
      <c r="HW266">
        <v>5.5476527661085129E-2</v>
      </c>
      <c r="HX266">
        <v>7.8236132860183716E-2</v>
      </c>
      <c r="HY266">
        <v>9.1038405895233154E-2</v>
      </c>
      <c r="HZ266">
        <v>8.8193453848361969E-2</v>
      </c>
      <c r="IA266">
        <v>5.5476527661085129E-2</v>
      </c>
      <c r="IB266">
        <v>7.5391180813312531E-2</v>
      </c>
      <c r="IC266">
        <v>0.100995734333992</v>
      </c>
      <c r="ID266">
        <v>8.2503557205200195E-2</v>
      </c>
      <c r="IE266">
        <v>8.5348509252071381E-2</v>
      </c>
      <c r="IF266">
        <v>6.970127671957016E-2</v>
      </c>
      <c r="IG266">
        <v>7.2546228766441345E-2</v>
      </c>
      <c r="IH266">
        <v>6.543385237455368E-2</v>
      </c>
      <c r="II266">
        <v>8.2503557205200195E-2</v>
      </c>
      <c r="IJ266">
        <v>7.3968708515167236E-2</v>
      </c>
      <c r="IK266">
        <v>5.8321479707956314E-2</v>
      </c>
      <c r="IL266">
        <v>6.4011380076408386E-2</v>
      </c>
      <c r="IM266">
        <v>6.4011380076408386E-2</v>
      </c>
      <c r="IN266">
        <v>5.6899003684520721E-2</v>
      </c>
      <c r="IO266">
        <v>7.3968708515167236E-2</v>
      </c>
      <c r="IP266">
        <v>6.1166428029537201E-2</v>
      </c>
      <c r="IQ266">
        <v>5.6899003684520721E-2</v>
      </c>
      <c r="IR266">
        <v>7.1123756468296051E-2</v>
      </c>
      <c r="IS266">
        <v>7.6813653111457825E-2</v>
      </c>
      <c r="IT266">
        <v>5.6899003684520721E-2</v>
      </c>
    </row>
    <row r="267" spans="4:260" x14ac:dyDescent="0.25">
      <c r="D267" s="41" t="str" cm="1">
        <f t="array" ref="D267">IF(H267="","",IF(AND(E267&lt;AVERAGE(E266,E268)*($L$19/100),$D$23:D266=""),H267,""))</f>
        <v/>
      </c>
      <c r="E267" s="78">
        <f t="shared" si="4"/>
        <v>3.6577829199177792E-3</v>
      </c>
      <c r="F267" s="79"/>
      <c r="H267">
        <v>245</v>
      </c>
      <c r="I267">
        <v>7.7707782919917784E-2</v>
      </c>
      <c r="K267">
        <v>0.10526315867900848</v>
      </c>
      <c r="L267">
        <v>5.5476527661085129E-2</v>
      </c>
      <c r="M267">
        <v>6.543385237455368E-2</v>
      </c>
      <c r="N267">
        <v>6.970127671957016E-2</v>
      </c>
      <c r="O267">
        <v>7.6813653111457825E-2</v>
      </c>
      <c r="P267">
        <v>8.6770981550216675E-2</v>
      </c>
      <c r="Q267">
        <v>9.2460885643959045E-2</v>
      </c>
      <c r="R267">
        <v>8.1081077456474304E-2</v>
      </c>
      <c r="S267">
        <v>0.10953058302402496</v>
      </c>
      <c r="T267">
        <v>6.4011380076408386E-2</v>
      </c>
      <c r="U267">
        <v>0.10384068638086319</v>
      </c>
      <c r="V267">
        <v>8.1081077456474304E-2</v>
      </c>
      <c r="W267">
        <v>6.543385237455368E-2</v>
      </c>
      <c r="X267">
        <v>6.6856332123279572E-2</v>
      </c>
      <c r="Y267">
        <v>7.1123756468296051E-2</v>
      </c>
      <c r="Z267">
        <v>6.8278804421424866E-2</v>
      </c>
      <c r="AA267">
        <v>9.5305830240249634E-2</v>
      </c>
      <c r="AB267">
        <v>8.8193453848361969E-2</v>
      </c>
      <c r="AC267">
        <v>0.11095305532217026</v>
      </c>
      <c r="AD267">
        <v>6.970127671957016E-2</v>
      </c>
      <c r="AE267">
        <v>0.100995734333992</v>
      </c>
      <c r="AF267">
        <v>6.8278804421424866E-2</v>
      </c>
      <c r="AG267">
        <v>6.543385237455368E-2</v>
      </c>
      <c r="AH267">
        <v>8.5348509252071381E-2</v>
      </c>
      <c r="AI267">
        <v>8.1081077456474304E-2</v>
      </c>
      <c r="AJ267">
        <v>6.543385237455368E-2</v>
      </c>
      <c r="AK267">
        <v>8.5348509252071381E-2</v>
      </c>
      <c r="AL267">
        <v>5.5476527661085129E-2</v>
      </c>
      <c r="AM267">
        <v>8.961593359708786E-2</v>
      </c>
      <c r="AN267">
        <v>6.8278804421424866E-2</v>
      </c>
      <c r="AO267">
        <v>6.970127671957016E-2</v>
      </c>
      <c r="AP267">
        <v>6.6856332123279572E-2</v>
      </c>
      <c r="AQ267">
        <v>6.8278804421424866E-2</v>
      </c>
      <c r="AR267">
        <v>0.10668563097715378</v>
      </c>
      <c r="AS267">
        <v>8.1081077456474304E-2</v>
      </c>
      <c r="AT267">
        <v>5.5476527661085129E-2</v>
      </c>
      <c r="AU267">
        <v>8.5348509252071381E-2</v>
      </c>
      <c r="AV267">
        <v>6.8278804421424866E-2</v>
      </c>
      <c r="AW267">
        <v>8.1081077456474304E-2</v>
      </c>
      <c r="AX267">
        <v>5.6899003684520721E-2</v>
      </c>
      <c r="AY267">
        <v>9.8150782287120819E-2</v>
      </c>
      <c r="AZ267">
        <v>6.8278804421424866E-2</v>
      </c>
      <c r="BA267">
        <v>5.4054055362939835E-2</v>
      </c>
      <c r="BB267">
        <v>8.2503557205200195E-2</v>
      </c>
      <c r="BC267">
        <v>6.4011380076408386E-2</v>
      </c>
      <c r="BD267">
        <v>5.8321479707956314E-2</v>
      </c>
      <c r="BE267">
        <v>5.9743955731391907E-2</v>
      </c>
      <c r="BF267">
        <v>7.2546228766441345E-2</v>
      </c>
      <c r="BG267">
        <v>0.100995734333992</v>
      </c>
      <c r="BH267">
        <v>5.1209103316068649E-2</v>
      </c>
      <c r="BI267">
        <v>9.2460885643959045E-2</v>
      </c>
      <c r="BJ267">
        <v>9.2460885643959045E-2</v>
      </c>
      <c r="BK267">
        <v>6.6856332123279572E-2</v>
      </c>
      <c r="BL267">
        <v>5.8321479707956314E-2</v>
      </c>
      <c r="BM267">
        <v>0.12944523990154266</v>
      </c>
      <c r="BN267">
        <v>5.2631579339504242E-2</v>
      </c>
      <c r="BO267">
        <v>7.3968708515167236E-2</v>
      </c>
      <c r="BP267">
        <v>6.8278804421424866E-2</v>
      </c>
      <c r="BQ267">
        <v>0.10526315867900848</v>
      </c>
      <c r="BR267">
        <v>7.5391180813312531E-2</v>
      </c>
      <c r="BS267">
        <v>6.6856332123279572E-2</v>
      </c>
      <c r="BT267">
        <v>8.392602950334549E-2</v>
      </c>
      <c r="BU267">
        <v>7.3968708515167236E-2</v>
      </c>
      <c r="BV267">
        <v>5.9743955731391907E-2</v>
      </c>
      <c r="BW267">
        <v>5.8321479707956314E-2</v>
      </c>
      <c r="BX267">
        <v>9.2460885643959045E-2</v>
      </c>
      <c r="BY267">
        <v>6.6856332123279572E-2</v>
      </c>
      <c r="BZ267">
        <v>0.12802276015281677</v>
      </c>
      <c r="CA267">
        <v>0.11806543171405792</v>
      </c>
      <c r="CB267">
        <v>7.1123756468296051E-2</v>
      </c>
      <c r="CC267">
        <v>6.543385237455368E-2</v>
      </c>
      <c r="CD267">
        <v>9.2460885643959045E-2</v>
      </c>
      <c r="CE267">
        <v>8.2503557205200195E-2</v>
      </c>
      <c r="CF267">
        <v>6.8278804421424866E-2</v>
      </c>
      <c r="CG267">
        <v>6.4011380076408386E-2</v>
      </c>
      <c r="CH267">
        <v>8.392602950334549E-2</v>
      </c>
      <c r="CI267">
        <v>8.5348509252071381E-2</v>
      </c>
      <c r="CJ267">
        <v>6.970127671957016E-2</v>
      </c>
      <c r="CK267">
        <v>6.6856332123279572E-2</v>
      </c>
      <c r="CL267">
        <v>8.961593359708786E-2</v>
      </c>
      <c r="CM267">
        <v>6.4011380076408386E-2</v>
      </c>
      <c r="CN267">
        <v>6.8278804421424866E-2</v>
      </c>
      <c r="CO267">
        <v>6.8278804421424866E-2</v>
      </c>
      <c r="CP267">
        <v>7.6813653111457825E-2</v>
      </c>
      <c r="CQ267">
        <v>8.8193453848361969E-2</v>
      </c>
      <c r="CR267">
        <v>7.8236132860183716E-2</v>
      </c>
      <c r="CS267">
        <v>8.5348509252071381E-2</v>
      </c>
      <c r="CT267">
        <v>7.1123756468296051E-2</v>
      </c>
      <c r="CU267">
        <v>6.4011380076408386E-2</v>
      </c>
      <c r="CV267">
        <v>0.10384068638086319</v>
      </c>
      <c r="CW267">
        <v>8.961593359708786E-2</v>
      </c>
      <c r="CX267">
        <v>6.4011380076408386E-2</v>
      </c>
      <c r="CY267">
        <v>7.3968708515167236E-2</v>
      </c>
      <c r="CZ267">
        <v>5.4054055362939835E-2</v>
      </c>
      <c r="DA267">
        <v>5.2631579339504242E-2</v>
      </c>
      <c r="DB267">
        <v>6.4011380076408386E-2</v>
      </c>
      <c r="DC267">
        <v>0.10526315867900848</v>
      </c>
      <c r="DD267">
        <v>6.543385237455368E-2</v>
      </c>
      <c r="DE267">
        <v>5.8321479707956314E-2</v>
      </c>
      <c r="DF267">
        <v>8.2503557205200195E-2</v>
      </c>
      <c r="DG267">
        <v>0.12091038376092911</v>
      </c>
      <c r="DH267">
        <v>7.8236132860183716E-2</v>
      </c>
      <c r="DI267">
        <v>6.2588907778263092E-2</v>
      </c>
      <c r="DJ267">
        <v>6.8278804421424866E-2</v>
      </c>
      <c r="DK267">
        <v>7.965860515832901E-2</v>
      </c>
      <c r="DL267">
        <v>5.4054055362939835E-2</v>
      </c>
      <c r="DM267">
        <v>6.1166428029537201E-2</v>
      </c>
      <c r="DN267">
        <v>8.8193453848361969E-2</v>
      </c>
      <c r="DO267">
        <v>7.5391180813312531E-2</v>
      </c>
      <c r="DP267">
        <v>6.970127671957016E-2</v>
      </c>
      <c r="DQ267">
        <v>0.100995734333992</v>
      </c>
      <c r="DR267">
        <v>4.8364154994487762E-2</v>
      </c>
      <c r="DS267">
        <v>7.6813653111457825E-2</v>
      </c>
      <c r="DT267">
        <v>7.1123756468296051E-2</v>
      </c>
      <c r="DU267">
        <v>7.2546228766441345E-2</v>
      </c>
      <c r="DV267">
        <v>0.10668563097715378</v>
      </c>
      <c r="DW267">
        <v>9.8150782287120819E-2</v>
      </c>
      <c r="DX267">
        <v>9.9573254585266113E-2</v>
      </c>
      <c r="DY267">
        <v>6.1166428029537201E-2</v>
      </c>
      <c r="DZ267">
        <v>9.1038405895233154E-2</v>
      </c>
      <c r="EA267">
        <v>8.392602950334549E-2</v>
      </c>
      <c r="EB267">
        <v>6.1166428029537201E-2</v>
      </c>
      <c r="EC267">
        <v>8.5348509252071381E-2</v>
      </c>
      <c r="ED267">
        <v>6.2588907778263092E-2</v>
      </c>
      <c r="EE267">
        <v>6.2588907778263092E-2</v>
      </c>
      <c r="EF267">
        <v>7.3968708515167236E-2</v>
      </c>
      <c r="EG267">
        <v>8.5348509252071381E-2</v>
      </c>
      <c r="EH267">
        <v>6.543385237455368E-2</v>
      </c>
      <c r="EI267">
        <v>6.2588907778263092E-2</v>
      </c>
      <c r="EJ267">
        <v>0.11806543171405792</v>
      </c>
      <c r="EK267">
        <v>7.5391180813312531E-2</v>
      </c>
      <c r="EL267">
        <v>8.961593359708786E-2</v>
      </c>
      <c r="EM267">
        <v>4.4096726924180984E-2</v>
      </c>
      <c r="EN267">
        <v>8.8193453848361969E-2</v>
      </c>
      <c r="EO267">
        <v>0.14082503318786621</v>
      </c>
      <c r="EP267">
        <v>6.1166428029537201E-2</v>
      </c>
      <c r="EQ267">
        <v>7.965860515832901E-2</v>
      </c>
      <c r="ER267">
        <v>9.8150782287120819E-2</v>
      </c>
      <c r="ES267">
        <v>8.5348509252071381E-2</v>
      </c>
      <c r="ET267">
        <v>6.1166428029537201E-2</v>
      </c>
      <c r="EU267">
        <v>7.1123756468296051E-2</v>
      </c>
      <c r="EV267">
        <v>8.5348509252071381E-2</v>
      </c>
      <c r="EW267">
        <v>7.5391180813312531E-2</v>
      </c>
      <c r="EX267">
        <v>5.5476527661085129E-2</v>
      </c>
      <c r="EY267">
        <v>9.6728309988975525E-2</v>
      </c>
      <c r="EZ267">
        <v>8.6770981550216675E-2</v>
      </c>
      <c r="FA267">
        <v>6.970127671957016E-2</v>
      </c>
      <c r="FB267">
        <v>6.4011380076408386E-2</v>
      </c>
      <c r="FC267">
        <v>6.6856332123279572E-2</v>
      </c>
      <c r="FD267">
        <v>6.970127671957016E-2</v>
      </c>
      <c r="FE267">
        <v>7.6813653111457825E-2</v>
      </c>
      <c r="FF267">
        <v>4.9786627292633057E-2</v>
      </c>
      <c r="FG267">
        <v>8.5348509252071381E-2</v>
      </c>
      <c r="FH267">
        <v>7.5391180813312531E-2</v>
      </c>
      <c r="FI267">
        <v>9.6728309988975525E-2</v>
      </c>
      <c r="FJ267">
        <v>5.8321479707956314E-2</v>
      </c>
      <c r="FK267">
        <v>8.6770981550216675E-2</v>
      </c>
      <c r="FL267">
        <v>5.9743955731391907E-2</v>
      </c>
      <c r="FM267">
        <v>7.2546228766441345E-2</v>
      </c>
      <c r="FN267">
        <v>5.8321479707956314E-2</v>
      </c>
      <c r="FO267">
        <v>7.3968708515167236E-2</v>
      </c>
      <c r="FP267">
        <v>6.970127671957016E-2</v>
      </c>
      <c r="FQ267">
        <v>5.6899003684520721E-2</v>
      </c>
      <c r="FR267">
        <v>8.8193453848361969E-2</v>
      </c>
      <c r="FS267">
        <v>8.5348509252071381E-2</v>
      </c>
      <c r="FT267">
        <v>9.1038405895233154E-2</v>
      </c>
      <c r="FU267">
        <v>6.8278804421424866E-2</v>
      </c>
      <c r="FV267">
        <v>6.1166428029537201E-2</v>
      </c>
      <c r="FW267">
        <v>6.8278804421424866E-2</v>
      </c>
      <c r="FX267">
        <v>6.1166428029537201E-2</v>
      </c>
      <c r="FY267">
        <v>7.3968708515167236E-2</v>
      </c>
      <c r="FZ267">
        <v>7.2546228766441345E-2</v>
      </c>
      <c r="GA267">
        <v>5.9743955731391907E-2</v>
      </c>
      <c r="GB267">
        <v>7.8236132860183716E-2</v>
      </c>
      <c r="GC267">
        <v>5.2631579339504242E-2</v>
      </c>
      <c r="GD267">
        <v>7.965860515832901E-2</v>
      </c>
      <c r="GE267">
        <v>8.961593359708786E-2</v>
      </c>
      <c r="GF267">
        <v>6.6856332123279572E-2</v>
      </c>
      <c r="GG267">
        <v>0.1024182066321373</v>
      </c>
      <c r="GH267">
        <v>8.5348509252071381E-2</v>
      </c>
      <c r="GI267">
        <v>5.5476527661085129E-2</v>
      </c>
      <c r="GJ267">
        <v>7.6813653111457825E-2</v>
      </c>
      <c r="GK267">
        <v>7.965860515832901E-2</v>
      </c>
      <c r="GL267">
        <v>7.2546228766441345E-2</v>
      </c>
      <c r="GM267">
        <v>9.1038405895233154E-2</v>
      </c>
      <c r="GN267">
        <v>7.1123756468296051E-2</v>
      </c>
      <c r="GO267">
        <v>6.543385237455368E-2</v>
      </c>
      <c r="GP267">
        <v>0.10668563097715378</v>
      </c>
      <c r="GQ267">
        <v>8.6770981550216675E-2</v>
      </c>
      <c r="GR267">
        <v>9.8150782287120819E-2</v>
      </c>
      <c r="GS267">
        <v>5.9743955731391907E-2</v>
      </c>
      <c r="GT267">
        <v>6.4011380076408386E-2</v>
      </c>
      <c r="GU267">
        <v>5.5476527661085129E-2</v>
      </c>
      <c r="GV267">
        <v>6.970127671957016E-2</v>
      </c>
      <c r="GW267">
        <v>7.6813653111457825E-2</v>
      </c>
      <c r="GX267">
        <v>5.1209103316068649E-2</v>
      </c>
      <c r="GY267">
        <v>9.6728309988975525E-2</v>
      </c>
      <c r="GZ267">
        <v>5.9743955731391907E-2</v>
      </c>
      <c r="HA267">
        <v>8.2503557205200195E-2</v>
      </c>
      <c r="HB267">
        <v>7.3968708515167236E-2</v>
      </c>
      <c r="HC267">
        <v>6.970127671957016E-2</v>
      </c>
      <c r="HD267">
        <v>0.12517781555652618</v>
      </c>
      <c r="HE267">
        <v>4.8364154994487762E-2</v>
      </c>
      <c r="HF267">
        <v>5.8321479707956314E-2</v>
      </c>
      <c r="HG267">
        <v>9.2460885643959045E-2</v>
      </c>
      <c r="HH267">
        <v>0.10384068638086319</v>
      </c>
      <c r="HI267">
        <v>8.6770981550216675E-2</v>
      </c>
      <c r="HJ267">
        <v>6.6856332123279572E-2</v>
      </c>
      <c r="HK267">
        <v>6.970127671957016E-2</v>
      </c>
      <c r="HL267">
        <v>7.1123756468296051E-2</v>
      </c>
      <c r="HM267">
        <v>6.970127671957016E-2</v>
      </c>
      <c r="HN267">
        <v>0.12660028040409088</v>
      </c>
      <c r="HO267">
        <v>6.6856332123279572E-2</v>
      </c>
      <c r="HP267">
        <v>9.388335794210434E-2</v>
      </c>
      <c r="HQ267">
        <v>6.1166428029537201E-2</v>
      </c>
      <c r="HR267">
        <v>8.6770981550216675E-2</v>
      </c>
      <c r="HS267">
        <v>8.392602950334549E-2</v>
      </c>
      <c r="HT267">
        <v>7.965860515832901E-2</v>
      </c>
      <c r="HU267">
        <v>6.8278804421424866E-2</v>
      </c>
      <c r="HV267">
        <v>7.2546228766441345E-2</v>
      </c>
      <c r="HW267">
        <v>8.6770981550216675E-2</v>
      </c>
      <c r="HX267">
        <v>6.543385237455368E-2</v>
      </c>
      <c r="HY267">
        <v>4.8364154994487762E-2</v>
      </c>
      <c r="HZ267">
        <v>8.8193453848361969E-2</v>
      </c>
      <c r="IA267">
        <v>7.3968708515167236E-2</v>
      </c>
      <c r="IB267">
        <v>5.8321479707956314E-2</v>
      </c>
      <c r="IC267">
        <v>0.11806543171405792</v>
      </c>
      <c r="ID267">
        <v>6.1166428029537201E-2</v>
      </c>
      <c r="IE267">
        <v>7.2546228766441345E-2</v>
      </c>
      <c r="IF267">
        <v>5.9743955731391907E-2</v>
      </c>
      <c r="IG267">
        <v>8.5348509252071381E-2</v>
      </c>
      <c r="IH267">
        <v>0.10526315867900848</v>
      </c>
      <c r="II267">
        <v>7.6813653111457825E-2</v>
      </c>
      <c r="IJ267">
        <v>6.543385237455368E-2</v>
      </c>
      <c r="IK267">
        <v>8.8193453848361969E-2</v>
      </c>
      <c r="IL267">
        <v>5.5476527661085129E-2</v>
      </c>
      <c r="IM267">
        <v>9.1038405895233154E-2</v>
      </c>
      <c r="IN267">
        <v>0.10810811072587967</v>
      </c>
      <c r="IO267">
        <v>8.1081077456474304E-2</v>
      </c>
      <c r="IP267">
        <v>8.5348509252071381E-2</v>
      </c>
      <c r="IQ267">
        <v>0.11237553507089615</v>
      </c>
      <c r="IR267">
        <v>9.1038405895233154E-2</v>
      </c>
      <c r="IS267">
        <v>0.1223328560590744</v>
      </c>
      <c r="IT267">
        <v>9.1038405895233154E-2</v>
      </c>
      <c r="IU267">
        <v>0.11379800736904144</v>
      </c>
    </row>
    <row r="268" spans="4:260" x14ac:dyDescent="0.25">
      <c r="D268" s="41" t="str" cm="1">
        <f t="array" ref="D268">IF(H268="","",IF(AND(E268&lt;AVERAGE(E267,E269)*($L$19/100),$D$23:D267=""),H268,""))</f>
        <v/>
      </c>
      <c r="E268" s="78">
        <f t="shared" si="4"/>
        <v>2.3386477798223448E-3</v>
      </c>
      <c r="F268" s="79"/>
      <c r="H268">
        <v>246</v>
      </c>
      <c r="I268">
        <v>7.638864777982235E-2</v>
      </c>
      <c r="K268">
        <v>7.1123756468296051E-2</v>
      </c>
      <c r="L268">
        <v>6.1166428029537201E-2</v>
      </c>
      <c r="M268">
        <v>7.3968708515167236E-2</v>
      </c>
      <c r="N268">
        <v>7.6813653111457825E-2</v>
      </c>
      <c r="O268">
        <v>6.543385237455368E-2</v>
      </c>
      <c r="P268">
        <v>7.6813653111457825E-2</v>
      </c>
      <c r="Q268">
        <v>6.6856332123279572E-2</v>
      </c>
      <c r="R268">
        <v>6.2588907778263092E-2</v>
      </c>
      <c r="S268">
        <v>0.12802276015281677</v>
      </c>
      <c r="T268">
        <v>7.2546228766441345E-2</v>
      </c>
      <c r="U268">
        <v>7.3968708515167236E-2</v>
      </c>
      <c r="V268">
        <v>0.10668563097715378</v>
      </c>
      <c r="W268">
        <v>8.2503557205200195E-2</v>
      </c>
      <c r="X268">
        <v>6.6856332123279572E-2</v>
      </c>
      <c r="Y268">
        <v>8.8193453848361969E-2</v>
      </c>
      <c r="Z268">
        <v>6.8278804421424866E-2</v>
      </c>
      <c r="AA268">
        <v>8.961593359708786E-2</v>
      </c>
      <c r="AB268">
        <v>6.2588907778263092E-2</v>
      </c>
      <c r="AC268">
        <v>0.10810811072587967</v>
      </c>
      <c r="AD268">
        <v>6.2588907778263092E-2</v>
      </c>
      <c r="AE268">
        <v>7.1123756468296051E-2</v>
      </c>
      <c r="AF268">
        <v>0.10953058302402496</v>
      </c>
      <c r="AG268">
        <v>5.9743955731391907E-2</v>
      </c>
      <c r="AH268">
        <v>7.1123756468296051E-2</v>
      </c>
      <c r="AI268">
        <v>6.970127671957016E-2</v>
      </c>
      <c r="AJ268">
        <v>5.9743955731391907E-2</v>
      </c>
      <c r="AK268">
        <v>8.6770981550216675E-2</v>
      </c>
      <c r="AL268">
        <v>6.543385237455368E-2</v>
      </c>
      <c r="AM268">
        <v>5.9743955731391907E-2</v>
      </c>
      <c r="AN268">
        <v>0.1024182066321373</v>
      </c>
      <c r="AO268">
        <v>6.2588907778263092E-2</v>
      </c>
      <c r="AP268">
        <v>6.970127671957016E-2</v>
      </c>
      <c r="AQ268">
        <v>6.970127671957016E-2</v>
      </c>
      <c r="AR268">
        <v>5.9743955731391907E-2</v>
      </c>
      <c r="AS268">
        <v>6.2588907778263092E-2</v>
      </c>
      <c r="AT268">
        <v>6.4011380076408386E-2</v>
      </c>
      <c r="AU268">
        <v>6.1166428029537201E-2</v>
      </c>
      <c r="AV268">
        <v>6.543385237455368E-2</v>
      </c>
      <c r="AW268">
        <v>6.2588907778263092E-2</v>
      </c>
      <c r="AX268">
        <v>8.6770981550216675E-2</v>
      </c>
      <c r="AY268">
        <v>6.2588907778263092E-2</v>
      </c>
      <c r="AZ268">
        <v>7.965860515832901E-2</v>
      </c>
      <c r="BA268">
        <v>6.543385237455368E-2</v>
      </c>
      <c r="BB268">
        <v>6.970127671957016E-2</v>
      </c>
      <c r="BC268">
        <v>7.5391180813312531E-2</v>
      </c>
      <c r="BD268">
        <v>5.8321479707956314E-2</v>
      </c>
      <c r="BE268">
        <v>6.1166428029537201E-2</v>
      </c>
      <c r="BF268">
        <v>8.1081077456474304E-2</v>
      </c>
      <c r="BG268">
        <v>7.6813653111457825E-2</v>
      </c>
      <c r="BH268">
        <v>9.388335794210434E-2</v>
      </c>
      <c r="BI268">
        <v>7.6813653111457825E-2</v>
      </c>
      <c r="BJ268">
        <v>6.1166428029537201E-2</v>
      </c>
      <c r="BK268">
        <v>6.1166428029537201E-2</v>
      </c>
      <c r="BL268">
        <v>8.2503557205200195E-2</v>
      </c>
      <c r="BM268">
        <v>6.543385237455368E-2</v>
      </c>
      <c r="BN268">
        <v>6.970127671957016E-2</v>
      </c>
      <c r="BO268">
        <v>9.5305830240249634E-2</v>
      </c>
      <c r="BP268">
        <v>8.1081077456474304E-2</v>
      </c>
      <c r="BQ268">
        <v>8.1081077456474304E-2</v>
      </c>
      <c r="BR268">
        <v>7.8236132860183716E-2</v>
      </c>
      <c r="BS268">
        <v>7.2546228766441345E-2</v>
      </c>
      <c r="BT268">
        <v>6.6856332123279572E-2</v>
      </c>
      <c r="BU268">
        <v>7.1123756468296051E-2</v>
      </c>
      <c r="BV268">
        <v>8.6770981550216675E-2</v>
      </c>
      <c r="BW268">
        <v>7.1123756468296051E-2</v>
      </c>
      <c r="BX268">
        <v>7.3968708515167236E-2</v>
      </c>
      <c r="BY268">
        <v>6.4011380076408386E-2</v>
      </c>
      <c r="BZ268">
        <v>7.3968708515167236E-2</v>
      </c>
      <c r="CA268">
        <v>6.970127671957016E-2</v>
      </c>
      <c r="CB268">
        <v>4.9786627292633057E-2</v>
      </c>
      <c r="CC268">
        <v>7.6813653111457825E-2</v>
      </c>
      <c r="CD268">
        <v>0.10668563097715378</v>
      </c>
      <c r="CE268">
        <v>5.5476527661085129E-2</v>
      </c>
      <c r="CF268">
        <v>6.8278804421424866E-2</v>
      </c>
      <c r="CG268">
        <v>9.8150782287120819E-2</v>
      </c>
      <c r="CH268">
        <v>6.970127671957016E-2</v>
      </c>
      <c r="CI268">
        <v>6.543385237455368E-2</v>
      </c>
      <c r="CJ268">
        <v>5.2631579339504242E-2</v>
      </c>
      <c r="CK268">
        <v>6.1166428029537201E-2</v>
      </c>
      <c r="CL268">
        <v>6.543385237455368E-2</v>
      </c>
      <c r="CM268">
        <v>7.8236132860183716E-2</v>
      </c>
      <c r="CN268">
        <v>8.5348509252071381E-2</v>
      </c>
      <c r="CO268">
        <v>8.2503557205200195E-2</v>
      </c>
      <c r="CP268">
        <v>7.1123756468296051E-2</v>
      </c>
      <c r="CQ268">
        <v>7.3968708515167236E-2</v>
      </c>
      <c r="CR268">
        <v>9.388335794210434E-2</v>
      </c>
      <c r="CS268">
        <v>7.8236132860183716E-2</v>
      </c>
      <c r="CT268">
        <v>6.2588907778263092E-2</v>
      </c>
      <c r="CU268">
        <v>6.970127671957016E-2</v>
      </c>
      <c r="CV268">
        <v>5.4054055362939835E-2</v>
      </c>
      <c r="CW268">
        <v>0.1024182066321373</v>
      </c>
      <c r="CX268">
        <v>6.2588907778263092E-2</v>
      </c>
      <c r="CY268">
        <v>7.5391180813312531E-2</v>
      </c>
      <c r="CZ268">
        <v>5.5476527661085129E-2</v>
      </c>
      <c r="DA268">
        <v>7.3968708515167236E-2</v>
      </c>
      <c r="DB268">
        <v>7.3968708515167236E-2</v>
      </c>
      <c r="DC268">
        <v>7.2546228766441345E-2</v>
      </c>
      <c r="DD268">
        <v>6.543385237455368E-2</v>
      </c>
      <c r="DE268">
        <v>0.12517781555652618</v>
      </c>
      <c r="DF268">
        <v>5.4054055362939835E-2</v>
      </c>
      <c r="DG268">
        <v>0.10810811072587967</v>
      </c>
      <c r="DH268">
        <v>8.1081077456474304E-2</v>
      </c>
      <c r="DI268">
        <v>5.1209103316068649E-2</v>
      </c>
      <c r="DJ268">
        <v>6.4011380076408386E-2</v>
      </c>
      <c r="DK268">
        <v>7.5391180813312531E-2</v>
      </c>
      <c r="DL268">
        <v>8.1081077456474304E-2</v>
      </c>
      <c r="DM268">
        <v>0.11806543171405792</v>
      </c>
      <c r="DN268">
        <v>7.8236132860183716E-2</v>
      </c>
      <c r="DO268">
        <v>9.2460885643959045E-2</v>
      </c>
      <c r="DP268">
        <v>6.2588907778263092E-2</v>
      </c>
      <c r="DQ268">
        <v>6.8278804421424866E-2</v>
      </c>
      <c r="DR268">
        <v>7.8236132860183716E-2</v>
      </c>
      <c r="DS268">
        <v>7.5391180813312531E-2</v>
      </c>
      <c r="DT268">
        <v>7.5391180813312531E-2</v>
      </c>
      <c r="DU268">
        <v>6.543385237455368E-2</v>
      </c>
      <c r="DV268">
        <v>8.392602950334549E-2</v>
      </c>
      <c r="DW268">
        <v>8.392602950334549E-2</v>
      </c>
      <c r="DX268">
        <v>6.2588907778263092E-2</v>
      </c>
      <c r="DY268">
        <v>7.1123756468296051E-2</v>
      </c>
      <c r="DZ268">
        <v>6.4011380076408386E-2</v>
      </c>
      <c r="EA268">
        <v>7.3968708515167236E-2</v>
      </c>
      <c r="EB268">
        <v>8.392602950334549E-2</v>
      </c>
      <c r="EC268">
        <v>7.2546228766441345E-2</v>
      </c>
      <c r="ED268">
        <v>6.970127671957016E-2</v>
      </c>
      <c r="EE268">
        <v>0.15220484137535095</v>
      </c>
      <c r="EF268">
        <v>5.2631579339504242E-2</v>
      </c>
      <c r="EG268">
        <v>5.8321479707956314E-2</v>
      </c>
      <c r="EH268">
        <v>6.8278804421424866E-2</v>
      </c>
      <c r="EI268">
        <v>7.1123756468296051E-2</v>
      </c>
      <c r="EJ268">
        <v>8.392602950334549E-2</v>
      </c>
      <c r="EK268">
        <v>5.4054055362939835E-2</v>
      </c>
      <c r="EL268">
        <v>7.1123756468296051E-2</v>
      </c>
      <c r="EM268">
        <v>7.6813653111457825E-2</v>
      </c>
      <c r="EN268">
        <v>8.8193453848361969E-2</v>
      </c>
      <c r="EO268">
        <v>6.543385237455368E-2</v>
      </c>
      <c r="EP268">
        <v>0.1024182066321373</v>
      </c>
      <c r="EQ268">
        <v>8.8193453848361969E-2</v>
      </c>
      <c r="ER268">
        <v>6.4011380076408386E-2</v>
      </c>
      <c r="ES268">
        <v>8.6770981550216675E-2</v>
      </c>
      <c r="ET268">
        <v>8.8193453848361969E-2</v>
      </c>
      <c r="EU268">
        <v>6.970127671957016E-2</v>
      </c>
      <c r="EV268">
        <v>7.1123756468296051E-2</v>
      </c>
      <c r="EW268">
        <v>6.6856332123279572E-2</v>
      </c>
      <c r="EX268">
        <v>9.2460885643959045E-2</v>
      </c>
      <c r="EY268">
        <v>8.8193453848361969E-2</v>
      </c>
      <c r="EZ268">
        <v>6.970127671957016E-2</v>
      </c>
      <c r="FA268">
        <v>6.4011380076408386E-2</v>
      </c>
      <c r="FB268">
        <v>0.100995734333992</v>
      </c>
      <c r="FC268">
        <v>7.3968708515167236E-2</v>
      </c>
      <c r="FD268">
        <v>9.6728309988975525E-2</v>
      </c>
      <c r="FE268">
        <v>9.1038405895233154E-2</v>
      </c>
      <c r="FF268">
        <v>0.10668563097715378</v>
      </c>
      <c r="FG268">
        <v>8.5348509252071381E-2</v>
      </c>
      <c r="FH268">
        <v>7.6813653111457825E-2</v>
      </c>
      <c r="FI268">
        <v>6.8278804421424866E-2</v>
      </c>
      <c r="FJ268">
        <v>8.2503557205200195E-2</v>
      </c>
      <c r="FK268">
        <v>6.1166428029537201E-2</v>
      </c>
      <c r="FL268">
        <v>7.1123756468296051E-2</v>
      </c>
      <c r="FM268">
        <v>6.1166428029537201E-2</v>
      </c>
      <c r="FN268">
        <v>6.2588907778263092E-2</v>
      </c>
      <c r="FO268">
        <v>6.970127671957016E-2</v>
      </c>
      <c r="FP268">
        <v>7.1123756468296051E-2</v>
      </c>
      <c r="FQ268">
        <v>9.388335794210434E-2</v>
      </c>
      <c r="FR268">
        <v>0.10526315867900848</v>
      </c>
      <c r="FS268">
        <v>7.6813653111457825E-2</v>
      </c>
      <c r="FT268">
        <v>6.4011380076408386E-2</v>
      </c>
      <c r="FU268">
        <v>7.3968708515167236E-2</v>
      </c>
      <c r="FV268">
        <v>9.5305830240249634E-2</v>
      </c>
      <c r="FW268">
        <v>7.3968708515167236E-2</v>
      </c>
      <c r="FX268">
        <v>4.9786627292633057E-2</v>
      </c>
      <c r="FY268">
        <v>6.543385237455368E-2</v>
      </c>
      <c r="FZ268">
        <v>6.6856332123279572E-2</v>
      </c>
      <c r="GA268">
        <v>6.970127671957016E-2</v>
      </c>
      <c r="GB268">
        <v>7.965860515832901E-2</v>
      </c>
      <c r="GC268">
        <v>7.1123756468296051E-2</v>
      </c>
      <c r="GD268">
        <v>9.388335794210434E-2</v>
      </c>
      <c r="GE268">
        <v>5.8321479707956314E-2</v>
      </c>
      <c r="GF268">
        <v>7.5391180813312531E-2</v>
      </c>
      <c r="GG268">
        <v>8.392602950334549E-2</v>
      </c>
      <c r="GH268">
        <v>7.5391180813312531E-2</v>
      </c>
      <c r="GI268">
        <v>8.1081077456474304E-2</v>
      </c>
      <c r="GJ268">
        <v>8.392602950334549E-2</v>
      </c>
      <c r="GK268">
        <v>0.15647226572036743</v>
      </c>
      <c r="GL268">
        <v>7.3968708515167236E-2</v>
      </c>
      <c r="GM268">
        <v>5.6899003684520721E-2</v>
      </c>
      <c r="GN268">
        <v>9.2460885643959045E-2</v>
      </c>
      <c r="GO268">
        <v>6.6856332123279572E-2</v>
      </c>
      <c r="GP268">
        <v>7.3968708515167236E-2</v>
      </c>
      <c r="GQ268">
        <v>6.970127671957016E-2</v>
      </c>
      <c r="GR268">
        <v>7.8236132860183716E-2</v>
      </c>
      <c r="GS268">
        <v>6.8278804421424866E-2</v>
      </c>
      <c r="GT268">
        <v>0.11379800736904144</v>
      </c>
      <c r="GU268">
        <v>7.2546228766441345E-2</v>
      </c>
      <c r="GV268">
        <v>9.9573254585266113E-2</v>
      </c>
      <c r="GW268">
        <v>7.8236132860183716E-2</v>
      </c>
      <c r="GX268">
        <v>5.1209103316068649E-2</v>
      </c>
      <c r="GY268">
        <v>0.10668563097715378</v>
      </c>
      <c r="GZ268">
        <v>8.5348509252071381E-2</v>
      </c>
      <c r="HA268">
        <v>6.4011380076408386E-2</v>
      </c>
      <c r="HB268">
        <v>7.6813653111457825E-2</v>
      </c>
      <c r="HC268">
        <v>5.4054055362939835E-2</v>
      </c>
      <c r="HD268">
        <v>7.6813653111457825E-2</v>
      </c>
      <c r="HE268">
        <v>6.970127671957016E-2</v>
      </c>
      <c r="HF268">
        <v>9.9573254585266113E-2</v>
      </c>
      <c r="HG268">
        <v>7.6813653111457825E-2</v>
      </c>
      <c r="HH268">
        <v>9.9573254585266113E-2</v>
      </c>
      <c r="HI268">
        <v>7.6813653111457825E-2</v>
      </c>
      <c r="HJ268">
        <v>7.8236132860183716E-2</v>
      </c>
      <c r="HK268">
        <v>7.8078076243400574E-2</v>
      </c>
      <c r="HL268">
        <v>8.1081077456474304E-2</v>
      </c>
      <c r="HM268">
        <v>5.7057056576013565E-2</v>
      </c>
      <c r="HN268">
        <v>7.5075075030326843E-2</v>
      </c>
      <c r="HO268">
        <v>7.2072073817253113E-2</v>
      </c>
      <c r="HP268">
        <v>7.5075075030326843E-2</v>
      </c>
      <c r="HQ268">
        <v>6.756756454706192E-2</v>
      </c>
      <c r="HR268">
        <v>8.8588587939739227E-2</v>
      </c>
      <c r="HS268">
        <v>9.3093089759349823E-2</v>
      </c>
      <c r="HT268">
        <v>7.2072073817253113E-2</v>
      </c>
      <c r="HU268">
        <v>7.2072073817253113E-2</v>
      </c>
      <c r="HV268">
        <v>5.7057056576013565E-2</v>
      </c>
      <c r="HW268">
        <v>0.10510510206222534</v>
      </c>
      <c r="HX268">
        <v>5.855855718255043E-2</v>
      </c>
      <c r="HY268">
        <v>9.3093089759349823E-2</v>
      </c>
      <c r="HZ268">
        <v>8.8588587939739227E-2</v>
      </c>
      <c r="IA268">
        <v>8.7087087333202362E-2</v>
      </c>
      <c r="IB268">
        <v>5.1051050424575806E-2</v>
      </c>
      <c r="IC268">
        <v>0.12162162363529205</v>
      </c>
      <c r="ID268">
        <v>9.0090088546276093E-2</v>
      </c>
      <c r="IE268">
        <v>7.8078076243400574E-2</v>
      </c>
      <c r="IF268">
        <v>0.10060060024261475</v>
      </c>
      <c r="IG268">
        <v>7.2072073817253113E-2</v>
      </c>
      <c r="IH268">
        <v>8.1081077456474304E-2</v>
      </c>
      <c r="II268">
        <v>5.7057056576013565E-2</v>
      </c>
      <c r="IJ268">
        <v>6.9069072604179382E-2</v>
      </c>
      <c r="IK268">
        <v>8.4084086120128632E-2</v>
      </c>
      <c r="IL268">
        <v>6.0060061514377594E-2</v>
      </c>
      <c r="IM268">
        <v>9.7597599029541016E-2</v>
      </c>
      <c r="IN268">
        <v>7.6576575636863708E-2</v>
      </c>
      <c r="IO268">
        <v>6.0060061514377594E-2</v>
      </c>
      <c r="IP268">
        <v>8.7087087333202362E-2</v>
      </c>
      <c r="IQ268">
        <v>6.9069072604179382E-2</v>
      </c>
      <c r="IR268">
        <v>8.2582585513591766E-2</v>
      </c>
      <c r="IS268">
        <v>6.6066063940525055E-2</v>
      </c>
      <c r="IT268">
        <v>6.756756454706192E-2</v>
      </c>
      <c r="IU268">
        <v>6.0060061514377594E-2</v>
      </c>
      <c r="IV268">
        <v>7.9579576849937439E-2</v>
      </c>
    </row>
    <row r="269" spans="4:260" x14ac:dyDescent="0.25">
      <c r="D269" s="41" t="str" cm="1">
        <f t="array" ref="D269">IF(H269="","",IF(AND(E269&lt;AVERAGE(E268,E270)*($L$19/100),$D$23:D268=""),H269,""))</f>
        <v/>
      </c>
      <c r="E269" s="78">
        <f t="shared" si="4"/>
        <v>2.7179038167241126E-3</v>
      </c>
      <c r="F269" s="79"/>
      <c r="H269">
        <v>247</v>
      </c>
      <c r="I269">
        <v>7.6767903816724117E-2</v>
      </c>
      <c r="K269">
        <v>5.4054055362939835E-2</v>
      </c>
      <c r="L269">
        <v>7.8236132860183716E-2</v>
      </c>
      <c r="M269">
        <v>0.100995734333992</v>
      </c>
      <c r="N269">
        <v>5.9743955731391907E-2</v>
      </c>
      <c r="O269">
        <v>0.100995734333992</v>
      </c>
      <c r="P269">
        <v>5.6899003684520721E-2</v>
      </c>
      <c r="Q269">
        <v>7.2546228766441345E-2</v>
      </c>
      <c r="R269">
        <v>6.970127671957016E-2</v>
      </c>
      <c r="S269">
        <v>7.8236132860183716E-2</v>
      </c>
      <c r="T269">
        <v>4.5519202947616577E-2</v>
      </c>
      <c r="U269">
        <v>8.5348509252071381E-2</v>
      </c>
      <c r="V269">
        <v>6.543385237455368E-2</v>
      </c>
      <c r="W269">
        <v>6.4011380076408386E-2</v>
      </c>
      <c r="X269">
        <v>5.8321479707956314E-2</v>
      </c>
      <c r="Y269">
        <v>9.388335794210434E-2</v>
      </c>
      <c r="Z269">
        <v>6.6856332123279572E-2</v>
      </c>
      <c r="AA269">
        <v>7.5391180813312531E-2</v>
      </c>
      <c r="AB269">
        <v>6.1166428029537201E-2</v>
      </c>
      <c r="AC269">
        <v>7.3968708515167236E-2</v>
      </c>
      <c r="AD269">
        <v>8.2503557205200195E-2</v>
      </c>
      <c r="AE269">
        <v>6.543385237455368E-2</v>
      </c>
      <c r="AF269">
        <v>6.6856332123279572E-2</v>
      </c>
      <c r="AG269">
        <v>6.970127671957016E-2</v>
      </c>
      <c r="AH269">
        <v>6.6856332123279572E-2</v>
      </c>
      <c r="AI269">
        <v>0.1422475129365921</v>
      </c>
      <c r="AJ269">
        <v>9.388335794210434E-2</v>
      </c>
      <c r="AK269">
        <v>8.5348509252071381E-2</v>
      </c>
      <c r="AL269">
        <v>7.5391180813312531E-2</v>
      </c>
      <c r="AM269">
        <v>6.6856332123279572E-2</v>
      </c>
      <c r="AN269">
        <v>7.8236132860183716E-2</v>
      </c>
      <c r="AO269">
        <v>5.5476527661085129E-2</v>
      </c>
      <c r="AP269">
        <v>5.2631579339504242E-2</v>
      </c>
      <c r="AQ269">
        <v>8.8193453848361969E-2</v>
      </c>
      <c r="AR269">
        <v>6.2588907778263092E-2</v>
      </c>
      <c r="AS269">
        <v>7.3968708515167236E-2</v>
      </c>
      <c r="AT269">
        <v>6.970127671957016E-2</v>
      </c>
      <c r="AU269">
        <v>0.11095305532217026</v>
      </c>
      <c r="AV269">
        <v>7.3968708515167236E-2</v>
      </c>
      <c r="AW269">
        <v>0.10953058302402496</v>
      </c>
      <c r="AX269">
        <v>5.2631579339504242E-2</v>
      </c>
      <c r="AY269">
        <v>6.6856332123279572E-2</v>
      </c>
      <c r="AZ269">
        <v>7.965860515832901E-2</v>
      </c>
      <c r="BA269">
        <v>6.970127671957016E-2</v>
      </c>
      <c r="BB269">
        <v>7.3968708515167236E-2</v>
      </c>
      <c r="BC269">
        <v>8.1081077456474304E-2</v>
      </c>
      <c r="BD269">
        <v>4.9786627292633057E-2</v>
      </c>
      <c r="BE269">
        <v>8.6770981550216675E-2</v>
      </c>
      <c r="BF269">
        <v>6.6856332123279572E-2</v>
      </c>
      <c r="BG269">
        <v>6.2588907778263092E-2</v>
      </c>
      <c r="BH269">
        <v>9.9573254585266113E-2</v>
      </c>
      <c r="BI269">
        <v>0.10810811072587967</v>
      </c>
      <c r="BJ269">
        <v>6.2588907778263092E-2</v>
      </c>
      <c r="BK269">
        <v>8.6770981550216675E-2</v>
      </c>
      <c r="BL269">
        <v>5.4054055362939835E-2</v>
      </c>
      <c r="BM269">
        <v>5.8321479707956314E-2</v>
      </c>
      <c r="BN269">
        <v>7.8236132860183716E-2</v>
      </c>
      <c r="BO269">
        <v>6.543385237455368E-2</v>
      </c>
      <c r="BP269">
        <v>7.2546228766441345E-2</v>
      </c>
      <c r="BQ269">
        <v>9.1038405895233154E-2</v>
      </c>
      <c r="BR269">
        <v>0.100995734333992</v>
      </c>
      <c r="BS269">
        <v>6.8278804421424866E-2</v>
      </c>
      <c r="BT269">
        <v>8.6770981550216675E-2</v>
      </c>
      <c r="BU269">
        <v>6.970127671957016E-2</v>
      </c>
      <c r="BV269">
        <v>7.1123756468296051E-2</v>
      </c>
      <c r="BW269">
        <v>4.5519202947616577E-2</v>
      </c>
      <c r="BX269">
        <v>7.965860515832901E-2</v>
      </c>
      <c r="BY269">
        <v>4.8364154994487762E-2</v>
      </c>
      <c r="BZ269">
        <v>7.3968708515167236E-2</v>
      </c>
      <c r="CA269">
        <v>6.543385237455368E-2</v>
      </c>
      <c r="CB269">
        <v>8.2503557205200195E-2</v>
      </c>
      <c r="CC269">
        <v>0.11948791146278381</v>
      </c>
      <c r="CD269">
        <v>7.1123756468296051E-2</v>
      </c>
      <c r="CE269">
        <v>5.5476527661085129E-2</v>
      </c>
      <c r="CF269">
        <v>7.2546228766441345E-2</v>
      </c>
      <c r="CG269">
        <v>0.11095305532217026</v>
      </c>
      <c r="CH269">
        <v>5.9743955731391907E-2</v>
      </c>
      <c r="CI269">
        <v>7.6813653111457825E-2</v>
      </c>
      <c r="CJ269">
        <v>7.8236132860183716E-2</v>
      </c>
      <c r="CK269">
        <v>5.2631579339504242E-2</v>
      </c>
      <c r="CL269">
        <v>9.388335794210434E-2</v>
      </c>
      <c r="CM269">
        <v>7.1123756468296051E-2</v>
      </c>
      <c r="CN269">
        <v>0.10384068638086319</v>
      </c>
      <c r="CO269">
        <v>6.970127671957016E-2</v>
      </c>
      <c r="CP269">
        <v>6.4011380076408386E-2</v>
      </c>
      <c r="CQ269">
        <v>0.100995734333992</v>
      </c>
      <c r="CR269">
        <v>5.8321479707956314E-2</v>
      </c>
      <c r="CS269">
        <v>7.5391180813312531E-2</v>
      </c>
      <c r="CT269">
        <v>6.8278804421424866E-2</v>
      </c>
      <c r="CU269">
        <v>5.6899003684520721E-2</v>
      </c>
      <c r="CV269">
        <v>0.10384068638086319</v>
      </c>
      <c r="CW269">
        <v>8.8193453848361969E-2</v>
      </c>
      <c r="CX269">
        <v>0.12660028040409088</v>
      </c>
      <c r="CY269">
        <v>6.2588907778263092E-2</v>
      </c>
      <c r="CZ269">
        <v>5.9743955731391907E-2</v>
      </c>
      <c r="DA269">
        <v>8.961593359708786E-2</v>
      </c>
      <c r="DB269">
        <v>7.2546228766441345E-2</v>
      </c>
      <c r="DC269">
        <v>9.1038405895233154E-2</v>
      </c>
      <c r="DD269">
        <v>8.2503557205200195E-2</v>
      </c>
      <c r="DE269">
        <v>0.10668563097715378</v>
      </c>
      <c r="DF269">
        <v>6.4011380076408386E-2</v>
      </c>
      <c r="DG269">
        <v>8.1081077456474304E-2</v>
      </c>
      <c r="DH269">
        <v>0.10526315867900848</v>
      </c>
      <c r="DI269">
        <v>0.13086770474910736</v>
      </c>
      <c r="DJ269">
        <v>8.1081077456474304E-2</v>
      </c>
      <c r="DK269">
        <v>7.3968708515167236E-2</v>
      </c>
      <c r="DL269">
        <v>7.6813653111457825E-2</v>
      </c>
      <c r="DM269">
        <v>6.543385237455368E-2</v>
      </c>
      <c r="DN269">
        <v>6.8278804421424866E-2</v>
      </c>
      <c r="DO269">
        <v>9.6728309988975525E-2</v>
      </c>
      <c r="DP269">
        <v>8.5348509252071381E-2</v>
      </c>
      <c r="DQ269">
        <v>7.965860515832901E-2</v>
      </c>
      <c r="DR269">
        <v>7.3968708515167236E-2</v>
      </c>
      <c r="DS269">
        <v>8.5348509252071381E-2</v>
      </c>
      <c r="DT269">
        <v>7.2546228766441345E-2</v>
      </c>
      <c r="DU269">
        <v>8.8193453848361969E-2</v>
      </c>
      <c r="DV269">
        <v>0.1223328560590744</v>
      </c>
      <c r="DW269">
        <v>5.8321479707956314E-2</v>
      </c>
      <c r="DX269">
        <v>0.10384068638086319</v>
      </c>
      <c r="DY269">
        <v>8.2503557205200195E-2</v>
      </c>
      <c r="DZ269">
        <v>8.961593359708786E-2</v>
      </c>
      <c r="EA269">
        <v>6.1166428029537201E-2</v>
      </c>
      <c r="EB269">
        <v>5.4054055362939835E-2</v>
      </c>
      <c r="EC269">
        <v>0.11948791146278381</v>
      </c>
      <c r="ED269">
        <v>6.2588907778263092E-2</v>
      </c>
      <c r="EE269">
        <v>7.3968708515167236E-2</v>
      </c>
      <c r="EF269">
        <v>8.5348509252071381E-2</v>
      </c>
      <c r="EG269">
        <v>7.5391180813312531E-2</v>
      </c>
      <c r="EH269">
        <v>6.2588907778263092E-2</v>
      </c>
      <c r="EI269">
        <v>8.2503557205200195E-2</v>
      </c>
      <c r="EJ269">
        <v>5.5476527661085129E-2</v>
      </c>
      <c r="EK269">
        <v>7.8236132860183716E-2</v>
      </c>
      <c r="EL269">
        <v>7.8236132860183716E-2</v>
      </c>
      <c r="EM269">
        <v>6.6856332123279572E-2</v>
      </c>
      <c r="EN269">
        <v>0.11379800736904144</v>
      </c>
      <c r="EO269">
        <v>5.9743955731391907E-2</v>
      </c>
      <c r="EP269">
        <v>0.10668563097715378</v>
      </c>
      <c r="EQ269">
        <v>6.970127671957016E-2</v>
      </c>
      <c r="ER269">
        <v>0.11379800736904144</v>
      </c>
      <c r="ES269">
        <v>8.2503557205200195E-2</v>
      </c>
      <c r="ET269">
        <v>5.1209103316068649E-2</v>
      </c>
      <c r="EU269">
        <v>6.4011380076408386E-2</v>
      </c>
      <c r="EV269">
        <v>9.9573254585266113E-2</v>
      </c>
      <c r="EW269">
        <v>6.6856332123279572E-2</v>
      </c>
      <c r="EX269">
        <v>7.965860515832901E-2</v>
      </c>
      <c r="EY269">
        <v>5.4054055362939835E-2</v>
      </c>
      <c r="EZ269">
        <v>5.9743955731391907E-2</v>
      </c>
      <c r="FA269">
        <v>9.5305830240249634E-2</v>
      </c>
      <c r="FB269">
        <v>6.8278804421424866E-2</v>
      </c>
      <c r="FC269">
        <v>5.5476527661085129E-2</v>
      </c>
      <c r="FD269">
        <v>8.1081077456474304E-2</v>
      </c>
      <c r="FE269">
        <v>6.6856332123279572E-2</v>
      </c>
      <c r="FF269">
        <v>7.8236132860183716E-2</v>
      </c>
      <c r="FG269">
        <v>9.5305830240249634E-2</v>
      </c>
      <c r="FH269">
        <v>5.8321479707956314E-2</v>
      </c>
      <c r="FI269">
        <v>7.5391180813312531E-2</v>
      </c>
      <c r="FJ269">
        <v>8.8193453848361969E-2</v>
      </c>
      <c r="FK269">
        <v>7.1123756468296051E-2</v>
      </c>
      <c r="FL269">
        <v>5.2631579339504242E-2</v>
      </c>
      <c r="FM269">
        <v>7.3968708515167236E-2</v>
      </c>
      <c r="FN269">
        <v>6.970127671957016E-2</v>
      </c>
      <c r="FO269">
        <v>9.388335794210434E-2</v>
      </c>
      <c r="FP269">
        <v>6.2588907778263092E-2</v>
      </c>
      <c r="FQ269">
        <v>5.2631579339504242E-2</v>
      </c>
      <c r="FR269">
        <v>9.6728309988975525E-2</v>
      </c>
      <c r="FS269">
        <v>8.5348509252071381E-2</v>
      </c>
      <c r="FT269">
        <v>4.5519202947616577E-2</v>
      </c>
      <c r="FU269">
        <v>8.392602950334549E-2</v>
      </c>
      <c r="FV269">
        <v>7.1123756468296051E-2</v>
      </c>
      <c r="FW269">
        <v>6.4011380076408386E-2</v>
      </c>
      <c r="FX269">
        <v>7.3968708515167236E-2</v>
      </c>
      <c r="FY269">
        <v>7.3968708515167236E-2</v>
      </c>
      <c r="FZ269">
        <v>0.10510510206222534</v>
      </c>
      <c r="GA269">
        <v>6.756756454706192E-2</v>
      </c>
      <c r="GB269">
        <v>7.2072073817253113E-2</v>
      </c>
      <c r="GC269">
        <v>9.9099099636077881E-2</v>
      </c>
      <c r="GD269">
        <v>7.5075075030326843E-2</v>
      </c>
      <c r="GE269">
        <v>7.9579576849937439E-2</v>
      </c>
      <c r="GF269">
        <v>7.8078076243400574E-2</v>
      </c>
      <c r="GG269">
        <v>6.1561562120914459E-2</v>
      </c>
      <c r="GH269">
        <v>6.1561562120914459E-2</v>
      </c>
      <c r="GI269">
        <v>6.9069072604179382E-2</v>
      </c>
      <c r="GJ269">
        <v>7.2072073817253113E-2</v>
      </c>
      <c r="GK269">
        <v>5.1051050424575806E-2</v>
      </c>
      <c r="GL269">
        <v>8.4084086120128632E-2</v>
      </c>
      <c r="GM269">
        <v>7.0570573210716248E-2</v>
      </c>
      <c r="GN269">
        <v>0.10060060024261475</v>
      </c>
      <c r="GO269">
        <v>7.8078076243400574E-2</v>
      </c>
      <c r="GP269">
        <v>8.2582585513591766E-2</v>
      </c>
      <c r="GQ269">
        <v>6.756756454706192E-2</v>
      </c>
      <c r="GR269">
        <v>6.6066063940525055E-2</v>
      </c>
      <c r="GS269">
        <v>6.6066063940525055E-2</v>
      </c>
      <c r="GT269">
        <v>0.10510510206222534</v>
      </c>
      <c r="GU269">
        <v>6.456456333398819E-2</v>
      </c>
      <c r="GV269">
        <v>6.756756454706192E-2</v>
      </c>
      <c r="GW269">
        <v>9.3093089759349823E-2</v>
      </c>
      <c r="GX269">
        <v>8.5585586726665497E-2</v>
      </c>
      <c r="GY269">
        <v>7.3573574423789978E-2</v>
      </c>
      <c r="GZ269">
        <v>9.4594597816467285E-2</v>
      </c>
      <c r="HA269">
        <v>7.5075075030326843E-2</v>
      </c>
      <c r="HB269">
        <v>8.1081077456474304E-2</v>
      </c>
      <c r="HC269">
        <v>7.3573574423789978E-2</v>
      </c>
      <c r="HD269">
        <v>8.2582585513591766E-2</v>
      </c>
      <c r="HE269">
        <v>8.7087087333202362E-2</v>
      </c>
      <c r="HF269">
        <v>5.1051050424575806E-2</v>
      </c>
      <c r="HG269">
        <v>9.9099099636077881E-2</v>
      </c>
      <c r="HH269">
        <v>7.0570573210716248E-2</v>
      </c>
      <c r="HI269">
        <v>8.4084086120128632E-2</v>
      </c>
      <c r="HJ269">
        <v>9.0090088546276093E-2</v>
      </c>
      <c r="HK269">
        <v>8.5585586726665497E-2</v>
      </c>
      <c r="HL269">
        <v>7.2072073817253113E-2</v>
      </c>
      <c r="HM269">
        <v>5.7057056576013565E-2</v>
      </c>
      <c r="HN269">
        <v>9.3093089759349823E-2</v>
      </c>
      <c r="HO269">
        <v>7.3573574423789978E-2</v>
      </c>
      <c r="HP269">
        <v>6.1561562120914459E-2</v>
      </c>
      <c r="HQ269">
        <v>8.8588587939739227E-2</v>
      </c>
      <c r="HR269">
        <v>7.9579576849937439E-2</v>
      </c>
      <c r="HS269">
        <v>7.9579576849937439E-2</v>
      </c>
      <c r="HT269">
        <v>8.4084086120128632E-2</v>
      </c>
      <c r="HU269">
        <v>7.9579576849937439E-2</v>
      </c>
      <c r="HV269">
        <v>7.8078076243400574E-2</v>
      </c>
      <c r="HW269">
        <v>8.8588587939739227E-2</v>
      </c>
      <c r="HX269">
        <v>5.55555559694767E-2</v>
      </c>
      <c r="HY269">
        <v>6.6066063940525055E-2</v>
      </c>
      <c r="HZ269">
        <v>7.0570573210716248E-2</v>
      </c>
      <c r="IA269">
        <v>5.855855718255043E-2</v>
      </c>
      <c r="IB269">
        <v>6.756756454706192E-2</v>
      </c>
      <c r="IC269">
        <v>7.0570573210716248E-2</v>
      </c>
      <c r="ID269">
        <v>7.8078076243400574E-2</v>
      </c>
      <c r="IE269">
        <v>6.0060061514377594E-2</v>
      </c>
      <c r="IF269">
        <v>0.12162162363529205</v>
      </c>
      <c r="IG269">
        <v>7.2072073817253113E-2</v>
      </c>
      <c r="IH269">
        <v>7.3573574423789978E-2</v>
      </c>
      <c r="II269">
        <v>7.0570573210716248E-2</v>
      </c>
      <c r="IJ269">
        <v>7.3573574423789978E-2</v>
      </c>
      <c r="IK269">
        <v>7.0570573210716248E-2</v>
      </c>
      <c r="IL269">
        <v>7.0570573210716248E-2</v>
      </c>
      <c r="IM269">
        <v>5.55555559694767E-2</v>
      </c>
      <c r="IN269">
        <v>7.3573574423789978E-2</v>
      </c>
      <c r="IO269">
        <v>7.2072073817253113E-2</v>
      </c>
      <c r="IP269">
        <v>7.0570573210716248E-2</v>
      </c>
      <c r="IQ269">
        <v>6.456456333398819E-2</v>
      </c>
      <c r="IR269">
        <v>0.10060060024261475</v>
      </c>
      <c r="IS269">
        <v>8.2582585513591766E-2</v>
      </c>
      <c r="IT269">
        <v>7.9579576849937439E-2</v>
      </c>
      <c r="IU269">
        <v>8.4084086120128632E-2</v>
      </c>
      <c r="IV269">
        <v>5.855855718255043E-2</v>
      </c>
      <c r="IW269">
        <v>8.4084086120128632E-2</v>
      </c>
    </row>
    <row r="270" spans="4:260" x14ac:dyDescent="0.25">
      <c r="D270" s="41" t="str" cm="1">
        <f t="array" ref="D270">IF(H270="","",IF(AND(E270&lt;AVERAGE(E269,E271)*($L$19/100),$D$23:D269=""),H270,""))</f>
        <v/>
      </c>
      <c r="E270" s="78">
        <f t="shared" si="4"/>
        <v>2.6989688831471625E-3</v>
      </c>
      <c r="F270" s="79"/>
      <c r="H270">
        <v>248</v>
      </c>
      <c r="I270">
        <v>7.6748968883147167E-2</v>
      </c>
      <c r="K270">
        <v>6.970127671957016E-2</v>
      </c>
      <c r="L270">
        <v>8.2503557205200195E-2</v>
      </c>
      <c r="M270">
        <v>8.8193453848361969E-2</v>
      </c>
      <c r="N270">
        <v>8.2503557205200195E-2</v>
      </c>
      <c r="O270">
        <v>5.8321479707956314E-2</v>
      </c>
      <c r="P270">
        <v>9.388335794210434E-2</v>
      </c>
      <c r="Q270">
        <v>7.8236132860183716E-2</v>
      </c>
      <c r="R270">
        <v>5.5476527661085129E-2</v>
      </c>
      <c r="S270">
        <v>7.2546228766441345E-2</v>
      </c>
      <c r="T270">
        <v>7.8236132860183716E-2</v>
      </c>
      <c r="U270">
        <v>6.2588907778263092E-2</v>
      </c>
      <c r="V270">
        <v>0.11237553507089615</v>
      </c>
      <c r="W270">
        <v>7.3968708515167236E-2</v>
      </c>
      <c r="X270">
        <v>7.8236132860183716E-2</v>
      </c>
      <c r="Y270">
        <v>7.2546228766441345E-2</v>
      </c>
      <c r="Z270">
        <v>6.543385237455368E-2</v>
      </c>
      <c r="AA270">
        <v>0.10526315867900848</v>
      </c>
      <c r="AB270">
        <v>9.2460885643959045E-2</v>
      </c>
      <c r="AC270">
        <v>7.8236132860183716E-2</v>
      </c>
      <c r="AD270">
        <v>5.2631579339504242E-2</v>
      </c>
      <c r="AE270">
        <v>6.6856332123279572E-2</v>
      </c>
      <c r="AF270">
        <v>9.2460885643959045E-2</v>
      </c>
      <c r="AG270">
        <v>6.2588907778263092E-2</v>
      </c>
      <c r="AH270">
        <v>5.9743955731391907E-2</v>
      </c>
      <c r="AI270">
        <v>4.8364154994487762E-2</v>
      </c>
      <c r="AJ270">
        <v>7.1123756468296051E-2</v>
      </c>
      <c r="AK270">
        <v>5.2631579339504242E-2</v>
      </c>
      <c r="AL270">
        <v>7.965860515832901E-2</v>
      </c>
      <c r="AM270">
        <v>7.5391180813312531E-2</v>
      </c>
      <c r="AN270">
        <v>7.965860515832901E-2</v>
      </c>
      <c r="AO270">
        <v>4.8364154994487762E-2</v>
      </c>
      <c r="AP270">
        <v>8.6770981550216675E-2</v>
      </c>
      <c r="AQ270">
        <v>7.3968708515167236E-2</v>
      </c>
      <c r="AR270">
        <v>8.961593359708786E-2</v>
      </c>
      <c r="AS270">
        <v>6.6856332123279572E-2</v>
      </c>
      <c r="AT270">
        <v>6.2588907778263092E-2</v>
      </c>
      <c r="AU270">
        <v>6.2588907778263092E-2</v>
      </c>
      <c r="AV270">
        <v>7.965860515832901E-2</v>
      </c>
      <c r="AW270">
        <v>7.1123756468296051E-2</v>
      </c>
      <c r="AX270">
        <v>7.5391180813312531E-2</v>
      </c>
      <c r="AY270">
        <v>6.8278804421424866E-2</v>
      </c>
      <c r="AZ270">
        <v>0.12091038376092911</v>
      </c>
      <c r="BA270">
        <v>5.8321479707956314E-2</v>
      </c>
      <c r="BB270">
        <v>5.4054055362939835E-2</v>
      </c>
      <c r="BC270">
        <v>0.11237553507089615</v>
      </c>
      <c r="BD270">
        <v>5.4054055362939835E-2</v>
      </c>
      <c r="BE270">
        <v>6.4011380076408386E-2</v>
      </c>
      <c r="BF270">
        <v>6.4011380076408386E-2</v>
      </c>
      <c r="BG270">
        <v>8.392602950334549E-2</v>
      </c>
      <c r="BH270">
        <v>5.9743955731391907E-2</v>
      </c>
      <c r="BI270">
        <v>8.1081077456474304E-2</v>
      </c>
      <c r="BJ270">
        <v>5.1209103316068649E-2</v>
      </c>
      <c r="BK270">
        <v>7.1123756468296051E-2</v>
      </c>
      <c r="BL270">
        <v>6.970127671957016E-2</v>
      </c>
      <c r="BM270">
        <v>6.2588907778263092E-2</v>
      </c>
      <c r="BN270">
        <v>7.965860515832901E-2</v>
      </c>
      <c r="BO270">
        <v>0.1024182066321373</v>
      </c>
      <c r="BP270">
        <v>6.543385237455368E-2</v>
      </c>
      <c r="BQ270">
        <v>6.8278804421424866E-2</v>
      </c>
      <c r="BR270">
        <v>7.8236132860183716E-2</v>
      </c>
      <c r="BS270">
        <v>7.6813653111457825E-2</v>
      </c>
      <c r="BT270">
        <v>9.6728309988975525E-2</v>
      </c>
      <c r="BU270">
        <v>7.5391180813312531E-2</v>
      </c>
      <c r="BV270">
        <v>9.9573254585266113E-2</v>
      </c>
      <c r="BW270">
        <v>9.5305830240249634E-2</v>
      </c>
      <c r="BX270">
        <v>7.8236132860183716E-2</v>
      </c>
      <c r="BY270">
        <v>9.2460885643959045E-2</v>
      </c>
      <c r="BZ270">
        <v>7.2546228766441345E-2</v>
      </c>
      <c r="CA270">
        <v>0.100995734333992</v>
      </c>
      <c r="CB270">
        <v>5.6899003684520721E-2</v>
      </c>
      <c r="CC270">
        <v>8.8193453848361969E-2</v>
      </c>
      <c r="CD270">
        <v>5.9743955731391907E-2</v>
      </c>
      <c r="CE270">
        <v>0.11095305532217026</v>
      </c>
      <c r="CF270">
        <v>7.2546228766441345E-2</v>
      </c>
      <c r="CG270">
        <v>7.965860515832901E-2</v>
      </c>
      <c r="CH270">
        <v>9.9573254585266113E-2</v>
      </c>
      <c r="CI270">
        <v>6.2588907778263092E-2</v>
      </c>
      <c r="CJ270">
        <v>7.965860515832901E-2</v>
      </c>
      <c r="CK270">
        <v>7.5391180813312531E-2</v>
      </c>
      <c r="CL270">
        <v>0.17923186719417572</v>
      </c>
      <c r="CM270">
        <v>6.6856332123279572E-2</v>
      </c>
      <c r="CN270">
        <v>5.9743955731391907E-2</v>
      </c>
      <c r="CO270">
        <v>7.6813653111457825E-2</v>
      </c>
      <c r="CP270">
        <v>5.6899003684520721E-2</v>
      </c>
      <c r="CQ270">
        <v>7.6813653111457825E-2</v>
      </c>
      <c r="CR270">
        <v>6.543385237455368E-2</v>
      </c>
      <c r="CS270">
        <v>8.5348509252071381E-2</v>
      </c>
      <c r="CT270">
        <v>6.8278804421424866E-2</v>
      </c>
      <c r="CU270">
        <v>6.1166428029537201E-2</v>
      </c>
      <c r="CV270">
        <v>9.8150782287120819E-2</v>
      </c>
      <c r="CW270">
        <v>6.543385237455368E-2</v>
      </c>
      <c r="CX270">
        <v>7.1123756468296051E-2</v>
      </c>
      <c r="CY270">
        <v>5.8321479707956314E-2</v>
      </c>
      <c r="CZ270">
        <v>7.3968708515167236E-2</v>
      </c>
      <c r="DA270">
        <v>7.965860515832901E-2</v>
      </c>
      <c r="DB270">
        <v>8.8193453848361969E-2</v>
      </c>
      <c r="DC270">
        <v>8.2503557205200195E-2</v>
      </c>
      <c r="DD270">
        <v>8.8193453848361969E-2</v>
      </c>
      <c r="DE270">
        <v>7.965860515832901E-2</v>
      </c>
      <c r="DF270">
        <v>6.2588907778263092E-2</v>
      </c>
      <c r="DG270">
        <v>0.1422475129365921</v>
      </c>
      <c r="DH270">
        <v>7.1123756468296051E-2</v>
      </c>
      <c r="DI270">
        <v>0.10953058302402496</v>
      </c>
      <c r="DJ270">
        <v>5.4054055362939835E-2</v>
      </c>
      <c r="DK270">
        <v>6.2588907778263092E-2</v>
      </c>
      <c r="DL270">
        <v>7.965860515832901E-2</v>
      </c>
      <c r="DM270">
        <v>6.2588907778263092E-2</v>
      </c>
      <c r="DN270">
        <v>5.4054055362939835E-2</v>
      </c>
      <c r="DO270">
        <v>0.12091038376092911</v>
      </c>
      <c r="DP270">
        <v>9.5305830240249634E-2</v>
      </c>
      <c r="DQ270">
        <v>6.543385237455368E-2</v>
      </c>
      <c r="DR270">
        <v>7.2546228766441345E-2</v>
      </c>
      <c r="DS270">
        <v>8.8193453848361969E-2</v>
      </c>
      <c r="DT270">
        <v>5.5476527661085129E-2</v>
      </c>
      <c r="DU270">
        <v>8.5348509252071381E-2</v>
      </c>
      <c r="DV270">
        <v>8.392602950334549E-2</v>
      </c>
      <c r="DW270">
        <v>8.5348509252071381E-2</v>
      </c>
      <c r="DX270">
        <v>8.6770981550216675E-2</v>
      </c>
      <c r="DY270">
        <v>6.970127671957016E-2</v>
      </c>
      <c r="DZ270">
        <v>8.6770981550216675E-2</v>
      </c>
      <c r="EA270">
        <v>4.9786627292633057E-2</v>
      </c>
      <c r="EB270">
        <v>0.15504978597164154</v>
      </c>
      <c r="EC270">
        <v>9.1038405895233154E-2</v>
      </c>
      <c r="ED270">
        <v>7.5391180813312531E-2</v>
      </c>
      <c r="EE270">
        <v>7.3968708515167236E-2</v>
      </c>
      <c r="EF270">
        <v>6.970127671957016E-2</v>
      </c>
      <c r="EG270">
        <v>8.6770981550216675E-2</v>
      </c>
      <c r="EH270">
        <v>6.543385237455368E-2</v>
      </c>
      <c r="EI270">
        <v>8.6770981550216675E-2</v>
      </c>
      <c r="EJ270">
        <v>8.392602950334549E-2</v>
      </c>
      <c r="EK270">
        <v>6.970127671957016E-2</v>
      </c>
      <c r="EL270">
        <v>8.8193453848361969E-2</v>
      </c>
      <c r="EM270">
        <v>5.8321479707956314E-2</v>
      </c>
      <c r="EN270">
        <v>6.1166428029537201E-2</v>
      </c>
      <c r="EO270">
        <v>9.9099099636077881E-2</v>
      </c>
      <c r="EP270">
        <v>5.855855718255043E-2</v>
      </c>
      <c r="EQ270">
        <v>6.3063062727451324E-2</v>
      </c>
      <c r="ER270">
        <v>9.3093089759349823E-2</v>
      </c>
      <c r="ES270">
        <v>0.10210210084915161</v>
      </c>
      <c r="ET270">
        <v>8.8588587939739227E-2</v>
      </c>
      <c r="EU270">
        <v>6.456456333398819E-2</v>
      </c>
      <c r="EV270">
        <v>8.8588587939739227E-2</v>
      </c>
      <c r="EW270">
        <v>5.55555559694767E-2</v>
      </c>
      <c r="EX270">
        <v>5.2552551031112671E-2</v>
      </c>
      <c r="EY270">
        <v>6.456456333398819E-2</v>
      </c>
      <c r="EZ270">
        <v>5.2552551031112671E-2</v>
      </c>
      <c r="FA270">
        <v>8.4084086120128632E-2</v>
      </c>
      <c r="FB270">
        <v>9.1591589152812958E-2</v>
      </c>
      <c r="FC270">
        <v>4.6546544879674911E-2</v>
      </c>
      <c r="FD270">
        <v>8.2582585513591766E-2</v>
      </c>
      <c r="FE270">
        <v>0.10510510206222534</v>
      </c>
      <c r="FF270">
        <v>6.9069072604179382E-2</v>
      </c>
      <c r="FG270">
        <v>7.8078076243400574E-2</v>
      </c>
      <c r="FH270">
        <v>6.6066063940525055E-2</v>
      </c>
      <c r="FI270">
        <v>7.6576575636863708E-2</v>
      </c>
      <c r="FJ270">
        <v>0.10960961133241653</v>
      </c>
      <c r="FK270">
        <v>7.5075075030326843E-2</v>
      </c>
      <c r="FL270">
        <v>7.2072073817253113E-2</v>
      </c>
      <c r="FM270">
        <v>6.3063062727451324E-2</v>
      </c>
      <c r="FN270">
        <v>6.6066063940525055E-2</v>
      </c>
      <c r="FO270">
        <v>0.10360360145568848</v>
      </c>
      <c r="FP270">
        <v>7.9579576849937439E-2</v>
      </c>
      <c r="FQ270">
        <v>5.55555559694767E-2</v>
      </c>
      <c r="FR270">
        <v>5.855855718255043E-2</v>
      </c>
      <c r="FS270">
        <v>8.1081077456474304E-2</v>
      </c>
      <c r="FT270">
        <v>6.6066063940525055E-2</v>
      </c>
      <c r="FU270">
        <v>7.8078076243400574E-2</v>
      </c>
      <c r="FV270">
        <v>7.3573574423789978E-2</v>
      </c>
      <c r="FW270">
        <v>8.8588587939739227E-2</v>
      </c>
      <c r="FX270">
        <v>6.9069072604179382E-2</v>
      </c>
      <c r="FY270">
        <v>0.10060060024261475</v>
      </c>
      <c r="FZ270">
        <v>6.0060061514377594E-2</v>
      </c>
      <c r="GA270">
        <v>4.8048049211502075E-2</v>
      </c>
      <c r="GB270">
        <v>9.4594597816467285E-2</v>
      </c>
      <c r="GC270">
        <v>6.3063062727451324E-2</v>
      </c>
      <c r="GD270">
        <v>7.2072073817253113E-2</v>
      </c>
      <c r="GE270">
        <v>8.1081077456474304E-2</v>
      </c>
      <c r="GF270">
        <v>8.8588587939739227E-2</v>
      </c>
      <c r="GG270">
        <v>0.1411411464214325</v>
      </c>
      <c r="GH270">
        <v>5.4054055362939835E-2</v>
      </c>
      <c r="GI270">
        <v>0.115615613758564</v>
      </c>
      <c r="GJ270">
        <v>7.2072073817253113E-2</v>
      </c>
      <c r="GK270">
        <v>6.756756454706192E-2</v>
      </c>
      <c r="GL270">
        <v>0.10360360145568848</v>
      </c>
      <c r="GM270">
        <v>5.2552551031112671E-2</v>
      </c>
      <c r="GN270">
        <v>5.1051050424575806E-2</v>
      </c>
      <c r="GO270">
        <v>5.2552551031112671E-2</v>
      </c>
      <c r="GP270">
        <v>7.3573574423789978E-2</v>
      </c>
      <c r="GQ270">
        <v>5.55555559694767E-2</v>
      </c>
      <c r="GR270">
        <v>8.2582585513591766E-2</v>
      </c>
      <c r="GS270">
        <v>5.7057056576013565E-2</v>
      </c>
      <c r="GT270">
        <v>8.7087087333202362E-2</v>
      </c>
      <c r="GU270">
        <v>6.3063062727451324E-2</v>
      </c>
      <c r="GV270">
        <v>7.3573574423789978E-2</v>
      </c>
      <c r="GW270">
        <v>0.10210210084915161</v>
      </c>
      <c r="GX270">
        <v>5.4054055362939835E-2</v>
      </c>
      <c r="GY270">
        <v>0.1111111119389534</v>
      </c>
      <c r="GZ270">
        <v>8.4084086120128632E-2</v>
      </c>
      <c r="HA270">
        <v>8.2582585513591766E-2</v>
      </c>
      <c r="HB270">
        <v>9.3093089759349823E-2</v>
      </c>
      <c r="HC270">
        <v>7.6576575636863708E-2</v>
      </c>
      <c r="HD270">
        <v>7.6576575636863708E-2</v>
      </c>
      <c r="HE270">
        <v>7.6576575636863708E-2</v>
      </c>
      <c r="HF270">
        <v>5.855855718255043E-2</v>
      </c>
      <c r="HG270">
        <v>7.2072073817253113E-2</v>
      </c>
      <c r="HH270">
        <v>8.2582585513591766E-2</v>
      </c>
      <c r="HI270">
        <v>6.9069072604179382E-2</v>
      </c>
      <c r="HJ270">
        <v>7.5075075030326843E-2</v>
      </c>
      <c r="HK270">
        <v>7.9579576849937439E-2</v>
      </c>
      <c r="HL270">
        <v>7.5075075030326843E-2</v>
      </c>
      <c r="HM270">
        <v>7.2072073817253113E-2</v>
      </c>
      <c r="HN270">
        <v>4.954954981803894E-2</v>
      </c>
      <c r="HO270">
        <v>6.756756454706192E-2</v>
      </c>
      <c r="HP270">
        <v>9.609609842300415E-2</v>
      </c>
      <c r="HQ270">
        <v>5.4054055362939835E-2</v>
      </c>
      <c r="HR270">
        <v>8.2582585513591766E-2</v>
      </c>
      <c r="HS270">
        <v>5.1051050424575806E-2</v>
      </c>
      <c r="HT270">
        <v>5.55555559694767E-2</v>
      </c>
      <c r="HU270">
        <v>9.609609842300415E-2</v>
      </c>
      <c r="HV270">
        <v>7.9579576849937439E-2</v>
      </c>
      <c r="HW270">
        <v>7.8078076243400574E-2</v>
      </c>
      <c r="HX270">
        <v>8.2582585513591766E-2</v>
      </c>
      <c r="HY270">
        <v>5.1051050424575806E-2</v>
      </c>
      <c r="HZ270">
        <v>7.6576575636863708E-2</v>
      </c>
      <c r="IA270">
        <v>9.0090088546276093E-2</v>
      </c>
      <c r="IB270">
        <v>5.855855718255043E-2</v>
      </c>
      <c r="IC270">
        <v>6.1561562120914459E-2</v>
      </c>
      <c r="ID270">
        <v>6.9069072604179382E-2</v>
      </c>
      <c r="IE270">
        <v>0.12012012302875519</v>
      </c>
      <c r="IF270">
        <v>6.9069072604179382E-2</v>
      </c>
      <c r="IG270">
        <v>5.55555559694767E-2</v>
      </c>
      <c r="IH270">
        <v>7.0570573210716248E-2</v>
      </c>
      <c r="II270">
        <v>8.1081077456474304E-2</v>
      </c>
      <c r="IJ270">
        <v>6.0060061514377594E-2</v>
      </c>
      <c r="IK270">
        <v>7.8078076243400574E-2</v>
      </c>
      <c r="IL270">
        <v>8.8588587939739227E-2</v>
      </c>
      <c r="IM270">
        <v>8.2582585513591766E-2</v>
      </c>
      <c r="IN270">
        <v>9.0090088546276093E-2</v>
      </c>
      <c r="IO270">
        <v>8.4084086120128632E-2</v>
      </c>
      <c r="IP270">
        <v>7.9579576849937439E-2</v>
      </c>
      <c r="IQ270">
        <v>8.4084086120128632E-2</v>
      </c>
      <c r="IR270">
        <v>6.1561562120914459E-2</v>
      </c>
      <c r="IS270">
        <v>8.5585586726665497E-2</v>
      </c>
      <c r="IT270">
        <v>7.5075075030326843E-2</v>
      </c>
      <c r="IU270">
        <v>6.3063062727451324E-2</v>
      </c>
      <c r="IV270">
        <v>5.855855718255043E-2</v>
      </c>
      <c r="IW270">
        <v>7.0570573210716248E-2</v>
      </c>
      <c r="IX270">
        <v>0.10960961133241653</v>
      </c>
    </row>
    <row r="271" spans="4:260" x14ac:dyDescent="0.25">
      <c r="D271" s="41" t="str" cm="1">
        <f t="array" ref="D271">IF(H271="","",IF(AND(E271&lt;AVERAGE(E270,E272)*($L$19/100),$D$23:D270=""),H271,""))</f>
        <v/>
      </c>
      <c r="E271" s="78">
        <f t="shared" si="4"/>
        <v>2.5846562040378745E-3</v>
      </c>
      <c r="F271" s="79"/>
      <c r="H271">
        <v>249</v>
      </c>
      <c r="I271">
        <v>7.6634656204037879E-2</v>
      </c>
      <c r="K271">
        <v>6.8278804421424866E-2</v>
      </c>
      <c r="L271">
        <v>6.543385237455368E-2</v>
      </c>
      <c r="M271">
        <v>6.1166428029537201E-2</v>
      </c>
      <c r="N271">
        <v>7.965860515832901E-2</v>
      </c>
      <c r="O271">
        <v>7.1123756468296051E-2</v>
      </c>
      <c r="P271">
        <v>5.5476527661085129E-2</v>
      </c>
      <c r="Q271">
        <v>5.4054055362939835E-2</v>
      </c>
      <c r="R271">
        <v>5.2631579339504242E-2</v>
      </c>
      <c r="S271">
        <v>7.1123756468296051E-2</v>
      </c>
      <c r="T271">
        <v>8.961593359708786E-2</v>
      </c>
      <c r="U271">
        <v>8.6770981550216675E-2</v>
      </c>
      <c r="V271">
        <v>5.4054055362939835E-2</v>
      </c>
      <c r="W271">
        <v>7.965860515832901E-2</v>
      </c>
      <c r="X271">
        <v>9.6728309988975525E-2</v>
      </c>
      <c r="Y271">
        <v>7.1123756468296051E-2</v>
      </c>
      <c r="Z271">
        <v>9.8150782287120819E-2</v>
      </c>
      <c r="AA271">
        <v>0.10668563097715378</v>
      </c>
      <c r="AB271">
        <v>6.2588907778263092E-2</v>
      </c>
      <c r="AC271">
        <v>6.6856332123279572E-2</v>
      </c>
      <c r="AD271">
        <v>5.9743955731391907E-2</v>
      </c>
      <c r="AE271">
        <v>0.11664295941591263</v>
      </c>
      <c r="AF271">
        <v>7.3968708515167236E-2</v>
      </c>
      <c r="AG271">
        <v>6.970127671957016E-2</v>
      </c>
      <c r="AH271">
        <v>0.100995734333992</v>
      </c>
      <c r="AI271">
        <v>8.2503557205200195E-2</v>
      </c>
      <c r="AJ271">
        <v>5.8321479707956314E-2</v>
      </c>
      <c r="AK271">
        <v>9.1038405895233154E-2</v>
      </c>
      <c r="AL271">
        <v>9.2460885643959045E-2</v>
      </c>
      <c r="AM271">
        <v>8.1081077456474304E-2</v>
      </c>
      <c r="AN271">
        <v>7.8236132860183716E-2</v>
      </c>
      <c r="AO271">
        <v>5.6899003684520721E-2</v>
      </c>
      <c r="AP271">
        <v>7.8236132860183716E-2</v>
      </c>
      <c r="AQ271">
        <v>5.6899003684520721E-2</v>
      </c>
      <c r="AR271">
        <v>7.3968708515167236E-2</v>
      </c>
      <c r="AS271">
        <v>7.965860515832901E-2</v>
      </c>
      <c r="AT271">
        <v>0.100995734333992</v>
      </c>
      <c r="AU271">
        <v>9.388335794210434E-2</v>
      </c>
      <c r="AV271">
        <v>8.961593359708786E-2</v>
      </c>
      <c r="AW271">
        <v>7.6813653111457825E-2</v>
      </c>
      <c r="AX271">
        <v>7.965860515832901E-2</v>
      </c>
      <c r="AY271">
        <v>7.3968708515167236E-2</v>
      </c>
      <c r="AZ271">
        <v>0.11948791146278381</v>
      </c>
      <c r="BA271">
        <v>6.543385237455368E-2</v>
      </c>
      <c r="BB271">
        <v>5.1209103316068649E-2</v>
      </c>
      <c r="BC271">
        <v>6.543385237455368E-2</v>
      </c>
      <c r="BD271">
        <v>8.392602950334549E-2</v>
      </c>
      <c r="BE271">
        <v>6.543385237455368E-2</v>
      </c>
      <c r="BF271">
        <v>6.4011380076408386E-2</v>
      </c>
      <c r="BG271">
        <v>7.965860515832901E-2</v>
      </c>
      <c r="BH271">
        <v>7.965860515832901E-2</v>
      </c>
      <c r="BI271">
        <v>0.10384068638086319</v>
      </c>
      <c r="BJ271">
        <v>7.8236132860183716E-2</v>
      </c>
      <c r="BK271">
        <v>8.8193453848361969E-2</v>
      </c>
      <c r="BL271">
        <v>5.8321479707956314E-2</v>
      </c>
      <c r="BM271">
        <v>6.8278804421424866E-2</v>
      </c>
      <c r="BN271">
        <v>6.543385237455368E-2</v>
      </c>
      <c r="BO271">
        <v>6.970127671957016E-2</v>
      </c>
      <c r="BP271">
        <v>7.1123756468296051E-2</v>
      </c>
      <c r="BQ271">
        <v>7.8236132860183716E-2</v>
      </c>
      <c r="BR271">
        <v>7.6813653111457825E-2</v>
      </c>
      <c r="BS271">
        <v>7.8236132860183716E-2</v>
      </c>
      <c r="BT271">
        <v>0.11664295941591263</v>
      </c>
      <c r="BU271">
        <v>7.1123756468296051E-2</v>
      </c>
      <c r="BV271">
        <v>8.1081077456474304E-2</v>
      </c>
      <c r="BW271">
        <v>0.12660028040409088</v>
      </c>
      <c r="BX271">
        <v>6.4011380076408386E-2</v>
      </c>
      <c r="BY271">
        <v>7.965860515832901E-2</v>
      </c>
      <c r="BZ271">
        <v>6.543385237455368E-2</v>
      </c>
      <c r="CA271">
        <v>8.1081077456474304E-2</v>
      </c>
      <c r="CB271">
        <v>0.1024182066321373</v>
      </c>
      <c r="CC271">
        <v>7.3968708515167236E-2</v>
      </c>
      <c r="CD271">
        <v>7.6813653111457825E-2</v>
      </c>
      <c r="CE271">
        <v>5.6899003684520721E-2</v>
      </c>
      <c r="CF271">
        <v>0.11664295941591263</v>
      </c>
      <c r="CG271">
        <v>5.2631579339504242E-2</v>
      </c>
      <c r="CH271">
        <v>9.9573254585266113E-2</v>
      </c>
      <c r="CI271">
        <v>6.4011380076408386E-2</v>
      </c>
      <c r="CJ271">
        <v>9.5305830240249634E-2</v>
      </c>
      <c r="CK271">
        <v>7.1123756468296051E-2</v>
      </c>
      <c r="CL271">
        <v>7.2546228766441345E-2</v>
      </c>
      <c r="CM271">
        <v>7.3968708515167236E-2</v>
      </c>
      <c r="CN271">
        <v>7.2546228766441345E-2</v>
      </c>
      <c r="CO271">
        <v>6.6856332123279572E-2</v>
      </c>
      <c r="CP271">
        <v>7.3968708515167236E-2</v>
      </c>
      <c r="CQ271">
        <v>7.965860515832901E-2</v>
      </c>
      <c r="CR271">
        <v>7.1123756468296051E-2</v>
      </c>
      <c r="CS271">
        <v>9.8150782287120819E-2</v>
      </c>
      <c r="CT271">
        <v>0.10526315867900848</v>
      </c>
      <c r="CU271">
        <v>8.6770981550216675E-2</v>
      </c>
      <c r="CV271">
        <v>6.1166428029537201E-2</v>
      </c>
      <c r="CW271">
        <v>0.11237553507089615</v>
      </c>
      <c r="CX271">
        <v>7.2546228766441345E-2</v>
      </c>
      <c r="CY271">
        <v>0.11237553507089615</v>
      </c>
      <c r="CZ271">
        <v>7.5391180813312531E-2</v>
      </c>
      <c r="DA271">
        <v>7.965860515832901E-2</v>
      </c>
      <c r="DB271">
        <v>6.4011380076408386E-2</v>
      </c>
      <c r="DC271">
        <v>6.4011380076408386E-2</v>
      </c>
      <c r="DD271">
        <v>6.456456333398819E-2</v>
      </c>
      <c r="DE271">
        <v>6.9069072604179382E-2</v>
      </c>
      <c r="DF271">
        <v>7.3573574423789978E-2</v>
      </c>
      <c r="DG271">
        <v>7.6576575636863708E-2</v>
      </c>
      <c r="DH271">
        <v>0.10960961133241653</v>
      </c>
      <c r="DI271">
        <v>7.2072073817253113E-2</v>
      </c>
      <c r="DJ271">
        <v>7.6576575636863708E-2</v>
      </c>
      <c r="DK271">
        <v>7.6576575636863708E-2</v>
      </c>
      <c r="DL271">
        <v>9.7597599029541016E-2</v>
      </c>
      <c r="DM271">
        <v>7.9579576849937439E-2</v>
      </c>
      <c r="DN271">
        <v>8.2582585513591766E-2</v>
      </c>
      <c r="DO271">
        <v>7.2072073817253113E-2</v>
      </c>
      <c r="DP271">
        <v>6.3063062727451324E-2</v>
      </c>
      <c r="DQ271">
        <v>9.7597599029541016E-2</v>
      </c>
      <c r="DR271">
        <v>5.2552551031112671E-2</v>
      </c>
      <c r="DS271">
        <v>8.2582585513591766E-2</v>
      </c>
      <c r="DT271">
        <v>6.456456333398819E-2</v>
      </c>
      <c r="DU271">
        <v>6.756756454706192E-2</v>
      </c>
      <c r="DV271">
        <v>6.756756454706192E-2</v>
      </c>
      <c r="DW271">
        <v>7.0570573210716248E-2</v>
      </c>
      <c r="DX271">
        <v>6.1561562120914459E-2</v>
      </c>
      <c r="DY271">
        <v>5.55555559694767E-2</v>
      </c>
      <c r="DZ271">
        <v>7.6576575636863708E-2</v>
      </c>
      <c r="EA271">
        <v>5.4054055362939835E-2</v>
      </c>
      <c r="EB271">
        <v>7.8078076243400574E-2</v>
      </c>
      <c r="EC271">
        <v>7.5075075030326843E-2</v>
      </c>
      <c r="ED271">
        <v>0.11411411315202713</v>
      </c>
      <c r="EE271">
        <v>6.1561562120914459E-2</v>
      </c>
      <c r="EF271">
        <v>8.2582585513591766E-2</v>
      </c>
      <c r="EG271">
        <v>5.1051050424575806E-2</v>
      </c>
      <c r="EH271">
        <v>8.5585586726665497E-2</v>
      </c>
      <c r="EI271">
        <v>7.3573574423789978E-2</v>
      </c>
      <c r="EJ271">
        <v>6.0060061514377594E-2</v>
      </c>
      <c r="EK271">
        <v>6.0060061514377594E-2</v>
      </c>
      <c r="EL271">
        <v>6.1561562120914459E-2</v>
      </c>
      <c r="EM271">
        <v>8.5585586726665497E-2</v>
      </c>
      <c r="EN271">
        <v>7.8078076243400574E-2</v>
      </c>
      <c r="EO271">
        <v>6.6066063940525055E-2</v>
      </c>
      <c r="EP271">
        <v>6.756756454706192E-2</v>
      </c>
      <c r="EQ271">
        <v>7.8078076243400574E-2</v>
      </c>
      <c r="ER271">
        <v>7.3573574423789978E-2</v>
      </c>
      <c r="ES271">
        <v>6.0060061514377594E-2</v>
      </c>
      <c r="ET271">
        <v>0.10960961133241653</v>
      </c>
      <c r="EU271">
        <v>5.55555559694767E-2</v>
      </c>
      <c r="EV271">
        <v>6.6066063940525055E-2</v>
      </c>
      <c r="EW271">
        <v>5.7057056576013565E-2</v>
      </c>
      <c r="EX271">
        <v>0.11261261254549026</v>
      </c>
      <c r="EY271">
        <v>6.1561562120914459E-2</v>
      </c>
      <c r="EZ271">
        <v>8.4084086120128632E-2</v>
      </c>
      <c r="FA271">
        <v>7.5075075030326843E-2</v>
      </c>
      <c r="FB271">
        <v>5.55555559694767E-2</v>
      </c>
      <c r="FC271">
        <v>0.10510510206222534</v>
      </c>
      <c r="FD271">
        <v>7.0570573210716248E-2</v>
      </c>
      <c r="FE271">
        <v>6.9069072604179382E-2</v>
      </c>
      <c r="FF271">
        <v>8.5585586726665497E-2</v>
      </c>
      <c r="FG271">
        <v>6.1561562120914459E-2</v>
      </c>
      <c r="FH271">
        <v>5.7057056576013565E-2</v>
      </c>
      <c r="FI271">
        <v>0.15765765309333801</v>
      </c>
      <c r="FJ271">
        <v>7.0570573210716248E-2</v>
      </c>
      <c r="FK271">
        <v>6.456456333398819E-2</v>
      </c>
      <c r="FL271">
        <v>8.2582585513591766E-2</v>
      </c>
      <c r="FM271">
        <v>0.10960961133241653</v>
      </c>
      <c r="FN271">
        <v>5.4054055362939835E-2</v>
      </c>
      <c r="FO271">
        <v>6.456456333398819E-2</v>
      </c>
      <c r="FP271">
        <v>7.3573574423789978E-2</v>
      </c>
      <c r="FQ271">
        <v>6.6066063940525055E-2</v>
      </c>
      <c r="FR271">
        <v>6.456456333398819E-2</v>
      </c>
      <c r="FS271">
        <v>7.9579576849937439E-2</v>
      </c>
      <c r="FT271">
        <v>8.2582585513591766E-2</v>
      </c>
      <c r="FU271">
        <v>5.55555559694767E-2</v>
      </c>
      <c r="FV271">
        <v>7.8078076243400574E-2</v>
      </c>
      <c r="FW271">
        <v>6.9069072604179382E-2</v>
      </c>
      <c r="FX271">
        <v>0.1066066101193428</v>
      </c>
      <c r="FY271">
        <v>7.5075075030326843E-2</v>
      </c>
      <c r="FZ271">
        <v>9.4594597816467285E-2</v>
      </c>
      <c r="GA271">
        <v>0.10210210084915161</v>
      </c>
      <c r="GB271">
        <v>7.3573574423789978E-2</v>
      </c>
      <c r="GC271">
        <v>8.7087087333202362E-2</v>
      </c>
      <c r="GD271">
        <v>0.10360360145568848</v>
      </c>
      <c r="GE271">
        <v>5.2552551031112671E-2</v>
      </c>
      <c r="GF271">
        <v>6.6066063940525055E-2</v>
      </c>
      <c r="GG271">
        <v>6.3063062727451324E-2</v>
      </c>
      <c r="GH271">
        <v>8.5585586726665497E-2</v>
      </c>
      <c r="GI271">
        <v>7.5075075030326843E-2</v>
      </c>
      <c r="GJ271">
        <v>6.3063062727451324E-2</v>
      </c>
      <c r="GK271">
        <v>7.2072073817253113E-2</v>
      </c>
      <c r="GL271">
        <v>9.0090088546276093E-2</v>
      </c>
      <c r="GM271">
        <v>6.756756454706192E-2</v>
      </c>
      <c r="GN271">
        <v>6.6066063940525055E-2</v>
      </c>
      <c r="GO271">
        <v>7.6576575636863708E-2</v>
      </c>
      <c r="GP271">
        <v>4.6546544879674911E-2</v>
      </c>
      <c r="GQ271">
        <v>7.3573574423789978E-2</v>
      </c>
      <c r="GR271">
        <v>7.8078076243400574E-2</v>
      </c>
      <c r="GS271">
        <v>5.55555559694767E-2</v>
      </c>
      <c r="GT271">
        <v>8.5585586726665497E-2</v>
      </c>
      <c r="GU271">
        <v>7.3573574423789978E-2</v>
      </c>
      <c r="GV271">
        <v>9.0090088546276093E-2</v>
      </c>
      <c r="GW271">
        <v>7.3573574423789978E-2</v>
      </c>
      <c r="GX271">
        <v>7.3573574423789978E-2</v>
      </c>
      <c r="GY271">
        <v>5.2552551031112671E-2</v>
      </c>
      <c r="GZ271">
        <v>8.2582585513591766E-2</v>
      </c>
      <c r="HA271">
        <v>0.12612612545490265</v>
      </c>
      <c r="HB271">
        <v>0.10210210084915161</v>
      </c>
      <c r="HC271">
        <v>7.0570573210716248E-2</v>
      </c>
      <c r="HD271">
        <v>8.2582585513591766E-2</v>
      </c>
      <c r="HE271">
        <v>5.855855718255043E-2</v>
      </c>
      <c r="HF271">
        <v>9.7597599029541016E-2</v>
      </c>
      <c r="HG271">
        <v>5.1051050424575806E-2</v>
      </c>
      <c r="HH271">
        <v>0.10060060024261475</v>
      </c>
      <c r="HI271">
        <v>9.1591589152812958E-2</v>
      </c>
      <c r="HJ271">
        <v>6.6066063940525055E-2</v>
      </c>
      <c r="HK271">
        <v>7.6576575636863708E-2</v>
      </c>
      <c r="HL271">
        <v>6.9069072604179382E-2</v>
      </c>
      <c r="HM271">
        <v>6.456456333398819E-2</v>
      </c>
      <c r="HN271">
        <v>7.0570573210716248E-2</v>
      </c>
      <c r="HO271">
        <v>7.9579576849937439E-2</v>
      </c>
      <c r="HP271">
        <v>8.2582585513591766E-2</v>
      </c>
      <c r="HQ271">
        <v>8.1081077456474304E-2</v>
      </c>
      <c r="HR271">
        <v>0.12912912666797638</v>
      </c>
      <c r="HS271">
        <v>6.0060061514377594E-2</v>
      </c>
      <c r="HT271">
        <v>8.2582585513591766E-2</v>
      </c>
      <c r="HU271">
        <v>0.1066066101193428</v>
      </c>
      <c r="HV271">
        <v>5.7057056576013565E-2</v>
      </c>
      <c r="HW271">
        <v>5.55555559694767E-2</v>
      </c>
      <c r="HX271">
        <v>9.7597599029541016E-2</v>
      </c>
      <c r="HY271">
        <v>6.456456333398819E-2</v>
      </c>
      <c r="HZ271">
        <v>5.2552551031112671E-2</v>
      </c>
      <c r="IA271">
        <v>6.3063062727451324E-2</v>
      </c>
      <c r="IB271">
        <v>6.3063062727451324E-2</v>
      </c>
      <c r="IC271">
        <v>6.0060061514377594E-2</v>
      </c>
      <c r="ID271">
        <v>0.10210210084915161</v>
      </c>
      <c r="IE271">
        <v>7.5075075030326843E-2</v>
      </c>
      <c r="IF271">
        <v>9.4594597816467285E-2</v>
      </c>
      <c r="IG271">
        <v>0.13213212788105011</v>
      </c>
      <c r="IH271">
        <v>6.6066063940525055E-2</v>
      </c>
      <c r="II271">
        <v>6.756756454706192E-2</v>
      </c>
      <c r="IJ271">
        <v>7.6576575636863708E-2</v>
      </c>
      <c r="IK271">
        <v>6.6066063940525055E-2</v>
      </c>
      <c r="IL271">
        <v>7.0570573210716248E-2</v>
      </c>
      <c r="IM271">
        <v>7.0570573210716248E-2</v>
      </c>
      <c r="IN271">
        <v>9.1591589152812958E-2</v>
      </c>
      <c r="IO271">
        <v>6.6066063940525055E-2</v>
      </c>
      <c r="IP271">
        <v>5.1051050424575806E-2</v>
      </c>
      <c r="IQ271">
        <v>6.756756454706192E-2</v>
      </c>
      <c r="IR271">
        <v>5.855855718255043E-2</v>
      </c>
      <c r="IS271">
        <v>5.1051050424575806E-2</v>
      </c>
      <c r="IT271">
        <v>6.6066063940525055E-2</v>
      </c>
      <c r="IU271">
        <v>6.456456333398819E-2</v>
      </c>
      <c r="IV271">
        <v>8.2582585513591766E-2</v>
      </c>
      <c r="IW271">
        <v>7.3573574423789978E-2</v>
      </c>
      <c r="IX271">
        <v>6.0060061514377594E-2</v>
      </c>
      <c r="IY271">
        <v>7.9579576849937439E-2</v>
      </c>
    </row>
    <row r="272" spans="4:260" x14ac:dyDescent="0.25">
      <c r="D272" s="41" t="str" cm="1">
        <f t="array" ref="D272">IF(H272="","",IF(AND(E272&lt;AVERAGE(E271,E273)*($L$19/100),$D$23:D271=""),H272,""))</f>
        <v/>
      </c>
      <c r="E272" s="78">
        <f t="shared" si="4"/>
        <v>2.7323611795902203E-3</v>
      </c>
      <c r="F272" s="79"/>
      <c r="H272">
        <v>250</v>
      </c>
      <c r="I272">
        <v>7.6782361179590225E-2</v>
      </c>
      <c r="K272">
        <v>7.6813653111457825E-2</v>
      </c>
      <c r="L272">
        <v>8.392602950334549E-2</v>
      </c>
      <c r="M272">
        <v>8.6770981550216675E-2</v>
      </c>
      <c r="N272">
        <v>0.100995734333992</v>
      </c>
      <c r="O272">
        <v>9.8150782287120819E-2</v>
      </c>
      <c r="P272">
        <v>6.2588907778263092E-2</v>
      </c>
      <c r="Q272">
        <v>8.2503557205200195E-2</v>
      </c>
      <c r="R272">
        <v>6.4011380076408386E-2</v>
      </c>
      <c r="S272">
        <v>6.2588907778263092E-2</v>
      </c>
      <c r="T272">
        <v>6.6856332123279572E-2</v>
      </c>
      <c r="U272">
        <v>6.1166428029537201E-2</v>
      </c>
      <c r="V272">
        <v>6.2588907778263092E-2</v>
      </c>
      <c r="W272">
        <v>7.2546228766441345E-2</v>
      </c>
      <c r="X272">
        <v>7.3968708515167236E-2</v>
      </c>
      <c r="Y272">
        <v>7.3968708515167236E-2</v>
      </c>
      <c r="Z272">
        <v>7.2546228766441345E-2</v>
      </c>
      <c r="AA272">
        <v>6.970127671957016E-2</v>
      </c>
      <c r="AB272">
        <v>0.12802276015281677</v>
      </c>
      <c r="AC272">
        <v>7.3968708515167236E-2</v>
      </c>
      <c r="AD272">
        <v>7.3968708515167236E-2</v>
      </c>
      <c r="AE272">
        <v>7.6813653111457825E-2</v>
      </c>
      <c r="AF272">
        <v>6.4011380076408386E-2</v>
      </c>
      <c r="AG272">
        <v>9.1038405895233154E-2</v>
      </c>
      <c r="AH272">
        <v>8.6770981550216675E-2</v>
      </c>
      <c r="AI272">
        <v>7.2546228766441345E-2</v>
      </c>
      <c r="AJ272">
        <v>7.1123756468296051E-2</v>
      </c>
      <c r="AK272">
        <v>8.8193453848361969E-2</v>
      </c>
      <c r="AL272">
        <v>6.543385237455368E-2</v>
      </c>
      <c r="AM272">
        <v>7.2546228766441345E-2</v>
      </c>
      <c r="AN272">
        <v>7.6813653111457825E-2</v>
      </c>
      <c r="AO272">
        <v>6.543385237455368E-2</v>
      </c>
      <c r="AP272">
        <v>7.3968708515167236E-2</v>
      </c>
      <c r="AQ272">
        <v>8.1081077456474304E-2</v>
      </c>
      <c r="AR272">
        <v>6.8278804421424866E-2</v>
      </c>
      <c r="AS272">
        <v>8.961593359708786E-2</v>
      </c>
      <c r="AT272">
        <v>0.11379800736904144</v>
      </c>
      <c r="AU272">
        <v>5.4054055362939835E-2</v>
      </c>
      <c r="AV272">
        <v>8.5348509252071381E-2</v>
      </c>
      <c r="AW272">
        <v>7.3968708515167236E-2</v>
      </c>
      <c r="AX272">
        <v>6.8278804421424866E-2</v>
      </c>
      <c r="AY272">
        <v>9.6728309988975525E-2</v>
      </c>
      <c r="AZ272">
        <v>6.6856332123279572E-2</v>
      </c>
      <c r="BA272">
        <v>6.8278804421424866E-2</v>
      </c>
      <c r="BB272">
        <v>6.4011380076408386E-2</v>
      </c>
      <c r="BC272">
        <v>5.8321479707956314E-2</v>
      </c>
      <c r="BD272">
        <v>6.543385237455368E-2</v>
      </c>
      <c r="BE272">
        <v>8.1081077456474304E-2</v>
      </c>
      <c r="BF272">
        <v>6.1166428029537201E-2</v>
      </c>
      <c r="BG272">
        <v>0.10810811072587967</v>
      </c>
      <c r="BH272">
        <v>4.694167897105217E-2</v>
      </c>
      <c r="BI272">
        <v>7.3968708515167236E-2</v>
      </c>
      <c r="BJ272">
        <v>9.2460885643959045E-2</v>
      </c>
      <c r="BK272">
        <v>7.3968708515167236E-2</v>
      </c>
      <c r="BL272">
        <v>7.6813653111457825E-2</v>
      </c>
      <c r="BM272">
        <v>8.6770981550216675E-2</v>
      </c>
      <c r="BN272">
        <v>7.2546228766441345E-2</v>
      </c>
      <c r="BO272">
        <v>9.5305830240249634E-2</v>
      </c>
      <c r="BP272">
        <v>6.8278804421424866E-2</v>
      </c>
      <c r="BQ272">
        <v>0.12517781555652618</v>
      </c>
      <c r="BR272">
        <v>0.15362730622291565</v>
      </c>
      <c r="BS272">
        <v>6.756756454706192E-2</v>
      </c>
      <c r="BT272">
        <v>5.4054055362939835E-2</v>
      </c>
      <c r="BU272">
        <v>7.8078076243400574E-2</v>
      </c>
      <c r="BV272">
        <v>5.855855718255043E-2</v>
      </c>
      <c r="BW272">
        <v>6.9069072604179382E-2</v>
      </c>
      <c r="BX272">
        <v>6.0060061514377594E-2</v>
      </c>
      <c r="BY272">
        <v>5.7057056576013565E-2</v>
      </c>
      <c r="BZ272">
        <v>7.9579576849937439E-2</v>
      </c>
      <c r="CA272">
        <v>8.1081077456474304E-2</v>
      </c>
      <c r="CB272">
        <v>0.10360360145568848</v>
      </c>
      <c r="CC272">
        <v>7.3573574423789978E-2</v>
      </c>
      <c r="CD272">
        <v>8.5585586726665497E-2</v>
      </c>
      <c r="CE272">
        <v>6.9069072604179382E-2</v>
      </c>
      <c r="CF272">
        <v>7.3573574423789978E-2</v>
      </c>
      <c r="CG272">
        <v>9.0090088546276093E-2</v>
      </c>
      <c r="CH272">
        <v>0.10360360145568848</v>
      </c>
      <c r="CI272">
        <v>7.5075075030326843E-2</v>
      </c>
      <c r="CJ272">
        <v>6.0060061514377594E-2</v>
      </c>
      <c r="CK272">
        <v>7.0570573210716248E-2</v>
      </c>
      <c r="CL272">
        <v>5.2552551031112671E-2</v>
      </c>
      <c r="CM272">
        <v>0.12462462484836578</v>
      </c>
      <c r="CN272">
        <v>7.6576575636863708E-2</v>
      </c>
      <c r="CO272">
        <v>7.0570573210716248E-2</v>
      </c>
      <c r="CP272">
        <v>0.1111111119389534</v>
      </c>
      <c r="CQ272">
        <v>3.9039038121700287E-2</v>
      </c>
      <c r="CR272">
        <v>9.0090088546276093E-2</v>
      </c>
      <c r="CS272">
        <v>8.5585586726665497E-2</v>
      </c>
      <c r="CT272">
        <v>5.855855718255043E-2</v>
      </c>
      <c r="CU272">
        <v>8.2582585513591766E-2</v>
      </c>
      <c r="CV272">
        <v>8.1081077456474304E-2</v>
      </c>
      <c r="CW272">
        <v>9.4594597816467285E-2</v>
      </c>
      <c r="CX272">
        <v>4.3543543666601181E-2</v>
      </c>
      <c r="CY272">
        <v>6.0060061514377594E-2</v>
      </c>
      <c r="CZ272">
        <v>6.756756454706192E-2</v>
      </c>
      <c r="DA272">
        <v>6.6066063940525055E-2</v>
      </c>
      <c r="DB272">
        <v>7.3573574423789978E-2</v>
      </c>
      <c r="DC272">
        <v>0.10510510206222534</v>
      </c>
      <c r="DD272">
        <v>5.7057056576013565E-2</v>
      </c>
      <c r="DE272">
        <v>8.8588587939739227E-2</v>
      </c>
      <c r="DF272">
        <v>0.10810811072587967</v>
      </c>
      <c r="DG272">
        <v>8.8588587939739227E-2</v>
      </c>
      <c r="DH272">
        <v>8.5585586726665497E-2</v>
      </c>
      <c r="DI272">
        <v>7.0570573210716248E-2</v>
      </c>
      <c r="DJ272">
        <v>6.1561562120914459E-2</v>
      </c>
      <c r="DK272">
        <v>7.2072073817253113E-2</v>
      </c>
      <c r="DL272">
        <v>7.8078076243400574E-2</v>
      </c>
      <c r="DM272">
        <v>0.1111111119389534</v>
      </c>
      <c r="DN272">
        <v>7.0570573210716248E-2</v>
      </c>
      <c r="DO272">
        <v>4.5045044273138046E-2</v>
      </c>
      <c r="DP272">
        <v>7.3573574423789978E-2</v>
      </c>
      <c r="DQ272">
        <v>0.11711711436510086</v>
      </c>
      <c r="DR272">
        <v>5.55555559694767E-2</v>
      </c>
      <c r="DS272">
        <v>7.0570573210716248E-2</v>
      </c>
      <c r="DT272">
        <v>8.7087087333202362E-2</v>
      </c>
      <c r="DU272">
        <v>6.456456333398819E-2</v>
      </c>
      <c r="DV272">
        <v>8.1081077456474304E-2</v>
      </c>
      <c r="DW272">
        <v>0.10060060024261475</v>
      </c>
      <c r="DX272">
        <v>8.4084086120128632E-2</v>
      </c>
      <c r="DY272">
        <v>6.456456333398819E-2</v>
      </c>
      <c r="DZ272">
        <v>4.8048049211502075E-2</v>
      </c>
      <c r="EA272">
        <v>7.9579576849937439E-2</v>
      </c>
      <c r="EB272">
        <v>7.9579576849937439E-2</v>
      </c>
      <c r="EC272">
        <v>6.456456333398819E-2</v>
      </c>
      <c r="ED272">
        <v>6.0060061514377594E-2</v>
      </c>
      <c r="EE272">
        <v>0.11261261254549026</v>
      </c>
      <c r="EF272">
        <v>8.1081077456474304E-2</v>
      </c>
      <c r="EG272">
        <v>6.9069072604179382E-2</v>
      </c>
      <c r="EH272">
        <v>6.0060061514377594E-2</v>
      </c>
      <c r="EI272">
        <v>7.0570573210716248E-2</v>
      </c>
      <c r="EJ272">
        <v>7.9579576849937439E-2</v>
      </c>
      <c r="EK272">
        <v>5.855855718255043E-2</v>
      </c>
      <c r="EL272">
        <v>8.4084086120128632E-2</v>
      </c>
      <c r="EM272">
        <v>5.55555559694767E-2</v>
      </c>
      <c r="EN272">
        <v>8.4084086120128632E-2</v>
      </c>
      <c r="EO272">
        <v>9.0090088546276093E-2</v>
      </c>
      <c r="EP272">
        <v>6.1561562120914459E-2</v>
      </c>
      <c r="EQ272">
        <v>7.3573574423789978E-2</v>
      </c>
      <c r="ER272">
        <v>7.3573574423789978E-2</v>
      </c>
      <c r="ES272">
        <v>8.5585586726665497E-2</v>
      </c>
      <c r="ET272">
        <v>8.2582585513591766E-2</v>
      </c>
      <c r="EU272">
        <v>5.2552551031112671E-2</v>
      </c>
      <c r="EV272">
        <v>6.756756454706192E-2</v>
      </c>
      <c r="EW272">
        <v>7.0570573210716248E-2</v>
      </c>
      <c r="EX272">
        <v>6.1561562120914459E-2</v>
      </c>
      <c r="EY272">
        <v>5.855855718255043E-2</v>
      </c>
      <c r="EZ272">
        <v>8.5585586726665497E-2</v>
      </c>
      <c r="FA272">
        <v>9.1591589152812958E-2</v>
      </c>
      <c r="FB272">
        <v>8.4084086120128632E-2</v>
      </c>
      <c r="FC272">
        <v>8.8588587939739227E-2</v>
      </c>
      <c r="FD272">
        <v>4.954954981803894E-2</v>
      </c>
      <c r="FE272">
        <v>7.0570573210716248E-2</v>
      </c>
      <c r="FF272">
        <v>8.5585586726665497E-2</v>
      </c>
      <c r="FG272">
        <v>6.456456333398819E-2</v>
      </c>
      <c r="FH272">
        <v>0.10360360145568848</v>
      </c>
      <c r="FI272">
        <v>8.2582585513591766E-2</v>
      </c>
      <c r="FJ272">
        <v>7.2072073817253113E-2</v>
      </c>
      <c r="FK272">
        <v>8.7087087333202362E-2</v>
      </c>
      <c r="FL272">
        <v>7.9579576849937439E-2</v>
      </c>
      <c r="FM272">
        <v>7.3573574423789978E-2</v>
      </c>
      <c r="FN272">
        <v>8.1081077456474304E-2</v>
      </c>
      <c r="FO272">
        <v>5.7057056576013565E-2</v>
      </c>
      <c r="FP272">
        <v>0.12312312424182892</v>
      </c>
      <c r="FQ272">
        <v>6.9069072604179382E-2</v>
      </c>
      <c r="FR272">
        <v>7.5075075030326843E-2</v>
      </c>
      <c r="FS272">
        <v>7.8078076243400574E-2</v>
      </c>
      <c r="FT272">
        <v>7.8078076243400574E-2</v>
      </c>
      <c r="FU272">
        <v>6.6066063940525055E-2</v>
      </c>
      <c r="FV272">
        <v>6.0060061514377594E-2</v>
      </c>
      <c r="FW272">
        <v>7.5075075030326843E-2</v>
      </c>
      <c r="FX272">
        <v>7.0570573210716248E-2</v>
      </c>
      <c r="FY272">
        <v>9.609609842300415E-2</v>
      </c>
      <c r="FZ272">
        <v>5.7057056576013565E-2</v>
      </c>
      <c r="GA272">
        <v>0.10810811072587967</v>
      </c>
      <c r="GB272">
        <v>5.1051050424575806E-2</v>
      </c>
      <c r="GC272">
        <v>6.1561562120914459E-2</v>
      </c>
      <c r="GD272">
        <v>0.12162162363529205</v>
      </c>
      <c r="GE272">
        <v>8.1081077456474304E-2</v>
      </c>
      <c r="GF272">
        <v>5.55555559694767E-2</v>
      </c>
      <c r="GG272">
        <v>6.456456333398819E-2</v>
      </c>
      <c r="GH272">
        <v>7.9579576849937439E-2</v>
      </c>
      <c r="GI272">
        <v>7.9579576849937439E-2</v>
      </c>
      <c r="GJ272">
        <v>9.609609842300415E-2</v>
      </c>
      <c r="GK272">
        <v>6.756756454706192E-2</v>
      </c>
      <c r="GL272">
        <v>9.3093089759349823E-2</v>
      </c>
      <c r="GM272">
        <v>7.5075075030326843E-2</v>
      </c>
      <c r="GN272">
        <v>0.11861861497163773</v>
      </c>
      <c r="GO272">
        <v>8.4084086120128632E-2</v>
      </c>
      <c r="GP272">
        <v>8.1081077456474304E-2</v>
      </c>
      <c r="GQ272">
        <v>8.2582585513591766E-2</v>
      </c>
      <c r="GR272">
        <v>8.8588587939739227E-2</v>
      </c>
      <c r="GS272">
        <v>9.1591589152812958E-2</v>
      </c>
      <c r="GT272">
        <v>6.1561562120914459E-2</v>
      </c>
      <c r="GU272">
        <v>0.12762762606143951</v>
      </c>
      <c r="GV272">
        <v>4.8048049211502075E-2</v>
      </c>
      <c r="GW272">
        <v>7.9579576849937439E-2</v>
      </c>
      <c r="GX272">
        <v>7.6576575636863708E-2</v>
      </c>
      <c r="GY272">
        <v>8.4084086120128632E-2</v>
      </c>
      <c r="GZ272">
        <v>6.3063062727451324E-2</v>
      </c>
      <c r="HA272">
        <v>8.4084086120128632E-2</v>
      </c>
      <c r="HB272">
        <v>0.13063062727451324</v>
      </c>
      <c r="HC272">
        <v>5.855855718255043E-2</v>
      </c>
      <c r="HD272">
        <v>8.4084086120128632E-2</v>
      </c>
      <c r="HE272">
        <v>5.55555559694767E-2</v>
      </c>
      <c r="HF272">
        <v>7.6576575636863708E-2</v>
      </c>
      <c r="HG272">
        <v>7.6576575636863708E-2</v>
      </c>
      <c r="HH272">
        <v>7.2072073817253113E-2</v>
      </c>
      <c r="HI272">
        <v>8.1081077456474304E-2</v>
      </c>
      <c r="HJ272">
        <v>9.0090088546276093E-2</v>
      </c>
      <c r="HK272">
        <v>5.7057056576013565E-2</v>
      </c>
      <c r="HL272">
        <v>0.10210210084915161</v>
      </c>
      <c r="HM272">
        <v>6.9069072604179382E-2</v>
      </c>
      <c r="HN272">
        <v>0.10510510206222534</v>
      </c>
      <c r="HO272">
        <v>7.5075075030326843E-2</v>
      </c>
      <c r="HP272">
        <v>6.756756454706192E-2</v>
      </c>
      <c r="HQ272">
        <v>5.2552551031112671E-2</v>
      </c>
      <c r="HR272">
        <v>7.0570573210716248E-2</v>
      </c>
      <c r="HS272">
        <v>9.9099099636077881E-2</v>
      </c>
      <c r="HT272">
        <v>5.55555559694767E-2</v>
      </c>
      <c r="HU272">
        <v>9.0090088546276093E-2</v>
      </c>
      <c r="HV272">
        <v>5.4054055362939835E-2</v>
      </c>
      <c r="HW272">
        <v>8.2582585513591766E-2</v>
      </c>
      <c r="HX272">
        <v>6.756756454706192E-2</v>
      </c>
      <c r="HY272">
        <v>7.2072073817253113E-2</v>
      </c>
      <c r="HZ272">
        <v>4.954954981803894E-2</v>
      </c>
      <c r="IA272">
        <v>6.6066063940525055E-2</v>
      </c>
      <c r="IB272">
        <v>7.2072073817253113E-2</v>
      </c>
      <c r="IC272">
        <v>5.55555559694767E-2</v>
      </c>
      <c r="ID272">
        <v>0.10510510206222534</v>
      </c>
      <c r="IE272">
        <v>7.0570573210716248E-2</v>
      </c>
      <c r="IF272">
        <v>6.756756454706192E-2</v>
      </c>
      <c r="IG272">
        <v>6.1561562120914459E-2</v>
      </c>
      <c r="IH272">
        <v>5.855855718255043E-2</v>
      </c>
      <c r="II272">
        <v>6.0060061514377594E-2</v>
      </c>
      <c r="IJ272">
        <v>7.6576575636863708E-2</v>
      </c>
      <c r="IK272">
        <v>7.8078076243400574E-2</v>
      </c>
      <c r="IL272">
        <v>4.6546544879674911E-2</v>
      </c>
      <c r="IM272">
        <v>7.8078076243400574E-2</v>
      </c>
      <c r="IN272">
        <v>5.2552551031112671E-2</v>
      </c>
      <c r="IO272">
        <v>7.9579576849937439E-2</v>
      </c>
      <c r="IP272">
        <v>0.10060060024261475</v>
      </c>
      <c r="IQ272">
        <v>5.55555559694767E-2</v>
      </c>
      <c r="IR272">
        <v>0.10210210084915161</v>
      </c>
      <c r="IS272">
        <v>8.2582585513591766E-2</v>
      </c>
      <c r="IT272">
        <v>7.9579576849937439E-2</v>
      </c>
      <c r="IU272">
        <v>6.756756454706192E-2</v>
      </c>
      <c r="IV272">
        <v>8.8588587939739227E-2</v>
      </c>
      <c r="IW272">
        <v>6.3063062727451324E-2</v>
      </c>
      <c r="IX272">
        <v>6.756756454706192E-2</v>
      </c>
      <c r="IY272">
        <v>8.7087087333202362E-2</v>
      </c>
      <c r="IZ272">
        <v>5.1051050424575806E-2</v>
      </c>
    </row>
    <row r="273" spans="4:276" x14ac:dyDescent="0.25">
      <c r="D273" s="41" t="str" cm="1">
        <f t="array" ref="D273">IF(H273="","",IF(AND(E273&lt;AVERAGE(E272,E274)*($L$19/100),$D$23:D272=""),H273,""))</f>
        <v/>
      </c>
      <c r="E273" s="78">
        <f t="shared" si="4"/>
        <v>1.9384437835548995E-3</v>
      </c>
      <c r="F273" s="79"/>
      <c r="H273">
        <v>251</v>
      </c>
      <c r="I273">
        <v>7.5988443783554904E-2</v>
      </c>
      <c r="K273">
        <v>9.2460885643959045E-2</v>
      </c>
      <c r="L273">
        <v>8.6770981550216675E-2</v>
      </c>
      <c r="M273">
        <v>7.1123756468296051E-2</v>
      </c>
      <c r="N273">
        <v>6.543385237455368E-2</v>
      </c>
      <c r="O273">
        <v>6.4011380076408386E-2</v>
      </c>
      <c r="P273">
        <v>7.8236132860183716E-2</v>
      </c>
      <c r="Q273">
        <v>7.1123756468296051E-2</v>
      </c>
      <c r="R273">
        <v>6.970127671957016E-2</v>
      </c>
      <c r="S273">
        <v>6.8278804421424866E-2</v>
      </c>
      <c r="T273">
        <v>6.2588907778263092E-2</v>
      </c>
      <c r="U273">
        <v>7.8236132860183716E-2</v>
      </c>
      <c r="V273">
        <v>9.9573254585266113E-2</v>
      </c>
      <c r="W273">
        <v>9.388335794210434E-2</v>
      </c>
      <c r="X273">
        <v>5.6899003684520721E-2</v>
      </c>
      <c r="Y273">
        <v>0.10668563097715378</v>
      </c>
      <c r="Z273">
        <v>5.9743955731391907E-2</v>
      </c>
      <c r="AA273">
        <v>7.5391180813312531E-2</v>
      </c>
      <c r="AB273">
        <v>8.6770981550216675E-2</v>
      </c>
      <c r="AC273">
        <v>9.1038405895233154E-2</v>
      </c>
      <c r="AD273">
        <v>8.5348509252071381E-2</v>
      </c>
      <c r="AE273">
        <v>6.2588907778263092E-2</v>
      </c>
      <c r="AF273">
        <v>8.392602950334549E-2</v>
      </c>
      <c r="AG273">
        <v>8.2503557205200195E-2</v>
      </c>
      <c r="AH273">
        <v>6.1561562120914459E-2</v>
      </c>
      <c r="AI273">
        <v>7.8078076243400574E-2</v>
      </c>
      <c r="AJ273">
        <v>5.2552551031112671E-2</v>
      </c>
      <c r="AK273">
        <v>6.756756454706192E-2</v>
      </c>
      <c r="AL273">
        <v>7.2072073817253113E-2</v>
      </c>
      <c r="AM273">
        <v>7.6576575636863708E-2</v>
      </c>
      <c r="AN273">
        <v>7.9579576849937439E-2</v>
      </c>
      <c r="AO273">
        <v>8.8588587939739227E-2</v>
      </c>
      <c r="AP273">
        <v>8.7087087333202362E-2</v>
      </c>
      <c r="AQ273">
        <v>7.5075075030326843E-2</v>
      </c>
      <c r="AR273">
        <v>6.6066063940525055E-2</v>
      </c>
      <c r="AS273">
        <v>7.9579576849937439E-2</v>
      </c>
      <c r="AT273">
        <v>8.4084086120128632E-2</v>
      </c>
      <c r="AU273">
        <v>7.8078076243400574E-2</v>
      </c>
      <c r="AV273">
        <v>7.0570573210716248E-2</v>
      </c>
      <c r="AW273">
        <v>7.5075075030326843E-2</v>
      </c>
      <c r="AX273">
        <v>7.5075075030326843E-2</v>
      </c>
      <c r="AY273">
        <v>6.456456333398819E-2</v>
      </c>
      <c r="AZ273">
        <v>7.3573574423789978E-2</v>
      </c>
      <c r="BA273">
        <v>6.456456333398819E-2</v>
      </c>
      <c r="BB273">
        <v>0.10360360145568848</v>
      </c>
      <c r="BC273">
        <v>8.8588587939739227E-2</v>
      </c>
      <c r="BD273">
        <v>8.4084086120128632E-2</v>
      </c>
      <c r="BE273">
        <v>0.1111111119389534</v>
      </c>
      <c r="BF273">
        <v>7.2072073817253113E-2</v>
      </c>
      <c r="BG273">
        <v>6.1561562120914459E-2</v>
      </c>
      <c r="BH273">
        <v>6.9069072604179382E-2</v>
      </c>
      <c r="BI273">
        <v>5.4054055362939835E-2</v>
      </c>
      <c r="BJ273">
        <v>8.7087087333202362E-2</v>
      </c>
      <c r="BK273">
        <v>8.8588587939739227E-2</v>
      </c>
      <c r="BL273">
        <v>7.5075075030326843E-2</v>
      </c>
      <c r="BM273">
        <v>5.855855718255043E-2</v>
      </c>
      <c r="BN273">
        <v>7.5075075030326843E-2</v>
      </c>
      <c r="BO273">
        <v>7.5075075030326843E-2</v>
      </c>
      <c r="BP273">
        <v>8.5585586726665497E-2</v>
      </c>
      <c r="BQ273">
        <v>6.3063062727451324E-2</v>
      </c>
      <c r="BR273">
        <v>6.456456333398819E-2</v>
      </c>
      <c r="BS273">
        <v>6.456456333398819E-2</v>
      </c>
      <c r="BT273">
        <v>0.1111111119389534</v>
      </c>
      <c r="BU273">
        <v>5.7057056576013565E-2</v>
      </c>
      <c r="BV273">
        <v>5.4054055362939835E-2</v>
      </c>
      <c r="BW273">
        <v>7.3573574423789978E-2</v>
      </c>
      <c r="BX273">
        <v>8.5585586726665497E-2</v>
      </c>
      <c r="BY273">
        <v>9.9099099636077881E-2</v>
      </c>
      <c r="BZ273">
        <v>9.7597599029541016E-2</v>
      </c>
      <c r="CA273">
        <v>5.7057056576013565E-2</v>
      </c>
      <c r="CB273">
        <v>6.9069072604179382E-2</v>
      </c>
      <c r="CC273">
        <v>7.0570573210716248E-2</v>
      </c>
      <c r="CD273">
        <v>7.5075075030326843E-2</v>
      </c>
      <c r="CE273">
        <v>0.13363362848758698</v>
      </c>
      <c r="CF273">
        <v>9.9099099636077881E-2</v>
      </c>
      <c r="CG273">
        <v>6.3063062727451324E-2</v>
      </c>
      <c r="CH273">
        <v>9.7597599029541016E-2</v>
      </c>
      <c r="CI273">
        <v>5.2552551031112671E-2</v>
      </c>
      <c r="CJ273">
        <v>8.8588587939739227E-2</v>
      </c>
      <c r="CK273">
        <v>9.3093089759349823E-2</v>
      </c>
      <c r="CL273">
        <v>6.0060061514377594E-2</v>
      </c>
      <c r="CM273">
        <v>7.5075075030326843E-2</v>
      </c>
      <c r="CN273">
        <v>7.0570573210716248E-2</v>
      </c>
      <c r="CO273">
        <v>0.1066066101193428</v>
      </c>
      <c r="CP273">
        <v>6.9069072604179382E-2</v>
      </c>
      <c r="CQ273">
        <v>6.3063062727451324E-2</v>
      </c>
      <c r="CR273">
        <v>8.1081077456474304E-2</v>
      </c>
      <c r="CS273">
        <v>8.2582585513591766E-2</v>
      </c>
      <c r="CT273">
        <v>7.6576575636863708E-2</v>
      </c>
      <c r="CU273">
        <v>7.8078076243400574E-2</v>
      </c>
      <c r="CV273">
        <v>8.4084086120128632E-2</v>
      </c>
      <c r="CW273">
        <v>5.4054055362939835E-2</v>
      </c>
      <c r="CX273">
        <v>5.2552551031112671E-2</v>
      </c>
      <c r="CY273">
        <v>6.0060061514377594E-2</v>
      </c>
      <c r="CZ273">
        <v>7.2072073817253113E-2</v>
      </c>
      <c r="DA273">
        <v>6.0060061514377594E-2</v>
      </c>
      <c r="DB273">
        <v>7.6576575636863708E-2</v>
      </c>
      <c r="DC273">
        <v>5.855855718255043E-2</v>
      </c>
      <c r="DD273">
        <v>6.1561562120914459E-2</v>
      </c>
      <c r="DE273">
        <v>0.13363362848758698</v>
      </c>
      <c r="DF273">
        <v>8.7087087333202362E-2</v>
      </c>
      <c r="DG273">
        <v>5.2552551031112671E-2</v>
      </c>
      <c r="DH273">
        <v>8.1081077456474304E-2</v>
      </c>
      <c r="DI273">
        <v>7.0570573210716248E-2</v>
      </c>
      <c r="DJ273">
        <v>5.55555559694767E-2</v>
      </c>
      <c r="DK273">
        <v>0.11861861497163773</v>
      </c>
      <c r="DL273">
        <v>6.3063062727451324E-2</v>
      </c>
      <c r="DM273">
        <v>7.6576575636863708E-2</v>
      </c>
      <c r="DN273">
        <v>8.1081077456474304E-2</v>
      </c>
      <c r="DO273">
        <v>5.855855718255043E-2</v>
      </c>
      <c r="DP273">
        <v>8.7087087333202362E-2</v>
      </c>
      <c r="DQ273">
        <v>6.756756454706192E-2</v>
      </c>
      <c r="DR273">
        <v>0.11411411315202713</v>
      </c>
      <c r="DS273">
        <v>4.0540538728237152E-2</v>
      </c>
      <c r="DT273">
        <v>6.9069072604179382E-2</v>
      </c>
      <c r="DU273">
        <v>5.7057056576013565E-2</v>
      </c>
      <c r="DV273">
        <v>9.0090088546276093E-2</v>
      </c>
      <c r="DW273">
        <v>7.0570573210716248E-2</v>
      </c>
      <c r="DX273">
        <v>6.6066063940525055E-2</v>
      </c>
      <c r="DY273">
        <v>7.3573574423789978E-2</v>
      </c>
      <c r="DZ273">
        <v>9.0090088546276093E-2</v>
      </c>
      <c r="EA273">
        <v>5.7057056576013565E-2</v>
      </c>
      <c r="EB273">
        <v>7.6576575636863708E-2</v>
      </c>
      <c r="EC273">
        <v>7.9579576849937439E-2</v>
      </c>
      <c r="ED273">
        <v>6.9069072604179382E-2</v>
      </c>
      <c r="EE273">
        <v>5.4054055362939835E-2</v>
      </c>
      <c r="EF273">
        <v>8.4084086120128632E-2</v>
      </c>
      <c r="EG273">
        <v>6.456456333398819E-2</v>
      </c>
      <c r="EH273">
        <v>8.8588587939739227E-2</v>
      </c>
      <c r="EI273">
        <v>0.10510510206222534</v>
      </c>
      <c r="EJ273">
        <v>8.5585586726665497E-2</v>
      </c>
      <c r="EK273">
        <v>0.13063062727451324</v>
      </c>
      <c r="EL273">
        <v>6.756756454706192E-2</v>
      </c>
      <c r="EM273">
        <v>8.5585586726665497E-2</v>
      </c>
      <c r="EN273">
        <v>8.8588587939739227E-2</v>
      </c>
      <c r="EO273">
        <v>6.1561562120914459E-2</v>
      </c>
      <c r="EP273">
        <v>7.9579576849937439E-2</v>
      </c>
      <c r="EQ273">
        <v>6.1561562120914459E-2</v>
      </c>
      <c r="ER273">
        <v>4.954954981803894E-2</v>
      </c>
      <c r="ES273">
        <v>7.9579576849937439E-2</v>
      </c>
      <c r="ET273">
        <v>6.1561562120914459E-2</v>
      </c>
      <c r="EU273">
        <v>9.1591589152812958E-2</v>
      </c>
      <c r="EV273">
        <v>7.5075075030326843E-2</v>
      </c>
      <c r="EW273">
        <v>4.6546544879674911E-2</v>
      </c>
      <c r="EX273">
        <v>6.756756454706192E-2</v>
      </c>
      <c r="EY273">
        <v>9.1591589152812958E-2</v>
      </c>
      <c r="EZ273">
        <v>9.1591589152812958E-2</v>
      </c>
      <c r="FA273">
        <v>6.9069072604179382E-2</v>
      </c>
      <c r="FB273">
        <v>0.10060060024261475</v>
      </c>
      <c r="FC273">
        <v>7.6576575636863708E-2</v>
      </c>
      <c r="FD273">
        <v>7.3573574423789978E-2</v>
      </c>
      <c r="FE273">
        <v>6.1561562120914459E-2</v>
      </c>
      <c r="FF273">
        <v>9.9099099636077881E-2</v>
      </c>
      <c r="FG273">
        <v>8.4084086120128632E-2</v>
      </c>
      <c r="FH273">
        <v>6.756756454706192E-2</v>
      </c>
      <c r="FI273">
        <v>0.10510510206222534</v>
      </c>
      <c r="FJ273">
        <v>7.0570573210716248E-2</v>
      </c>
      <c r="FK273">
        <v>9.1591589152812958E-2</v>
      </c>
      <c r="FL273">
        <v>5.2552551031112671E-2</v>
      </c>
      <c r="FM273">
        <v>6.9069072604179382E-2</v>
      </c>
      <c r="FN273">
        <v>7.0570573210716248E-2</v>
      </c>
      <c r="FO273">
        <v>8.1081077456474304E-2</v>
      </c>
      <c r="FP273">
        <v>6.3063062727451324E-2</v>
      </c>
      <c r="FQ273">
        <v>7.0570573210716248E-2</v>
      </c>
      <c r="FR273">
        <v>9.609609842300415E-2</v>
      </c>
      <c r="FS273">
        <v>5.4054055362939835E-2</v>
      </c>
      <c r="FT273">
        <v>9.7597599029541016E-2</v>
      </c>
      <c r="FU273">
        <v>7.8078076243400574E-2</v>
      </c>
      <c r="FV273">
        <v>7.0570573210716248E-2</v>
      </c>
      <c r="FW273">
        <v>7.2072073817253113E-2</v>
      </c>
      <c r="FX273">
        <v>7.5075075030326843E-2</v>
      </c>
      <c r="FY273">
        <v>6.456456333398819E-2</v>
      </c>
      <c r="FZ273">
        <v>9.0090088546276093E-2</v>
      </c>
      <c r="GA273">
        <v>6.0060061514377594E-2</v>
      </c>
      <c r="GB273">
        <v>0.11411411315202713</v>
      </c>
      <c r="GC273">
        <v>7.2072073817253113E-2</v>
      </c>
      <c r="GD273">
        <v>9.1591589152812958E-2</v>
      </c>
      <c r="GE273">
        <v>8.7087087333202362E-2</v>
      </c>
      <c r="GF273">
        <v>8.4084086120128632E-2</v>
      </c>
      <c r="GG273">
        <v>9.1591589152812958E-2</v>
      </c>
      <c r="GH273">
        <v>8.7087087333202362E-2</v>
      </c>
      <c r="GI273">
        <v>5.7057056576013565E-2</v>
      </c>
      <c r="GJ273">
        <v>7.6576575636863708E-2</v>
      </c>
      <c r="GK273">
        <v>9.1591589152812958E-2</v>
      </c>
      <c r="GL273">
        <v>5.4054055362939835E-2</v>
      </c>
      <c r="GM273">
        <v>6.456456333398819E-2</v>
      </c>
      <c r="GN273">
        <v>7.3573574423789978E-2</v>
      </c>
      <c r="GO273">
        <v>5.4054055362939835E-2</v>
      </c>
      <c r="GP273">
        <v>9.4594597816467285E-2</v>
      </c>
      <c r="GQ273">
        <v>6.756756454706192E-2</v>
      </c>
      <c r="GR273">
        <v>9.0090088546276093E-2</v>
      </c>
      <c r="GS273">
        <v>6.1561562120914459E-2</v>
      </c>
      <c r="GT273">
        <v>8.4084086120128632E-2</v>
      </c>
      <c r="GU273">
        <v>8.1081077456474304E-2</v>
      </c>
      <c r="GV273">
        <v>6.756756454706192E-2</v>
      </c>
      <c r="GW273">
        <v>9.3093089759349823E-2</v>
      </c>
      <c r="GX273">
        <v>6.6066063940525055E-2</v>
      </c>
      <c r="GY273">
        <v>6.9069072604179382E-2</v>
      </c>
      <c r="GZ273">
        <v>8.4084086120128632E-2</v>
      </c>
      <c r="HA273">
        <v>6.1561562120914459E-2</v>
      </c>
      <c r="HB273">
        <v>9.0090088546276093E-2</v>
      </c>
      <c r="HC273">
        <v>5.2552551031112671E-2</v>
      </c>
      <c r="HD273">
        <v>7.5075075030326843E-2</v>
      </c>
      <c r="HE273">
        <v>6.456456333398819E-2</v>
      </c>
      <c r="HF273">
        <v>6.456456333398819E-2</v>
      </c>
      <c r="HG273">
        <v>7.2072073817253113E-2</v>
      </c>
      <c r="HH273">
        <v>8.1081077456474304E-2</v>
      </c>
      <c r="HI273">
        <v>8.7087087333202362E-2</v>
      </c>
      <c r="HJ273">
        <v>4.3543543666601181E-2</v>
      </c>
      <c r="HK273">
        <v>9.609609842300415E-2</v>
      </c>
      <c r="HL273">
        <v>7.3573574423789978E-2</v>
      </c>
      <c r="HM273">
        <v>6.9069072604179382E-2</v>
      </c>
      <c r="HN273">
        <v>8.1081077456474304E-2</v>
      </c>
      <c r="HO273">
        <v>7.8078076243400574E-2</v>
      </c>
      <c r="HP273">
        <v>6.9069072604179382E-2</v>
      </c>
      <c r="HQ273">
        <v>8.7087087333202362E-2</v>
      </c>
      <c r="HR273">
        <v>5.855855718255043E-2</v>
      </c>
      <c r="HS273">
        <v>6.456456333398819E-2</v>
      </c>
      <c r="HT273">
        <v>6.9069072604179382E-2</v>
      </c>
      <c r="HU273">
        <v>6.6066063940525055E-2</v>
      </c>
      <c r="HV273">
        <v>6.1561562120914459E-2</v>
      </c>
      <c r="HW273">
        <v>6.456456333398819E-2</v>
      </c>
      <c r="HX273">
        <v>5.7057056576013565E-2</v>
      </c>
      <c r="HY273">
        <v>8.4084086120128632E-2</v>
      </c>
      <c r="HZ273">
        <v>6.9069072604179382E-2</v>
      </c>
      <c r="IA273">
        <v>7.2072073817253113E-2</v>
      </c>
      <c r="IB273">
        <v>7.9579576849937439E-2</v>
      </c>
      <c r="IC273">
        <v>7.5075075030326843E-2</v>
      </c>
      <c r="ID273">
        <v>6.9069072604179382E-2</v>
      </c>
      <c r="IE273">
        <v>6.1561562120914459E-2</v>
      </c>
      <c r="IF273">
        <v>8.2582585513591766E-2</v>
      </c>
      <c r="IG273">
        <v>6.756756454706192E-2</v>
      </c>
      <c r="IH273">
        <v>8.7087087333202362E-2</v>
      </c>
      <c r="II273">
        <v>6.6066063940525055E-2</v>
      </c>
      <c r="IJ273">
        <v>5.4054055362939835E-2</v>
      </c>
      <c r="IK273">
        <v>6.756756454706192E-2</v>
      </c>
      <c r="IL273">
        <v>7.5075075030326843E-2</v>
      </c>
      <c r="IM273">
        <v>5.7057056576013565E-2</v>
      </c>
      <c r="IN273">
        <v>5.4054055362939835E-2</v>
      </c>
      <c r="IO273">
        <v>9.3093089759349823E-2</v>
      </c>
      <c r="IP273">
        <v>6.3063062727451324E-2</v>
      </c>
      <c r="IQ273">
        <v>0.10210210084915161</v>
      </c>
      <c r="IR273">
        <v>8.2582585513591766E-2</v>
      </c>
      <c r="IS273">
        <v>7.9579576849937439E-2</v>
      </c>
      <c r="IT273">
        <v>7.3573574423789978E-2</v>
      </c>
      <c r="IU273">
        <v>8.2582585513591766E-2</v>
      </c>
      <c r="IV273">
        <v>0.10810811072587967</v>
      </c>
      <c r="IW273">
        <v>5.4054055362939835E-2</v>
      </c>
      <c r="IX273">
        <v>9.9099099636077881E-2</v>
      </c>
      <c r="IY273">
        <v>7.3573574423789978E-2</v>
      </c>
      <c r="IZ273">
        <v>8.7087087333202362E-2</v>
      </c>
      <c r="JA273">
        <v>8.1081077456474304E-2</v>
      </c>
    </row>
    <row r="274" spans="4:276" x14ac:dyDescent="0.25">
      <c r="D274" s="41" t="str" cm="1">
        <f t="array" ref="D274">IF(H274="","",IF(AND(E274&lt;AVERAGE(E273,E275)*($L$19/100),$D$23:D273=""),H274,""))</f>
        <v/>
      </c>
      <c r="E274" s="78">
        <f t="shared" si="4"/>
        <v>2.9451928939138033E-3</v>
      </c>
      <c r="F274" s="79"/>
      <c r="H274">
        <v>252</v>
      </c>
      <c r="I274">
        <v>7.6995192893913808E-2</v>
      </c>
      <c r="K274">
        <v>5.1051050424575806E-2</v>
      </c>
      <c r="L274">
        <v>6.9069072604179382E-2</v>
      </c>
      <c r="M274">
        <v>7.6576575636863708E-2</v>
      </c>
      <c r="N274">
        <v>5.2552551031112671E-2</v>
      </c>
      <c r="O274">
        <v>7.3573574423789978E-2</v>
      </c>
      <c r="P274">
        <v>7.8078076243400574E-2</v>
      </c>
      <c r="Q274">
        <v>7.2072073817253113E-2</v>
      </c>
      <c r="R274">
        <v>8.4084086120128632E-2</v>
      </c>
      <c r="S274">
        <v>6.3063062727451324E-2</v>
      </c>
      <c r="T274">
        <v>6.6066063940525055E-2</v>
      </c>
      <c r="U274">
        <v>7.3573574423789978E-2</v>
      </c>
      <c r="V274">
        <v>7.2072073817253113E-2</v>
      </c>
      <c r="W274">
        <v>7.5075075030326843E-2</v>
      </c>
      <c r="X274">
        <v>7.0570573210716248E-2</v>
      </c>
      <c r="Y274">
        <v>6.756756454706192E-2</v>
      </c>
      <c r="Z274">
        <v>6.3063062727451324E-2</v>
      </c>
      <c r="AA274">
        <v>7.5075075030326843E-2</v>
      </c>
      <c r="AB274">
        <v>7.0570573210716248E-2</v>
      </c>
      <c r="AC274">
        <v>6.9069072604179382E-2</v>
      </c>
      <c r="AD274">
        <v>0.10510510206222534</v>
      </c>
      <c r="AE274">
        <v>0.11261261254549026</v>
      </c>
      <c r="AF274">
        <v>8.5585586726665497E-2</v>
      </c>
      <c r="AG274">
        <v>4.3543543666601181E-2</v>
      </c>
      <c r="AH274">
        <v>6.1561562120914459E-2</v>
      </c>
      <c r="AI274">
        <v>7.0570573210716248E-2</v>
      </c>
      <c r="AJ274">
        <v>4.8048049211502075E-2</v>
      </c>
      <c r="AK274">
        <v>8.8588587939739227E-2</v>
      </c>
      <c r="AL274">
        <v>5.7057056576013565E-2</v>
      </c>
      <c r="AM274">
        <v>6.756756454706192E-2</v>
      </c>
      <c r="AN274">
        <v>6.756756454706192E-2</v>
      </c>
      <c r="AO274">
        <v>7.9579576849937439E-2</v>
      </c>
      <c r="AP274">
        <v>7.5075075030326843E-2</v>
      </c>
      <c r="AQ274">
        <v>7.9579576849937439E-2</v>
      </c>
      <c r="AR274">
        <v>7.0570573210716248E-2</v>
      </c>
      <c r="AS274">
        <v>7.0570573210716248E-2</v>
      </c>
      <c r="AT274">
        <v>6.9069072604179382E-2</v>
      </c>
      <c r="AU274">
        <v>9.0090088546276093E-2</v>
      </c>
      <c r="AV274">
        <v>6.756756454706192E-2</v>
      </c>
      <c r="AW274">
        <v>6.6066063940525055E-2</v>
      </c>
      <c r="AX274">
        <v>8.1081077456474304E-2</v>
      </c>
      <c r="AY274">
        <v>7.2072073817253113E-2</v>
      </c>
      <c r="AZ274">
        <v>6.0060061514377594E-2</v>
      </c>
      <c r="BA274">
        <v>7.5075075030326843E-2</v>
      </c>
      <c r="BB274">
        <v>8.4084086120128632E-2</v>
      </c>
      <c r="BC274">
        <v>9.7597599029541016E-2</v>
      </c>
      <c r="BD274">
        <v>7.8078076243400574E-2</v>
      </c>
      <c r="BE274">
        <v>7.0570573210716248E-2</v>
      </c>
      <c r="BF274">
        <v>8.2582585513591766E-2</v>
      </c>
      <c r="BG274">
        <v>7.2072073817253113E-2</v>
      </c>
      <c r="BH274">
        <v>6.456456333398819E-2</v>
      </c>
      <c r="BI274">
        <v>8.7087087333202362E-2</v>
      </c>
      <c r="BJ274">
        <v>7.2072073817253113E-2</v>
      </c>
      <c r="BK274">
        <v>5.855855718255043E-2</v>
      </c>
      <c r="BL274">
        <v>0.14264264702796936</v>
      </c>
      <c r="BM274">
        <v>8.2582585513591766E-2</v>
      </c>
      <c r="BN274">
        <v>7.2072073817253113E-2</v>
      </c>
      <c r="BO274">
        <v>5.4054055362939835E-2</v>
      </c>
      <c r="BP274">
        <v>7.5075075030326843E-2</v>
      </c>
      <c r="BQ274">
        <v>7.5075075030326843E-2</v>
      </c>
      <c r="BR274">
        <v>6.456456333398819E-2</v>
      </c>
      <c r="BS274">
        <v>6.3063062727451324E-2</v>
      </c>
      <c r="BT274">
        <v>6.9069072604179382E-2</v>
      </c>
      <c r="BU274">
        <v>4.8048049211502075E-2</v>
      </c>
      <c r="BV274">
        <v>4.6546544879674911E-2</v>
      </c>
      <c r="BW274">
        <v>0.11411411315202713</v>
      </c>
      <c r="BX274">
        <v>0.10210210084915161</v>
      </c>
      <c r="BY274">
        <v>9.4594597816467285E-2</v>
      </c>
      <c r="BZ274">
        <v>6.1561562120914459E-2</v>
      </c>
      <c r="CA274">
        <v>7.0570573210716248E-2</v>
      </c>
      <c r="CB274">
        <v>7.0570573210716248E-2</v>
      </c>
      <c r="CC274">
        <v>6.6066063940525055E-2</v>
      </c>
      <c r="CD274">
        <v>6.6066063940525055E-2</v>
      </c>
      <c r="CE274">
        <v>7.0570573210716248E-2</v>
      </c>
      <c r="CF274">
        <v>8.2582585513591766E-2</v>
      </c>
      <c r="CG274">
        <v>9.9099099636077881E-2</v>
      </c>
      <c r="CH274">
        <v>7.5075075030326843E-2</v>
      </c>
      <c r="CI274">
        <v>6.9069072604179382E-2</v>
      </c>
      <c r="CJ274">
        <v>9.0090088546276093E-2</v>
      </c>
      <c r="CK274">
        <v>7.3573574423789978E-2</v>
      </c>
      <c r="CL274">
        <v>6.3063062727451324E-2</v>
      </c>
      <c r="CM274">
        <v>6.3063062727451324E-2</v>
      </c>
      <c r="CN274">
        <v>6.6066063940525055E-2</v>
      </c>
      <c r="CO274">
        <v>8.2582585513591766E-2</v>
      </c>
      <c r="CP274">
        <v>8.2582585513591766E-2</v>
      </c>
      <c r="CQ274">
        <v>6.756756454706192E-2</v>
      </c>
      <c r="CR274">
        <v>0.11261261254549026</v>
      </c>
      <c r="CS274">
        <v>5.855855718255043E-2</v>
      </c>
      <c r="CT274">
        <v>5.55555559694767E-2</v>
      </c>
      <c r="CU274">
        <v>8.7087087333202362E-2</v>
      </c>
      <c r="CV274">
        <v>7.0570573210716248E-2</v>
      </c>
      <c r="CW274">
        <v>5.55555559694767E-2</v>
      </c>
      <c r="CX274">
        <v>7.2072073817253113E-2</v>
      </c>
      <c r="CY274">
        <v>8.1081077456474304E-2</v>
      </c>
      <c r="CZ274">
        <v>8.4084086120128632E-2</v>
      </c>
      <c r="DA274">
        <v>8.7087087333202362E-2</v>
      </c>
      <c r="DB274">
        <v>5.4054055362939835E-2</v>
      </c>
      <c r="DC274">
        <v>8.4084086120128632E-2</v>
      </c>
      <c r="DD274">
        <v>7.0570573210716248E-2</v>
      </c>
      <c r="DE274">
        <v>7.6576575636863708E-2</v>
      </c>
      <c r="DF274">
        <v>4.5045044273138046E-2</v>
      </c>
      <c r="DG274">
        <v>6.1561562120914459E-2</v>
      </c>
      <c r="DH274">
        <v>6.3063062727451324E-2</v>
      </c>
      <c r="DI274">
        <v>6.1561562120914459E-2</v>
      </c>
      <c r="DJ274">
        <v>5.55555559694767E-2</v>
      </c>
      <c r="DK274">
        <v>0.12162162363529205</v>
      </c>
      <c r="DL274">
        <v>8.5585586726665497E-2</v>
      </c>
      <c r="DM274">
        <v>7.6576575636863708E-2</v>
      </c>
      <c r="DN274">
        <v>7.5075075030326843E-2</v>
      </c>
      <c r="DO274">
        <v>7.0570573210716248E-2</v>
      </c>
      <c r="DP274">
        <v>7.9579576849937439E-2</v>
      </c>
      <c r="DQ274">
        <v>7.5075075030326843E-2</v>
      </c>
      <c r="DR274">
        <v>8.7087087333202362E-2</v>
      </c>
      <c r="DS274">
        <v>9.7597599029541016E-2</v>
      </c>
      <c r="DT274">
        <v>7.9579576849937439E-2</v>
      </c>
      <c r="DU274">
        <v>7.6576575636863708E-2</v>
      </c>
      <c r="DV274">
        <v>7.9579576849937439E-2</v>
      </c>
      <c r="DW274">
        <v>6.9069072604179382E-2</v>
      </c>
      <c r="DX274">
        <v>7.3573574423789978E-2</v>
      </c>
      <c r="DY274">
        <v>7.0570573210716248E-2</v>
      </c>
      <c r="DZ274">
        <v>6.6066063940525055E-2</v>
      </c>
      <c r="EA274">
        <v>8.2582585513591766E-2</v>
      </c>
      <c r="EB274">
        <v>8.5585586726665497E-2</v>
      </c>
      <c r="EC274">
        <v>0.10810811072587967</v>
      </c>
      <c r="ED274">
        <v>5.4054055362939835E-2</v>
      </c>
      <c r="EE274">
        <v>0.10360360145568848</v>
      </c>
      <c r="EF274">
        <v>7.0570573210716248E-2</v>
      </c>
      <c r="EG274">
        <v>0.12612612545490265</v>
      </c>
      <c r="EH274">
        <v>8.7087087333202362E-2</v>
      </c>
      <c r="EI274">
        <v>9.0090088546276093E-2</v>
      </c>
      <c r="EJ274">
        <v>7.9579576849937439E-2</v>
      </c>
      <c r="EK274">
        <v>0.11711711436510086</v>
      </c>
      <c r="EL274">
        <v>7.6576575636863708E-2</v>
      </c>
      <c r="EM274">
        <v>5.55555559694767E-2</v>
      </c>
      <c r="EN274">
        <v>0.10510510206222534</v>
      </c>
      <c r="EO274">
        <v>7.0570573210716248E-2</v>
      </c>
      <c r="EP274">
        <v>9.9099099636077881E-2</v>
      </c>
      <c r="EQ274">
        <v>6.756756454706192E-2</v>
      </c>
      <c r="ER274">
        <v>7.0570573210716248E-2</v>
      </c>
      <c r="ES274">
        <v>7.3573574423789978E-2</v>
      </c>
      <c r="ET274">
        <v>8.1081077456474304E-2</v>
      </c>
      <c r="EU274">
        <v>6.9069072604179382E-2</v>
      </c>
      <c r="EV274">
        <v>8.5585586726665497E-2</v>
      </c>
      <c r="EW274">
        <v>9.9099099636077881E-2</v>
      </c>
      <c r="EX274">
        <v>7.8078076243400574E-2</v>
      </c>
      <c r="EY274">
        <v>4.2042043060064316E-2</v>
      </c>
      <c r="EZ274">
        <v>9.3093089759349823E-2</v>
      </c>
      <c r="FA274">
        <v>7.3573574423789978E-2</v>
      </c>
      <c r="FB274">
        <v>7.8078076243400574E-2</v>
      </c>
      <c r="FC274">
        <v>7.2072073817253113E-2</v>
      </c>
      <c r="FD274">
        <v>7.2072073817253113E-2</v>
      </c>
      <c r="FE274">
        <v>6.3063062727451324E-2</v>
      </c>
      <c r="FF274">
        <v>0.10810811072587967</v>
      </c>
      <c r="FG274">
        <v>8.5585586726665497E-2</v>
      </c>
      <c r="FH274">
        <v>7.0570573210716248E-2</v>
      </c>
      <c r="FI274">
        <v>8.4084086120128632E-2</v>
      </c>
      <c r="FJ274">
        <v>5.7057056576013565E-2</v>
      </c>
      <c r="FK274">
        <v>0.13213212788105011</v>
      </c>
      <c r="FL274">
        <v>5.2552551031112671E-2</v>
      </c>
      <c r="FM274">
        <v>6.1561562120914459E-2</v>
      </c>
      <c r="FN274">
        <v>0.10360360145568848</v>
      </c>
      <c r="FO274">
        <v>6.456456333398819E-2</v>
      </c>
      <c r="FP274">
        <v>8.4084086120128632E-2</v>
      </c>
      <c r="FQ274">
        <v>6.9069072604179382E-2</v>
      </c>
      <c r="FR274">
        <v>6.9069072604179382E-2</v>
      </c>
      <c r="FS274">
        <v>7.5075075030326843E-2</v>
      </c>
      <c r="FT274">
        <v>8.7087087333202362E-2</v>
      </c>
      <c r="FU274">
        <v>6.1561562120914459E-2</v>
      </c>
      <c r="FV274">
        <v>9.609609842300415E-2</v>
      </c>
      <c r="FW274">
        <v>7.9579576849937439E-2</v>
      </c>
      <c r="FX274">
        <v>6.9069072604179382E-2</v>
      </c>
      <c r="FY274">
        <v>8.8588587939739227E-2</v>
      </c>
      <c r="FZ274">
        <v>7.8078076243400574E-2</v>
      </c>
      <c r="GA274">
        <v>6.456456333398819E-2</v>
      </c>
      <c r="GB274">
        <v>0.13813814520835876</v>
      </c>
      <c r="GC274">
        <v>4.954954981803894E-2</v>
      </c>
      <c r="GD274">
        <v>4.954954981803894E-2</v>
      </c>
      <c r="GE274">
        <v>9.0090088546276093E-2</v>
      </c>
      <c r="GF274">
        <v>6.456456333398819E-2</v>
      </c>
      <c r="GG274">
        <v>8.2582585513591766E-2</v>
      </c>
      <c r="GH274">
        <v>6.9069072604179382E-2</v>
      </c>
      <c r="GI274">
        <v>6.3063062727451324E-2</v>
      </c>
      <c r="GJ274">
        <v>5.7057056576013565E-2</v>
      </c>
      <c r="GK274">
        <v>8.5585586726665497E-2</v>
      </c>
      <c r="GL274">
        <v>0.10060060024261475</v>
      </c>
      <c r="GM274">
        <v>7.8078076243400574E-2</v>
      </c>
      <c r="GN274">
        <v>8.8588587939739227E-2</v>
      </c>
      <c r="GO274">
        <v>8.1081077456474304E-2</v>
      </c>
      <c r="GP274">
        <v>7.6576575636863708E-2</v>
      </c>
      <c r="GQ274">
        <v>8.1081077456474304E-2</v>
      </c>
      <c r="GR274">
        <v>6.9069072604179382E-2</v>
      </c>
      <c r="GS274">
        <v>8.5585586726665497E-2</v>
      </c>
      <c r="GT274">
        <v>7.8078076243400574E-2</v>
      </c>
      <c r="GU274">
        <v>0.10360360145568848</v>
      </c>
      <c r="GV274">
        <v>4.5045044273138046E-2</v>
      </c>
      <c r="GW274">
        <v>8.2582585513591766E-2</v>
      </c>
      <c r="GX274">
        <v>4.3543543666601181E-2</v>
      </c>
      <c r="GY274">
        <v>6.3063062727451324E-2</v>
      </c>
      <c r="GZ274">
        <v>6.9069072604179382E-2</v>
      </c>
      <c r="HA274">
        <v>0.10360360145568848</v>
      </c>
      <c r="HB274">
        <v>6.6066063940525055E-2</v>
      </c>
      <c r="HC274">
        <v>7.2072073817253113E-2</v>
      </c>
      <c r="HD274">
        <v>6.3063062727451324E-2</v>
      </c>
      <c r="HE274">
        <v>9.4594597816467285E-2</v>
      </c>
      <c r="HF274">
        <v>9.609609842300415E-2</v>
      </c>
      <c r="HG274">
        <v>0.12462462484836578</v>
      </c>
      <c r="HH274">
        <v>8.5585586726665497E-2</v>
      </c>
      <c r="HI274">
        <v>7.8078076243400574E-2</v>
      </c>
      <c r="HJ274">
        <v>9.0090088546276093E-2</v>
      </c>
      <c r="HK274">
        <v>8.2582585513591766E-2</v>
      </c>
      <c r="HL274">
        <v>5.7057056576013565E-2</v>
      </c>
      <c r="HM274">
        <v>7.5075075030326843E-2</v>
      </c>
      <c r="HN274">
        <v>5.1051050424575806E-2</v>
      </c>
      <c r="HO274">
        <v>6.6066063940525055E-2</v>
      </c>
      <c r="HP274">
        <v>0.10210210084915161</v>
      </c>
      <c r="HQ274">
        <v>5.855855718255043E-2</v>
      </c>
      <c r="HR274">
        <v>5.855855718255043E-2</v>
      </c>
      <c r="HS274">
        <v>8.1081077456474304E-2</v>
      </c>
      <c r="HT274">
        <v>7.3573574423789978E-2</v>
      </c>
      <c r="HU274">
        <v>6.3063062727451324E-2</v>
      </c>
      <c r="HV274">
        <v>6.6066063940525055E-2</v>
      </c>
      <c r="HW274">
        <v>8.4084086120128632E-2</v>
      </c>
      <c r="HX274">
        <v>6.456456333398819E-2</v>
      </c>
      <c r="HY274">
        <v>9.1591589152812958E-2</v>
      </c>
      <c r="HZ274">
        <v>7.3573574423789978E-2</v>
      </c>
      <c r="IA274">
        <v>8.2582585513591766E-2</v>
      </c>
      <c r="IB274">
        <v>6.3063062727451324E-2</v>
      </c>
      <c r="IC274">
        <v>9.4594597816467285E-2</v>
      </c>
      <c r="ID274">
        <v>0.1066066101193428</v>
      </c>
      <c r="IE274">
        <v>7.0570573210716248E-2</v>
      </c>
      <c r="IF274">
        <v>8.8588587939739227E-2</v>
      </c>
      <c r="IG274">
        <v>6.1561562120914459E-2</v>
      </c>
      <c r="IH274">
        <v>0.10810811072587967</v>
      </c>
      <c r="II274">
        <v>6.456456333398819E-2</v>
      </c>
      <c r="IJ274">
        <v>7.2072073817253113E-2</v>
      </c>
      <c r="IK274">
        <v>0.10960961133241653</v>
      </c>
      <c r="IL274">
        <v>7.5075075030326843E-2</v>
      </c>
      <c r="IM274">
        <v>8.2582585513591766E-2</v>
      </c>
      <c r="IN274">
        <v>9.0090088546276093E-2</v>
      </c>
      <c r="IO274">
        <v>7.1428574621677399E-2</v>
      </c>
      <c r="IP274">
        <v>0.12539683282375336</v>
      </c>
      <c r="IQ274">
        <v>6.3492067158222198E-2</v>
      </c>
      <c r="IR274">
        <v>6.3492067158222198E-2</v>
      </c>
      <c r="IS274">
        <v>5.873015895485878E-2</v>
      </c>
      <c r="IT274">
        <v>9.0476192533969879E-2</v>
      </c>
      <c r="IU274">
        <v>7.6190479099750519E-2</v>
      </c>
      <c r="IV274">
        <v>0.10952381044626236</v>
      </c>
      <c r="IW274">
        <v>0.11269841343164444</v>
      </c>
      <c r="IX274">
        <v>8.2539685070514679E-2</v>
      </c>
      <c r="IY274">
        <v>8.7301589548587799E-2</v>
      </c>
      <c r="IZ274">
        <v>6.3492067158222198E-2</v>
      </c>
      <c r="JA274">
        <v>7.1428574621677399E-2</v>
      </c>
      <c r="JB274">
        <v>6.9841273128986359E-2</v>
      </c>
    </row>
    <row r="275" spans="4:276" x14ac:dyDescent="0.25">
      <c r="D275" s="41" t="str" cm="1">
        <f t="array" ref="D275">IF(H275="","",IF(AND(E275&lt;AVERAGE(E274,E276)*($L$19/100),$D$23:D274=""),H275,""))</f>
        <v/>
      </c>
      <c r="E275" s="78">
        <f t="shared" si="4"/>
        <v>1.867815399381953E-3</v>
      </c>
      <c r="F275" s="79"/>
      <c r="H275">
        <v>253</v>
      </c>
      <c r="I275">
        <v>7.5917815399381958E-2</v>
      </c>
      <c r="K275">
        <v>9.7597599029541016E-2</v>
      </c>
      <c r="L275">
        <v>8.7087087333202362E-2</v>
      </c>
      <c r="M275">
        <v>0.10210210084915161</v>
      </c>
      <c r="N275">
        <v>7.0570573210716248E-2</v>
      </c>
      <c r="O275">
        <v>9.609609842300415E-2</v>
      </c>
      <c r="P275">
        <v>5.55555559694767E-2</v>
      </c>
      <c r="Q275">
        <v>6.1561562120914459E-2</v>
      </c>
      <c r="R275">
        <v>5.855855718255043E-2</v>
      </c>
      <c r="S275">
        <v>7.9579576849937439E-2</v>
      </c>
      <c r="T275">
        <v>5.4054055362939835E-2</v>
      </c>
      <c r="U275">
        <v>7.0570573210716248E-2</v>
      </c>
      <c r="V275">
        <v>6.9069072604179382E-2</v>
      </c>
      <c r="W275">
        <v>8.1081077456474304E-2</v>
      </c>
      <c r="X275">
        <v>7.8078076243400574E-2</v>
      </c>
      <c r="Y275">
        <v>7.8078076243400574E-2</v>
      </c>
      <c r="Z275">
        <v>5.55555559694767E-2</v>
      </c>
      <c r="AA275">
        <v>9.609609842300415E-2</v>
      </c>
      <c r="AB275">
        <v>9.0090088546276093E-2</v>
      </c>
      <c r="AC275">
        <v>5.4054055362939835E-2</v>
      </c>
      <c r="AD275">
        <v>0.12312312424182892</v>
      </c>
      <c r="AE275">
        <v>6.6066063940525055E-2</v>
      </c>
      <c r="AF275">
        <v>6.456456333398819E-2</v>
      </c>
      <c r="AG275">
        <v>6.456456333398819E-2</v>
      </c>
      <c r="AH275">
        <v>7.9579576849937439E-2</v>
      </c>
      <c r="AI275">
        <v>6.6066063940525055E-2</v>
      </c>
      <c r="AJ275">
        <v>6.456456333398819E-2</v>
      </c>
      <c r="AK275">
        <v>0.10510510206222534</v>
      </c>
      <c r="AL275">
        <v>6.456456333398819E-2</v>
      </c>
      <c r="AM275">
        <v>7.6576575636863708E-2</v>
      </c>
      <c r="AN275">
        <v>6.456456333398819E-2</v>
      </c>
      <c r="AO275">
        <v>8.4084086120128632E-2</v>
      </c>
      <c r="AP275">
        <v>5.55555559694767E-2</v>
      </c>
      <c r="AQ275">
        <v>7.3573574423789978E-2</v>
      </c>
      <c r="AR275">
        <v>9.9099099636077881E-2</v>
      </c>
      <c r="AS275">
        <v>5.7057056576013565E-2</v>
      </c>
      <c r="AT275">
        <v>8.7087087333202362E-2</v>
      </c>
      <c r="AU275">
        <v>7.2072073817253113E-2</v>
      </c>
      <c r="AV275">
        <v>9.1591589152812958E-2</v>
      </c>
      <c r="AW275">
        <v>5.855855718255043E-2</v>
      </c>
      <c r="AX275">
        <v>6.456456333398819E-2</v>
      </c>
      <c r="AY275">
        <v>6.9069072604179382E-2</v>
      </c>
      <c r="AZ275">
        <v>9.1591589152812958E-2</v>
      </c>
      <c r="BA275">
        <v>4.8048049211502075E-2</v>
      </c>
      <c r="BB275">
        <v>7.6576575636863708E-2</v>
      </c>
      <c r="BC275">
        <v>6.3063062727451324E-2</v>
      </c>
      <c r="BD275">
        <v>9.609609842300415E-2</v>
      </c>
      <c r="BE275">
        <v>4.5045044273138046E-2</v>
      </c>
      <c r="BF275">
        <v>7.8078076243400574E-2</v>
      </c>
      <c r="BG275">
        <v>6.6066063940525055E-2</v>
      </c>
      <c r="BH275">
        <v>6.0060061514377594E-2</v>
      </c>
      <c r="BI275">
        <v>7.5075075030326843E-2</v>
      </c>
      <c r="BJ275">
        <v>0.11411411315202713</v>
      </c>
      <c r="BK275">
        <v>7.0570573210716248E-2</v>
      </c>
      <c r="BL275">
        <v>0.12462462484836578</v>
      </c>
      <c r="BM275">
        <v>6.1561562120914459E-2</v>
      </c>
      <c r="BN275">
        <v>6.3063062727451324E-2</v>
      </c>
      <c r="BO275">
        <v>7.9579576849937439E-2</v>
      </c>
      <c r="BP275">
        <v>6.0060061514377594E-2</v>
      </c>
      <c r="BQ275">
        <v>5.7057056576013565E-2</v>
      </c>
      <c r="BR275">
        <v>8.1081077456474304E-2</v>
      </c>
      <c r="BS275">
        <v>4.3543543666601181E-2</v>
      </c>
      <c r="BT275">
        <v>9.9099099636077881E-2</v>
      </c>
      <c r="BU275">
        <v>7.5075075030326843E-2</v>
      </c>
      <c r="BV275">
        <v>6.9069072604179382E-2</v>
      </c>
      <c r="BW275">
        <v>0.10510510206222534</v>
      </c>
      <c r="BX275">
        <v>8.8588587939739227E-2</v>
      </c>
      <c r="BY275">
        <v>7.2072073817253113E-2</v>
      </c>
      <c r="BZ275">
        <v>7.5075075030326843E-2</v>
      </c>
      <c r="CA275">
        <v>0.10510510206222534</v>
      </c>
      <c r="CB275">
        <v>5.55555559694767E-2</v>
      </c>
      <c r="CC275">
        <v>9.1591589152812958E-2</v>
      </c>
      <c r="CD275">
        <v>7.2072073817253113E-2</v>
      </c>
      <c r="CE275">
        <v>6.9069072604179382E-2</v>
      </c>
      <c r="CF275">
        <v>6.6066063940525055E-2</v>
      </c>
      <c r="CG275">
        <v>6.1561562120914459E-2</v>
      </c>
      <c r="CH275">
        <v>6.456456333398819E-2</v>
      </c>
      <c r="CI275">
        <v>5.855855718255043E-2</v>
      </c>
      <c r="CJ275">
        <v>6.6066063940525055E-2</v>
      </c>
      <c r="CK275">
        <v>7.0570573210716248E-2</v>
      </c>
      <c r="CL275">
        <v>0.10810811072587967</v>
      </c>
      <c r="CM275">
        <v>8.4084086120128632E-2</v>
      </c>
      <c r="CN275">
        <v>6.6066063940525055E-2</v>
      </c>
      <c r="CO275">
        <v>7.0570573210716248E-2</v>
      </c>
      <c r="CP275">
        <v>7.3573574423789978E-2</v>
      </c>
      <c r="CQ275">
        <v>6.9069072604179382E-2</v>
      </c>
      <c r="CR275">
        <v>7.8078076243400574E-2</v>
      </c>
      <c r="CS275">
        <v>4.954954981803894E-2</v>
      </c>
      <c r="CT275">
        <v>5.4054055362939835E-2</v>
      </c>
      <c r="CU275">
        <v>8.7087087333202362E-2</v>
      </c>
      <c r="CV275">
        <v>5.4054055362939835E-2</v>
      </c>
      <c r="CW275">
        <v>6.3063062727451324E-2</v>
      </c>
      <c r="CX275">
        <v>7.2072073817253113E-2</v>
      </c>
      <c r="CY275">
        <v>6.9069072604179382E-2</v>
      </c>
      <c r="CZ275">
        <v>7.8078076243400574E-2</v>
      </c>
      <c r="DA275">
        <v>7.6576575636863708E-2</v>
      </c>
      <c r="DB275">
        <v>9.3093089759349823E-2</v>
      </c>
      <c r="DC275">
        <v>5.855855718255043E-2</v>
      </c>
      <c r="DD275">
        <v>7.8078076243400574E-2</v>
      </c>
      <c r="DE275">
        <v>6.3063062727451324E-2</v>
      </c>
      <c r="DF275">
        <v>5.7057056576013565E-2</v>
      </c>
      <c r="DG275">
        <v>7.6576575636863708E-2</v>
      </c>
      <c r="DH275">
        <v>8.1081077456474304E-2</v>
      </c>
      <c r="DI275">
        <v>7.2072073817253113E-2</v>
      </c>
      <c r="DJ275">
        <v>0.10060060024261475</v>
      </c>
      <c r="DK275">
        <v>6.3063062727451324E-2</v>
      </c>
      <c r="DL275">
        <v>7.3573574423789978E-2</v>
      </c>
      <c r="DM275">
        <v>0.1111111119389534</v>
      </c>
      <c r="DN275">
        <v>6.6066063940525055E-2</v>
      </c>
      <c r="DO275">
        <v>7.9579576849937439E-2</v>
      </c>
      <c r="DP275">
        <v>8.1081077456474304E-2</v>
      </c>
      <c r="DQ275">
        <v>5.4054055362939835E-2</v>
      </c>
      <c r="DR275">
        <v>9.3093089759349823E-2</v>
      </c>
      <c r="DS275">
        <v>7.8078076243400574E-2</v>
      </c>
      <c r="DT275">
        <v>6.1561562120914459E-2</v>
      </c>
      <c r="DU275">
        <v>6.6066063940525055E-2</v>
      </c>
      <c r="DV275">
        <v>7.5075075030326843E-2</v>
      </c>
      <c r="DW275">
        <v>7.6576575636863708E-2</v>
      </c>
      <c r="DX275">
        <v>0.11261261254549026</v>
      </c>
      <c r="DY275">
        <v>9.0090088546276093E-2</v>
      </c>
      <c r="DZ275">
        <v>7.0570573210716248E-2</v>
      </c>
      <c r="EA275">
        <v>6.1561562120914459E-2</v>
      </c>
      <c r="EB275">
        <v>6.9069072604179382E-2</v>
      </c>
      <c r="EC275">
        <v>9.1591589152812958E-2</v>
      </c>
      <c r="ED275">
        <v>8.2582585513591766E-2</v>
      </c>
      <c r="EE275">
        <v>4.8048049211502075E-2</v>
      </c>
      <c r="EF275">
        <v>6.456456333398819E-2</v>
      </c>
      <c r="EG275">
        <v>0.12462462484836578</v>
      </c>
      <c r="EH275">
        <v>7.0570573210716248E-2</v>
      </c>
      <c r="EI275">
        <v>6.756756454706192E-2</v>
      </c>
      <c r="EJ275">
        <v>9.7597599029541016E-2</v>
      </c>
      <c r="EK275">
        <v>6.456456333398819E-2</v>
      </c>
      <c r="EL275">
        <v>6.6066063940525055E-2</v>
      </c>
      <c r="EM275">
        <v>5.4054055362939835E-2</v>
      </c>
      <c r="EN275">
        <v>7.3573574423789978E-2</v>
      </c>
      <c r="EO275">
        <v>9.0090088546276093E-2</v>
      </c>
      <c r="EP275">
        <v>6.1561562120914459E-2</v>
      </c>
      <c r="EQ275">
        <v>6.6066063940525055E-2</v>
      </c>
      <c r="ER275">
        <v>7.3573574423789978E-2</v>
      </c>
      <c r="ES275">
        <v>6.0060061514377594E-2</v>
      </c>
      <c r="ET275">
        <v>0.10210210084915161</v>
      </c>
      <c r="EU275">
        <v>8.4084086120128632E-2</v>
      </c>
      <c r="EV275">
        <v>7.6576575636863708E-2</v>
      </c>
      <c r="EW275">
        <v>7.2072073817253113E-2</v>
      </c>
      <c r="EX275">
        <v>7.6576575636863708E-2</v>
      </c>
      <c r="EY275">
        <v>5.1051050424575806E-2</v>
      </c>
      <c r="EZ275">
        <v>9.4594597816467285E-2</v>
      </c>
      <c r="FA275">
        <v>6.756756454706192E-2</v>
      </c>
      <c r="FB275">
        <v>0.10060060024261475</v>
      </c>
      <c r="FC275">
        <v>8.2582585513591766E-2</v>
      </c>
      <c r="FD275">
        <v>7.3573574423789978E-2</v>
      </c>
      <c r="FE275">
        <v>0.10510510206222534</v>
      </c>
      <c r="FF275">
        <v>5.55555559694767E-2</v>
      </c>
      <c r="FG275">
        <v>8.8588587939739227E-2</v>
      </c>
      <c r="FH275">
        <v>6.6066063940525055E-2</v>
      </c>
      <c r="FI275">
        <v>7.2072073817253113E-2</v>
      </c>
      <c r="FJ275">
        <v>7.6576575636863708E-2</v>
      </c>
      <c r="FK275">
        <v>5.1051050424575806E-2</v>
      </c>
      <c r="FL275">
        <v>7.0570573210716248E-2</v>
      </c>
      <c r="FM275">
        <v>7.8078076243400574E-2</v>
      </c>
      <c r="FN275">
        <v>7.2072073817253113E-2</v>
      </c>
      <c r="FO275">
        <v>8.8588587939739227E-2</v>
      </c>
      <c r="FP275">
        <v>7.0570573210716248E-2</v>
      </c>
      <c r="FQ275">
        <v>5.55555559694767E-2</v>
      </c>
      <c r="FR275">
        <v>8.4084086120128632E-2</v>
      </c>
      <c r="FS275">
        <v>6.9069072604179382E-2</v>
      </c>
      <c r="FT275">
        <v>5.855855718255043E-2</v>
      </c>
      <c r="FU275">
        <v>0.12762762606143951</v>
      </c>
      <c r="FV275">
        <v>8.5585586726665497E-2</v>
      </c>
      <c r="FW275">
        <v>8.2582585513591766E-2</v>
      </c>
      <c r="FX275">
        <v>6.456456333398819E-2</v>
      </c>
      <c r="FY275">
        <v>9.609609842300415E-2</v>
      </c>
      <c r="FZ275">
        <v>6.6066063940525055E-2</v>
      </c>
      <c r="GA275">
        <v>6.1561562120914459E-2</v>
      </c>
      <c r="GB275">
        <v>0.10360360145568848</v>
      </c>
      <c r="GC275">
        <v>0.10060060024261475</v>
      </c>
      <c r="GD275">
        <v>6.756756454706192E-2</v>
      </c>
      <c r="GE275">
        <v>8.7087087333202362E-2</v>
      </c>
      <c r="GF275">
        <v>8.7087087333202362E-2</v>
      </c>
      <c r="GG275">
        <v>8.7087087333202362E-2</v>
      </c>
      <c r="GH275">
        <v>6.456456333398819E-2</v>
      </c>
      <c r="GI275">
        <v>7.6576575636863708E-2</v>
      </c>
      <c r="GJ275">
        <v>7.6576575636863708E-2</v>
      </c>
      <c r="GK275">
        <v>7.9579576849937439E-2</v>
      </c>
      <c r="GL275">
        <v>9.0090088546276093E-2</v>
      </c>
      <c r="GM275">
        <v>5.55555559694767E-2</v>
      </c>
      <c r="GN275">
        <v>6.456456333398819E-2</v>
      </c>
      <c r="GO275">
        <v>8.5585586726665497E-2</v>
      </c>
      <c r="GP275">
        <v>7.2072073817253113E-2</v>
      </c>
      <c r="GQ275">
        <v>7.3573574423789978E-2</v>
      </c>
      <c r="GR275">
        <v>9.1591589152812958E-2</v>
      </c>
      <c r="GS275">
        <v>5.7057056576013565E-2</v>
      </c>
      <c r="GT275">
        <v>9.0090088546276093E-2</v>
      </c>
      <c r="GU275">
        <v>0.10360360145568848</v>
      </c>
      <c r="GV275">
        <v>9.4594597816467285E-2</v>
      </c>
      <c r="GW275">
        <v>6.6066063940525055E-2</v>
      </c>
      <c r="GX275">
        <v>6.0060061514377594E-2</v>
      </c>
      <c r="GY275">
        <v>7.3573574423789978E-2</v>
      </c>
      <c r="GZ275">
        <v>9.3093089759349823E-2</v>
      </c>
      <c r="HA275">
        <v>7.3573574423789978E-2</v>
      </c>
      <c r="HB275">
        <v>5.55555559694767E-2</v>
      </c>
      <c r="HC275">
        <v>6.3063062727451324E-2</v>
      </c>
      <c r="HD275">
        <v>6.1561562120914459E-2</v>
      </c>
      <c r="HE275">
        <v>9.8412699997425079E-2</v>
      </c>
      <c r="HF275">
        <v>6.5079368650913239E-2</v>
      </c>
      <c r="HG275">
        <v>0.1031746044754982</v>
      </c>
      <c r="HH275">
        <v>6.8253971636295319E-2</v>
      </c>
      <c r="HI275">
        <v>9.0476192533969879E-2</v>
      </c>
      <c r="HJ275">
        <v>6.8253971636295319E-2</v>
      </c>
      <c r="HK275">
        <v>5.079365149140358E-2</v>
      </c>
      <c r="HL275">
        <v>0.1111111119389534</v>
      </c>
      <c r="HM275">
        <v>7.4603177607059479E-2</v>
      </c>
      <c r="HN275">
        <v>6.8253971636295319E-2</v>
      </c>
      <c r="HO275">
        <v>0.11428571492433548</v>
      </c>
      <c r="HP275">
        <v>7.3015876114368439E-2</v>
      </c>
      <c r="HQ275">
        <v>5.396825447678566E-2</v>
      </c>
      <c r="HR275">
        <v>8.2539685070514679E-2</v>
      </c>
      <c r="HS275">
        <v>7.7777780592441559E-2</v>
      </c>
      <c r="HT275">
        <v>8.4126986563205719E-2</v>
      </c>
      <c r="HU275">
        <v>7.7777780592441559E-2</v>
      </c>
      <c r="HV275">
        <v>7.6190479099750519E-2</v>
      </c>
      <c r="HW275">
        <v>6.031746044754982E-2</v>
      </c>
      <c r="HX275">
        <v>0.13968254625797272</v>
      </c>
      <c r="HY275">
        <v>8.5714288055896759E-2</v>
      </c>
      <c r="HZ275">
        <v>7.9365082085132599E-2</v>
      </c>
      <c r="IA275">
        <v>9.8412699997425079E-2</v>
      </c>
      <c r="IB275">
        <v>9.5238097012042999E-2</v>
      </c>
      <c r="IC275">
        <v>0.1031746044754982</v>
      </c>
      <c r="ID275">
        <v>4.920634999871254E-2</v>
      </c>
      <c r="IE275">
        <v>6.9841273128986359E-2</v>
      </c>
      <c r="IF275">
        <v>8.0952383577823639E-2</v>
      </c>
      <c r="IG275">
        <v>6.3492067158222198E-2</v>
      </c>
      <c r="IH275">
        <v>7.1428574621677399E-2</v>
      </c>
      <c r="II275">
        <v>8.8888891041278839E-2</v>
      </c>
      <c r="IJ275">
        <v>8.0952383577823639E-2</v>
      </c>
      <c r="IK275">
        <v>5.873015895485878E-2</v>
      </c>
      <c r="IL275">
        <v>7.4603177607059479E-2</v>
      </c>
      <c r="IM275">
        <v>9.5238097012042999E-2</v>
      </c>
      <c r="IN275">
        <v>7.4603177607059479E-2</v>
      </c>
      <c r="IO275">
        <v>7.7777780592441559E-2</v>
      </c>
      <c r="IP275">
        <v>0.10634920746088028</v>
      </c>
      <c r="IQ275">
        <v>7.3015876114368439E-2</v>
      </c>
      <c r="IR275">
        <v>5.238095298409462E-2</v>
      </c>
      <c r="IS275">
        <v>6.190476194024086E-2</v>
      </c>
      <c r="IT275">
        <v>7.9365082085132599E-2</v>
      </c>
      <c r="IU275">
        <v>6.8253971636295319E-2</v>
      </c>
      <c r="IV275">
        <v>5.238095298409462E-2</v>
      </c>
      <c r="IW275">
        <v>6.9841273128986359E-2</v>
      </c>
      <c r="IX275">
        <v>6.3492067158222198E-2</v>
      </c>
      <c r="IY275">
        <v>6.031746044754982E-2</v>
      </c>
      <c r="IZ275">
        <v>6.8253971636295319E-2</v>
      </c>
      <c r="JA275">
        <v>8.7301589548587799E-2</v>
      </c>
      <c r="JB275">
        <v>5.238095298409462E-2</v>
      </c>
      <c r="JC275">
        <v>6.3492067158222198E-2</v>
      </c>
    </row>
    <row r="276" spans="4:276" x14ac:dyDescent="0.25">
      <c r="D276" s="41" t="str" cm="1">
        <f t="array" ref="D276">IF(H276="","",IF(AND(E276&lt;AVERAGE(E275,E277)*($L$19/100),$D$23:D275=""),H276,""))</f>
        <v/>
      </c>
      <c r="E276" s="78">
        <f t="shared" si="4"/>
        <v>3.1744692816743636E-3</v>
      </c>
      <c r="F276" s="79"/>
      <c r="H276">
        <v>254</v>
      </c>
      <c r="I276">
        <v>7.7224469281674368E-2</v>
      </c>
      <c r="K276">
        <v>0.10210210084915161</v>
      </c>
      <c r="L276">
        <v>6.0060061514377594E-2</v>
      </c>
      <c r="M276">
        <v>7.5075075030326843E-2</v>
      </c>
      <c r="N276">
        <v>5.4054055362939835E-2</v>
      </c>
      <c r="O276">
        <v>6.3063062727451324E-2</v>
      </c>
      <c r="P276">
        <v>6.0060061514377594E-2</v>
      </c>
      <c r="Q276">
        <v>0.1111111119389534</v>
      </c>
      <c r="R276">
        <v>6.9069072604179382E-2</v>
      </c>
      <c r="S276">
        <v>7.2072073817253113E-2</v>
      </c>
      <c r="T276">
        <v>7.0570573210716248E-2</v>
      </c>
      <c r="U276">
        <v>8.4084086120128632E-2</v>
      </c>
      <c r="V276">
        <v>6.0060061514377594E-2</v>
      </c>
      <c r="W276">
        <v>7.0570573210716248E-2</v>
      </c>
      <c r="X276">
        <v>8.1081077456474304E-2</v>
      </c>
      <c r="Y276">
        <v>6.456456333398819E-2</v>
      </c>
      <c r="Z276">
        <v>9.7597599029541016E-2</v>
      </c>
      <c r="AA276">
        <v>7.6576575636863708E-2</v>
      </c>
      <c r="AB276">
        <v>8.1081077456474304E-2</v>
      </c>
      <c r="AC276">
        <v>9.1591589152812958E-2</v>
      </c>
      <c r="AD276">
        <v>7.2072073817253113E-2</v>
      </c>
      <c r="AE276">
        <v>7.2072073817253113E-2</v>
      </c>
      <c r="AF276">
        <v>9.4594597816467285E-2</v>
      </c>
      <c r="AG276">
        <v>6.6066063940525055E-2</v>
      </c>
      <c r="AH276">
        <v>8.8588587939739227E-2</v>
      </c>
      <c r="AI276">
        <v>5.55555559694767E-2</v>
      </c>
      <c r="AJ276">
        <v>6.9069072604179382E-2</v>
      </c>
      <c r="AK276">
        <v>0.14264264702796936</v>
      </c>
      <c r="AL276">
        <v>8.5585586726665497E-2</v>
      </c>
      <c r="AM276">
        <v>6.0060061514377594E-2</v>
      </c>
      <c r="AN276">
        <v>9.609609842300415E-2</v>
      </c>
      <c r="AO276">
        <v>8.1081077456474304E-2</v>
      </c>
      <c r="AP276">
        <v>0.10210210084915161</v>
      </c>
      <c r="AQ276">
        <v>6.456456333398819E-2</v>
      </c>
      <c r="AR276">
        <v>9.7597599029541016E-2</v>
      </c>
      <c r="AS276">
        <v>7.9579576849937439E-2</v>
      </c>
      <c r="AT276">
        <v>7.6576575636863708E-2</v>
      </c>
      <c r="AU276">
        <v>6.3063062727451324E-2</v>
      </c>
      <c r="AV276">
        <v>6.6066063940525055E-2</v>
      </c>
      <c r="AW276">
        <v>0.15915915369987488</v>
      </c>
      <c r="AX276">
        <v>5.55555559694767E-2</v>
      </c>
      <c r="AY276">
        <v>6.456456333398819E-2</v>
      </c>
      <c r="AZ276">
        <v>8.5585586726665497E-2</v>
      </c>
      <c r="BA276">
        <v>7.2072073817253113E-2</v>
      </c>
      <c r="BB276">
        <v>5.2552551031112671E-2</v>
      </c>
      <c r="BC276">
        <v>8.8588587939739227E-2</v>
      </c>
      <c r="BD276">
        <v>0.10210210084915161</v>
      </c>
      <c r="BE276">
        <v>6.3063062727451324E-2</v>
      </c>
      <c r="BF276">
        <v>5.4054055362939835E-2</v>
      </c>
      <c r="BG276">
        <v>7.0570573210716248E-2</v>
      </c>
      <c r="BH276">
        <v>8.2582585513591766E-2</v>
      </c>
      <c r="BI276">
        <v>8.4084086120128632E-2</v>
      </c>
      <c r="BJ276">
        <v>7.2072073817253113E-2</v>
      </c>
      <c r="BK276">
        <v>8.1081077456474304E-2</v>
      </c>
      <c r="BL276">
        <v>6.0060061514377594E-2</v>
      </c>
      <c r="BM276">
        <v>6.3063062727451324E-2</v>
      </c>
      <c r="BN276">
        <v>0.10360360145568848</v>
      </c>
      <c r="BO276">
        <v>6.3063062727451324E-2</v>
      </c>
      <c r="BP276">
        <v>5.7057056576013565E-2</v>
      </c>
      <c r="BQ276">
        <v>6.9069072604179382E-2</v>
      </c>
      <c r="BR276">
        <v>8.7087087333202362E-2</v>
      </c>
      <c r="BS276">
        <v>6.6066063940525055E-2</v>
      </c>
      <c r="BT276">
        <v>0.12312312424182892</v>
      </c>
      <c r="BU276">
        <v>5.2552551031112671E-2</v>
      </c>
      <c r="BV276">
        <v>8.1081077456474304E-2</v>
      </c>
      <c r="BW276">
        <v>6.3063062727451324E-2</v>
      </c>
      <c r="BX276">
        <v>0.10960961133241653</v>
      </c>
      <c r="BY276">
        <v>9.1591589152812958E-2</v>
      </c>
      <c r="BZ276">
        <v>4.954954981803894E-2</v>
      </c>
      <c r="CA276">
        <v>0.10060060024261475</v>
      </c>
      <c r="CB276">
        <v>4.954954981803894E-2</v>
      </c>
      <c r="CC276">
        <v>6.1561562120914459E-2</v>
      </c>
      <c r="CD276">
        <v>5.2552551031112671E-2</v>
      </c>
      <c r="CE276">
        <v>9.4594597816467285E-2</v>
      </c>
      <c r="CF276">
        <v>6.9069072604179382E-2</v>
      </c>
      <c r="CG276">
        <v>7.3573574423789978E-2</v>
      </c>
      <c r="CH276">
        <v>5.855855718255043E-2</v>
      </c>
      <c r="CI276">
        <v>9.7597599029541016E-2</v>
      </c>
      <c r="CJ276">
        <v>5.55555559694767E-2</v>
      </c>
      <c r="CK276">
        <v>4.3543543666601181E-2</v>
      </c>
      <c r="CL276">
        <v>9.7597599029541016E-2</v>
      </c>
      <c r="CM276">
        <v>8.4084086120128632E-2</v>
      </c>
      <c r="CN276">
        <v>0.11861861497163773</v>
      </c>
      <c r="CO276">
        <v>8.2582585513591766E-2</v>
      </c>
      <c r="CP276">
        <v>0.10510510206222534</v>
      </c>
      <c r="CQ276">
        <v>6.756756454706192E-2</v>
      </c>
      <c r="CR276">
        <v>7.6576575636863708E-2</v>
      </c>
      <c r="CS276">
        <v>7.2072073817253113E-2</v>
      </c>
      <c r="CT276">
        <v>7.3573574423789978E-2</v>
      </c>
      <c r="CU276">
        <v>8.7087087333202362E-2</v>
      </c>
      <c r="CV276">
        <v>8.4084086120128632E-2</v>
      </c>
      <c r="CW276">
        <v>0.1066066101193428</v>
      </c>
      <c r="CX276">
        <v>8.5585586726665497E-2</v>
      </c>
      <c r="CY276">
        <v>8.4084086120128632E-2</v>
      </c>
      <c r="CZ276">
        <v>8.7087087333202362E-2</v>
      </c>
      <c r="DA276">
        <v>6.3063062727451324E-2</v>
      </c>
      <c r="DB276">
        <v>8.1081077456474304E-2</v>
      </c>
      <c r="DC276">
        <v>8.4084086120128632E-2</v>
      </c>
      <c r="DD276">
        <v>7.8078076243400574E-2</v>
      </c>
      <c r="DE276">
        <v>9.0090088546276093E-2</v>
      </c>
      <c r="DF276">
        <v>5.855855718255043E-2</v>
      </c>
      <c r="DG276">
        <v>8.7087087333202362E-2</v>
      </c>
      <c r="DH276">
        <v>5.855855718255043E-2</v>
      </c>
      <c r="DI276">
        <v>6.9069072604179382E-2</v>
      </c>
      <c r="DJ276">
        <v>9.1591589152812958E-2</v>
      </c>
      <c r="DK276">
        <v>5.2552551031112671E-2</v>
      </c>
      <c r="DL276">
        <v>9.4594597816467285E-2</v>
      </c>
      <c r="DM276">
        <v>8.7087087333202362E-2</v>
      </c>
      <c r="DN276">
        <v>7.8078076243400574E-2</v>
      </c>
      <c r="DO276">
        <v>8.2582585513591766E-2</v>
      </c>
      <c r="DP276">
        <v>7.0570573210716248E-2</v>
      </c>
      <c r="DQ276">
        <v>5.55555559694767E-2</v>
      </c>
      <c r="DR276">
        <v>9.7597599029541016E-2</v>
      </c>
      <c r="DS276">
        <v>5.855855718255043E-2</v>
      </c>
      <c r="DT276">
        <v>8.5585586726665497E-2</v>
      </c>
      <c r="DU276">
        <v>7.8078076243400574E-2</v>
      </c>
      <c r="DV276">
        <v>9.0090088546276093E-2</v>
      </c>
      <c r="DW276">
        <v>8.4084086120128632E-2</v>
      </c>
      <c r="DX276">
        <v>8.1081077456474304E-2</v>
      </c>
      <c r="DY276">
        <v>5.855855718255043E-2</v>
      </c>
      <c r="DZ276">
        <v>6.9069072604179382E-2</v>
      </c>
      <c r="EA276">
        <v>7.3573574423789978E-2</v>
      </c>
      <c r="EB276">
        <v>9.3093089759349823E-2</v>
      </c>
      <c r="EC276">
        <v>8.1081077456474304E-2</v>
      </c>
      <c r="ED276">
        <v>6.1561562120914459E-2</v>
      </c>
      <c r="EE276">
        <v>9.1591589152812958E-2</v>
      </c>
      <c r="EF276">
        <v>8.2582585513591766E-2</v>
      </c>
      <c r="EG276">
        <v>9.0090088546276093E-2</v>
      </c>
      <c r="EH276">
        <v>4.6546544879674911E-2</v>
      </c>
      <c r="EI276">
        <v>6.456456333398819E-2</v>
      </c>
      <c r="EJ276">
        <v>6.6066063940525055E-2</v>
      </c>
      <c r="EK276">
        <v>8.5585586726665497E-2</v>
      </c>
      <c r="EL276">
        <v>6.3063062727451324E-2</v>
      </c>
      <c r="EM276">
        <v>0.10510510206222534</v>
      </c>
      <c r="EN276">
        <v>6.456456333398819E-2</v>
      </c>
      <c r="EO276">
        <v>6.3063062727451324E-2</v>
      </c>
      <c r="EP276">
        <v>6.3063062727451324E-2</v>
      </c>
      <c r="EQ276">
        <v>6.6066063940525055E-2</v>
      </c>
      <c r="ER276">
        <v>9.609609842300415E-2</v>
      </c>
      <c r="ES276">
        <v>6.756756454706192E-2</v>
      </c>
      <c r="ET276">
        <v>8.5585586726665497E-2</v>
      </c>
      <c r="EU276">
        <v>8.2582585513591766E-2</v>
      </c>
      <c r="EV276">
        <v>6.756756454706192E-2</v>
      </c>
      <c r="EW276">
        <v>9.3093089759349823E-2</v>
      </c>
      <c r="EX276">
        <v>5.2552551031112671E-2</v>
      </c>
      <c r="EY276">
        <v>6.9069072604179382E-2</v>
      </c>
      <c r="EZ276">
        <v>5.4054055362939835E-2</v>
      </c>
      <c r="FA276">
        <v>8.4084086120128632E-2</v>
      </c>
      <c r="FB276">
        <v>6.456456333398819E-2</v>
      </c>
      <c r="FC276">
        <v>7.8078076243400574E-2</v>
      </c>
      <c r="FD276">
        <v>9.4594597816467285E-2</v>
      </c>
      <c r="FE276">
        <v>7.0570573210716248E-2</v>
      </c>
      <c r="FF276">
        <v>5.855855718255043E-2</v>
      </c>
      <c r="FG276">
        <v>7.8078076243400574E-2</v>
      </c>
      <c r="FH276">
        <v>5.55555559694767E-2</v>
      </c>
      <c r="FI276">
        <v>6.456456333398819E-2</v>
      </c>
      <c r="FJ276">
        <v>0.1066066101193428</v>
      </c>
      <c r="FK276">
        <v>8.5585586726665497E-2</v>
      </c>
      <c r="FL276">
        <v>7.5075075030326843E-2</v>
      </c>
      <c r="FM276">
        <v>0.18318317830562592</v>
      </c>
      <c r="FN276">
        <v>4.954954981803894E-2</v>
      </c>
      <c r="FO276">
        <v>0.10360360145568848</v>
      </c>
      <c r="FP276">
        <v>7.5075075030326843E-2</v>
      </c>
      <c r="FQ276">
        <v>9.3093089759349823E-2</v>
      </c>
      <c r="FR276">
        <v>0.10210210084915161</v>
      </c>
      <c r="FS276">
        <v>6.6066063940525055E-2</v>
      </c>
      <c r="FT276">
        <v>8.2582585513591766E-2</v>
      </c>
      <c r="FU276">
        <v>8.5714288055896759E-2</v>
      </c>
      <c r="FV276">
        <v>8.7301589548587799E-2</v>
      </c>
      <c r="FW276">
        <v>0.10476190596818924</v>
      </c>
      <c r="FX276">
        <v>4.920634999871254E-2</v>
      </c>
      <c r="FY276">
        <v>5.238095298409462E-2</v>
      </c>
      <c r="FZ276">
        <v>5.873015895485878E-2</v>
      </c>
      <c r="GA276">
        <v>6.6666670143604279E-2</v>
      </c>
      <c r="GB276">
        <v>0.10952381044626236</v>
      </c>
      <c r="GC276">
        <v>6.3492067158222198E-2</v>
      </c>
      <c r="GD276">
        <v>9.6825398504734039E-2</v>
      </c>
      <c r="GE276">
        <v>6.9841273128986359E-2</v>
      </c>
      <c r="GF276">
        <v>6.5079368650913239E-2</v>
      </c>
      <c r="GG276">
        <v>6.8253971636295319E-2</v>
      </c>
      <c r="GH276">
        <v>9.0476192533969879E-2</v>
      </c>
      <c r="GI276">
        <v>8.2539685070514679E-2</v>
      </c>
      <c r="GJ276">
        <v>7.3015876114368439E-2</v>
      </c>
      <c r="GK276">
        <v>8.4126986563205719E-2</v>
      </c>
      <c r="GL276">
        <v>5.55555559694767E-2</v>
      </c>
      <c r="GM276">
        <v>7.3015876114368439E-2</v>
      </c>
      <c r="GN276">
        <v>9.3650795519351959E-2</v>
      </c>
      <c r="GO276">
        <v>6.9841273128986359E-2</v>
      </c>
      <c r="GP276">
        <v>7.1428574621677399E-2</v>
      </c>
      <c r="GQ276">
        <v>6.190476194024086E-2</v>
      </c>
      <c r="GR276">
        <v>9.5238097012042999E-2</v>
      </c>
      <c r="GS276">
        <v>8.8888891041278839E-2</v>
      </c>
      <c r="GT276">
        <v>7.1428574621677399E-2</v>
      </c>
      <c r="GU276">
        <v>5.714285746216774E-2</v>
      </c>
      <c r="GV276">
        <v>7.9365082085132599E-2</v>
      </c>
      <c r="GW276">
        <v>7.7777780592441559E-2</v>
      </c>
      <c r="GX276">
        <v>6.5079368650913239E-2</v>
      </c>
      <c r="GY276">
        <v>8.2539685070514679E-2</v>
      </c>
      <c r="GZ276">
        <v>9.8412699997425079E-2</v>
      </c>
      <c r="HA276">
        <v>5.55555559694767E-2</v>
      </c>
      <c r="HB276">
        <v>9.8412699997425079E-2</v>
      </c>
      <c r="HC276">
        <v>9.6825398504734039E-2</v>
      </c>
      <c r="HD276">
        <v>6.5079368650913239E-2</v>
      </c>
      <c r="HE276">
        <v>9.0476192533969879E-2</v>
      </c>
      <c r="HF276">
        <v>5.873015895485878E-2</v>
      </c>
      <c r="HG276">
        <v>8.2539685070514679E-2</v>
      </c>
      <c r="HH276">
        <v>6.9841273128986359E-2</v>
      </c>
      <c r="HI276">
        <v>6.3492067158222198E-2</v>
      </c>
      <c r="HJ276">
        <v>9.0476192533969879E-2</v>
      </c>
      <c r="HK276">
        <v>9.0476192533969879E-2</v>
      </c>
      <c r="HL276">
        <v>5.396825447678566E-2</v>
      </c>
      <c r="HM276">
        <v>6.031746044754982E-2</v>
      </c>
      <c r="HN276">
        <v>6.190476194024086E-2</v>
      </c>
      <c r="HO276">
        <v>7.6190479099750519E-2</v>
      </c>
      <c r="HP276">
        <v>6.9841273128986359E-2</v>
      </c>
      <c r="HQ276">
        <v>9.5238097012042999E-2</v>
      </c>
      <c r="HR276">
        <v>7.3015876114368439E-2</v>
      </c>
      <c r="HS276">
        <v>7.1428574621677399E-2</v>
      </c>
      <c r="HT276">
        <v>5.238095298409462E-2</v>
      </c>
      <c r="HU276">
        <v>7.3015876114368439E-2</v>
      </c>
      <c r="HV276">
        <v>4.603174701333046E-2</v>
      </c>
      <c r="HW276">
        <v>7.7777780592441559E-2</v>
      </c>
      <c r="HX276">
        <v>5.55555559694767E-2</v>
      </c>
      <c r="HY276">
        <v>0.10476190596818924</v>
      </c>
      <c r="HZ276">
        <v>6.8253971636295319E-2</v>
      </c>
      <c r="IA276">
        <v>7.3015876114368439E-2</v>
      </c>
      <c r="IB276">
        <v>6.5079368650913239E-2</v>
      </c>
      <c r="IC276">
        <v>7.4603177607059479E-2</v>
      </c>
      <c r="ID276">
        <v>9.8412699997425079E-2</v>
      </c>
      <c r="IE276">
        <v>7.4603177607059479E-2</v>
      </c>
      <c r="IF276">
        <v>0.13968254625797272</v>
      </c>
      <c r="IG276">
        <v>7.9365082085132599E-2</v>
      </c>
      <c r="IH276">
        <v>8.8888891041278839E-2</v>
      </c>
      <c r="II276">
        <v>8.4126986563205719E-2</v>
      </c>
      <c r="IJ276">
        <v>7.1428574621677399E-2</v>
      </c>
      <c r="IK276">
        <v>6.031746044754982E-2</v>
      </c>
      <c r="IL276">
        <v>6.3492067158222198E-2</v>
      </c>
      <c r="IM276">
        <v>8.0952383577823639E-2</v>
      </c>
      <c r="IN276">
        <v>8.4126986563205719E-2</v>
      </c>
      <c r="IO276">
        <v>8.8888891041278839E-2</v>
      </c>
      <c r="IP276">
        <v>4.603174701333046E-2</v>
      </c>
      <c r="IQ276">
        <v>5.079365149140358E-2</v>
      </c>
      <c r="IR276">
        <v>6.031746044754982E-2</v>
      </c>
      <c r="IS276">
        <v>6.031746044754982E-2</v>
      </c>
      <c r="IT276">
        <v>7.6190479099750519E-2</v>
      </c>
      <c r="IU276">
        <v>8.0952383577823639E-2</v>
      </c>
      <c r="IV276">
        <v>6.6666670143604279E-2</v>
      </c>
      <c r="IW276">
        <v>8.7301589548587799E-2</v>
      </c>
      <c r="IX276">
        <v>9.3650795519351959E-2</v>
      </c>
      <c r="IY276">
        <v>6.190476194024086E-2</v>
      </c>
      <c r="IZ276">
        <v>6.190476194024086E-2</v>
      </c>
      <c r="JA276">
        <v>0.11269841343164444</v>
      </c>
      <c r="JB276">
        <v>9.0476192533969879E-2</v>
      </c>
      <c r="JC276">
        <v>6.6666670143604279E-2</v>
      </c>
      <c r="JD276">
        <v>6.190476194024086E-2</v>
      </c>
    </row>
    <row r="277" spans="4:276" x14ac:dyDescent="0.25">
      <c r="D277" s="41" t="str" cm="1">
        <f t="array" ref="D277">IF(H277="","",IF(AND(E277&lt;AVERAGE(E276,E278)*($L$19/100),$D$23:D276=""),H277,""))</f>
        <v/>
      </c>
      <c r="E277" s="78">
        <f t="shared" si="4"/>
        <v>1.8090534183324569E-3</v>
      </c>
      <c r="F277" s="79"/>
      <c r="H277">
        <v>255</v>
      </c>
      <c r="I277">
        <v>7.5859053418332462E-2</v>
      </c>
      <c r="K277">
        <v>7.5075075030326843E-2</v>
      </c>
      <c r="L277">
        <v>5.55555559694767E-2</v>
      </c>
      <c r="M277">
        <v>9.4594597816467285E-2</v>
      </c>
      <c r="N277">
        <v>8.8588587939739227E-2</v>
      </c>
      <c r="O277">
        <v>5.4054055362939835E-2</v>
      </c>
      <c r="P277">
        <v>7.6576575636863708E-2</v>
      </c>
      <c r="Q277">
        <v>8.1081077456474304E-2</v>
      </c>
      <c r="R277">
        <v>7.3573574423789978E-2</v>
      </c>
      <c r="S277">
        <v>6.756756454706192E-2</v>
      </c>
      <c r="T277">
        <v>9.3093089759349823E-2</v>
      </c>
      <c r="U277">
        <v>5.1051050424575806E-2</v>
      </c>
      <c r="V277">
        <v>0.10060060024261475</v>
      </c>
      <c r="W277">
        <v>6.3063062727451324E-2</v>
      </c>
      <c r="X277">
        <v>8.2582585513591766E-2</v>
      </c>
      <c r="Y277">
        <v>9.3093089759349823E-2</v>
      </c>
      <c r="Z277">
        <v>9.3093089759349823E-2</v>
      </c>
      <c r="AA277">
        <v>6.456456333398819E-2</v>
      </c>
      <c r="AB277">
        <v>7.3573574423789978E-2</v>
      </c>
      <c r="AC277">
        <v>6.9069072604179382E-2</v>
      </c>
      <c r="AD277">
        <v>5.2552551031112671E-2</v>
      </c>
      <c r="AE277">
        <v>6.9069072604179382E-2</v>
      </c>
      <c r="AF277">
        <v>8.1081077456474304E-2</v>
      </c>
      <c r="AG277">
        <v>5.55555559694767E-2</v>
      </c>
      <c r="AH277">
        <v>6.3063062727451324E-2</v>
      </c>
      <c r="AI277">
        <v>6.756756454706192E-2</v>
      </c>
      <c r="AJ277">
        <v>7.3573574423789978E-2</v>
      </c>
      <c r="AK277">
        <v>8.2582585513591766E-2</v>
      </c>
      <c r="AL277">
        <v>8.2582585513591766E-2</v>
      </c>
      <c r="AM277">
        <v>5.1051050424575806E-2</v>
      </c>
      <c r="AN277">
        <v>9.9099099636077881E-2</v>
      </c>
      <c r="AO277">
        <v>8.2582585513591766E-2</v>
      </c>
      <c r="AP277">
        <v>8.2582585513591766E-2</v>
      </c>
      <c r="AQ277">
        <v>5.2552551031112671E-2</v>
      </c>
      <c r="AR277">
        <v>7.0570573210716248E-2</v>
      </c>
      <c r="AS277">
        <v>8.7087087333202362E-2</v>
      </c>
      <c r="AT277">
        <v>6.456456333398819E-2</v>
      </c>
      <c r="AU277">
        <v>6.0060061514377594E-2</v>
      </c>
      <c r="AV277">
        <v>0.10360360145568848</v>
      </c>
      <c r="AW277">
        <v>6.3063062727451324E-2</v>
      </c>
      <c r="AX277">
        <v>7.9579576849937439E-2</v>
      </c>
      <c r="AY277">
        <v>8.4084086120128632E-2</v>
      </c>
      <c r="AZ277">
        <v>6.9069072604179382E-2</v>
      </c>
      <c r="BA277">
        <v>5.1051050424575806E-2</v>
      </c>
      <c r="BB277">
        <v>5.855855718255043E-2</v>
      </c>
      <c r="BC277">
        <v>8.2582585513591766E-2</v>
      </c>
      <c r="BD277">
        <v>4.954954981803894E-2</v>
      </c>
      <c r="BE277">
        <v>9.0090088546276093E-2</v>
      </c>
      <c r="BF277">
        <v>7.5075075030326843E-2</v>
      </c>
      <c r="BG277">
        <v>5.7057056576013565E-2</v>
      </c>
      <c r="BH277">
        <v>0.10360360145568848</v>
      </c>
      <c r="BI277">
        <v>8.2582585513591766E-2</v>
      </c>
      <c r="BJ277">
        <v>5.855855718255043E-2</v>
      </c>
      <c r="BK277">
        <v>7.0570573210716248E-2</v>
      </c>
      <c r="BL277">
        <v>4.6546544879674911E-2</v>
      </c>
      <c r="BM277">
        <v>5.55555559694767E-2</v>
      </c>
      <c r="BN277">
        <v>8.1081077456474304E-2</v>
      </c>
      <c r="BO277">
        <v>8.4084086120128632E-2</v>
      </c>
      <c r="BP277">
        <v>7.9579576849937439E-2</v>
      </c>
      <c r="BQ277">
        <v>0.10360360145568848</v>
      </c>
      <c r="BR277">
        <v>6.756756454706192E-2</v>
      </c>
      <c r="BS277">
        <v>7.0570573210716248E-2</v>
      </c>
      <c r="BT277">
        <v>8.8588587939739227E-2</v>
      </c>
      <c r="BU277">
        <v>7.6576575636863708E-2</v>
      </c>
      <c r="BV277">
        <v>9.3093089759349823E-2</v>
      </c>
      <c r="BW277">
        <v>8.5585586726665497E-2</v>
      </c>
      <c r="BX277">
        <v>9.9099099636077881E-2</v>
      </c>
      <c r="BY277">
        <v>7.6576575636863708E-2</v>
      </c>
      <c r="BZ277">
        <v>7.6576575636863708E-2</v>
      </c>
      <c r="CA277">
        <v>7.6576575636863708E-2</v>
      </c>
      <c r="CB277">
        <v>0.1066066101193428</v>
      </c>
      <c r="CC277">
        <v>6.9069072604179382E-2</v>
      </c>
      <c r="CD277">
        <v>4.8048049211502075E-2</v>
      </c>
      <c r="CE277">
        <v>6.756756454706192E-2</v>
      </c>
      <c r="CF277">
        <v>6.3063062727451324E-2</v>
      </c>
      <c r="CG277">
        <v>7.6576575636863708E-2</v>
      </c>
      <c r="CH277">
        <v>9.0090088546276093E-2</v>
      </c>
      <c r="CI277">
        <v>6.1561562120914459E-2</v>
      </c>
      <c r="CJ277">
        <v>6.756756454706192E-2</v>
      </c>
      <c r="CK277">
        <v>8.4084086120128632E-2</v>
      </c>
      <c r="CL277">
        <v>7.2072073817253113E-2</v>
      </c>
      <c r="CM277">
        <v>7.5075075030326843E-2</v>
      </c>
      <c r="CN277">
        <v>7.3573574423789978E-2</v>
      </c>
      <c r="CO277">
        <v>8.4084086120128632E-2</v>
      </c>
      <c r="CP277">
        <v>5.2552551031112671E-2</v>
      </c>
      <c r="CQ277">
        <v>8.2582585513591766E-2</v>
      </c>
      <c r="CR277">
        <v>0.12462462484836578</v>
      </c>
      <c r="CS277">
        <v>0.12162162363529205</v>
      </c>
      <c r="CT277">
        <v>7.0570573210716248E-2</v>
      </c>
      <c r="CU277">
        <v>4.5045044273138046E-2</v>
      </c>
      <c r="CV277">
        <v>7.3573574423789978E-2</v>
      </c>
      <c r="CW277">
        <v>7.5075075030326843E-2</v>
      </c>
      <c r="CX277">
        <v>8.4084086120128632E-2</v>
      </c>
      <c r="CY277">
        <v>8.4084086120128632E-2</v>
      </c>
      <c r="CZ277">
        <v>6.756756454706192E-2</v>
      </c>
      <c r="DA277">
        <v>7.9579576849937439E-2</v>
      </c>
      <c r="DB277">
        <v>0.10510510206222534</v>
      </c>
      <c r="DC277">
        <v>6.6066063940525055E-2</v>
      </c>
      <c r="DD277">
        <v>6.756756454706192E-2</v>
      </c>
      <c r="DE277">
        <v>7.2072073817253113E-2</v>
      </c>
      <c r="DF277">
        <v>7.9579576849937439E-2</v>
      </c>
      <c r="DG277">
        <v>7.3573574423789978E-2</v>
      </c>
      <c r="DH277">
        <v>9.7597599029541016E-2</v>
      </c>
      <c r="DI277">
        <v>7.8078076243400574E-2</v>
      </c>
      <c r="DJ277">
        <v>7.5075075030326843E-2</v>
      </c>
      <c r="DK277">
        <v>7.3573574423789978E-2</v>
      </c>
      <c r="DL277">
        <v>6.756756454706192E-2</v>
      </c>
      <c r="DM277">
        <v>6.6066063940525055E-2</v>
      </c>
      <c r="DN277">
        <v>7.2072073817253113E-2</v>
      </c>
      <c r="DO277">
        <v>8.4084086120128632E-2</v>
      </c>
      <c r="DP277">
        <v>0.10810811072587967</v>
      </c>
      <c r="DQ277">
        <v>5.7057056576013565E-2</v>
      </c>
      <c r="DR277">
        <v>6.9069072604179382E-2</v>
      </c>
      <c r="DS277">
        <v>8.2582585513591766E-2</v>
      </c>
      <c r="DT277">
        <v>7.8078076243400574E-2</v>
      </c>
      <c r="DU277">
        <v>8.4084086120128632E-2</v>
      </c>
      <c r="DV277">
        <v>9.3093089759349823E-2</v>
      </c>
      <c r="DW277">
        <v>7.6576575636863708E-2</v>
      </c>
      <c r="DX277">
        <v>6.1561562120914459E-2</v>
      </c>
      <c r="DY277">
        <v>0.12312312424182892</v>
      </c>
      <c r="DZ277">
        <v>7.8078076243400574E-2</v>
      </c>
      <c r="EA277">
        <v>6.756756454706192E-2</v>
      </c>
      <c r="EB277">
        <v>5.2552551031112671E-2</v>
      </c>
      <c r="EC277">
        <v>7.2072073817253113E-2</v>
      </c>
      <c r="ED277">
        <v>5.855855718255043E-2</v>
      </c>
      <c r="EE277">
        <v>0.11861861497163773</v>
      </c>
      <c r="EF277">
        <v>7.9579576849937439E-2</v>
      </c>
      <c r="EG277">
        <v>6.456456333398819E-2</v>
      </c>
      <c r="EH277">
        <v>6.3063062727451324E-2</v>
      </c>
      <c r="EI277">
        <v>0.12462462484836578</v>
      </c>
      <c r="EJ277">
        <v>6.456456333398819E-2</v>
      </c>
      <c r="EK277">
        <v>9.6825398504734039E-2</v>
      </c>
      <c r="EL277">
        <v>6.5079368650913239E-2</v>
      </c>
      <c r="EM277">
        <v>5.079365149140358E-2</v>
      </c>
      <c r="EN277">
        <v>6.6666670143604279E-2</v>
      </c>
      <c r="EO277">
        <v>6.5079368650913239E-2</v>
      </c>
      <c r="EP277">
        <v>4.920634999871254E-2</v>
      </c>
      <c r="EQ277">
        <v>9.8412699997425079E-2</v>
      </c>
      <c r="ER277">
        <v>0.1031746044754982</v>
      </c>
      <c r="ES277">
        <v>8.4126986563205719E-2</v>
      </c>
      <c r="ET277">
        <v>7.4603177607059479E-2</v>
      </c>
      <c r="EU277">
        <v>6.5079368650913239E-2</v>
      </c>
      <c r="EV277">
        <v>9.3650795519351959E-2</v>
      </c>
      <c r="EW277">
        <v>7.1428574621677399E-2</v>
      </c>
      <c r="EX277">
        <v>6.3492067158222198E-2</v>
      </c>
      <c r="EY277">
        <v>9.2063494026660919E-2</v>
      </c>
      <c r="EZ277">
        <v>6.031746044754982E-2</v>
      </c>
      <c r="FA277">
        <v>8.7301589548587799E-2</v>
      </c>
      <c r="FB277">
        <v>6.8253971636295319E-2</v>
      </c>
      <c r="FC277">
        <v>8.4126986563205719E-2</v>
      </c>
      <c r="FD277">
        <v>7.3015876114368439E-2</v>
      </c>
      <c r="FE277">
        <v>6.5079368650913239E-2</v>
      </c>
      <c r="FF277">
        <v>7.4603177607059479E-2</v>
      </c>
      <c r="FG277">
        <v>9.2063494026660919E-2</v>
      </c>
      <c r="FH277">
        <v>7.1428574621677399E-2</v>
      </c>
      <c r="FI277">
        <v>6.5079368650913239E-2</v>
      </c>
      <c r="FJ277">
        <v>9.2063494026660919E-2</v>
      </c>
      <c r="FK277">
        <v>7.7777780592441559E-2</v>
      </c>
      <c r="FL277">
        <v>6.190476194024086E-2</v>
      </c>
      <c r="FM277">
        <v>7.4603177607059479E-2</v>
      </c>
      <c r="FN277">
        <v>8.4126986563205719E-2</v>
      </c>
      <c r="FO277">
        <v>6.3492067158222198E-2</v>
      </c>
      <c r="FP277">
        <v>0.13015873730182648</v>
      </c>
      <c r="FQ277">
        <v>6.6666670143604279E-2</v>
      </c>
      <c r="FR277">
        <v>7.1428574621677399E-2</v>
      </c>
      <c r="FS277">
        <v>7.3015876114368439E-2</v>
      </c>
      <c r="FT277">
        <v>7.9365082085132599E-2</v>
      </c>
      <c r="FU277">
        <v>0.10158730298280716</v>
      </c>
      <c r="FV277">
        <v>4.603174701333046E-2</v>
      </c>
      <c r="FW277">
        <v>6.8253971636295319E-2</v>
      </c>
      <c r="FX277">
        <v>8.7301589548587799E-2</v>
      </c>
      <c r="FY277">
        <v>7.7777780592441559E-2</v>
      </c>
      <c r="FZ277">
        <v>6.8253971636295319E-2</v>
      </c>
      <c r="GA277">
        <v>7.1428574621677399E-2</v>
      </c>
      <c r="GB277">
        <v>7.6190479099750519E-2</v>
      </c>
      <c r="GC277">
        <v>8.2539685070514679E-2</v>
      </c>
      <c r="GD277">
        <v>9.5238097012042999E-2</v>
      </c>
      <c r="GE277">
        <v>7.7777780592441559E-2</v>
      </c>
      <c r="GF277">
        <v>7.6190479099750519E-2</v>
      </c>
      <c r="GG277">
        <v>7.4603177607059479E-2</v>
      </c>
      <c r="GH277">
        <v>5.238095298409462E-2</v>
      </c>
      <c r="GI277">
        <v>8.4126986563205719E-2</v>
      </c>
      <c r="GJ277">
        <v>8.2539685070514679E-2</v>
      </c>
      <c r="GK277">
        <v>7.3015876114368439E-2</v>
      </c>
      <c r="GL277">
        <v>9.0476192533969879E-2</v>
      </c>
      <c r="GM277">
        <v>7.3015876114368439E-2</v>
      </c>
      <c r="GN277">
        <v>6.5079368650913239E-2</v>
      </c>
      <c r="GO277">
        <v>7.9365082085132599E-2</v>
      </c>
      <c r="GP277">
        <v>7.4603177607059479E-2</v>
      </c>
      <c r="GQ277">
        <v>5.873015895485878E-2</v>
      </c>
      <c r="GR277">
        <v>6.8253971636295319E-2</v>
      </c>
      <c r="GS277">
        <v>5.079365149140358E-2</v>
      </c>
      <c r="GT277">
        <v>7.1428574621677399E-2</v>
      </c>
      <c r="GU277">
        <v>7.1428574621677399E-2</v>
      </c>
      <c r="GV277">
        <v>5.873015895485878E-2</v>
      </c>
      <c r="GW277">
        <v>0.12539683282375336</v>
      </c>
      <c r="GX277">
        <v>6.9841273128986359E-2</v>
      </c>
      <c r="GY277">
        <v>5.873015895485878E-2</v>
      </c>
      <c r="GZ277">
        <v>6.190476194024086E-2</v>
      </c>
      <c r="HA277">
        <v>7.9365082085132599E-2</v>
      </c>
      <c r="HB277">
        <v>9.5238097012042999E-2</v>
      </c>
      <c r="HC277">
        <v>9.0476192533969879E-2</v>
      </c>
      <c r="HD277">
        <v>7.6190479099750519E-2</v>
      </c>
      <c r="HE277">
        <v>8.4126986563205719E-2</v>
      </c>
      <c r="HF277">
        <v>8.7301589548587799E-2</v>
      </c>
      <c r="HG277">
        <v>8.4126986563205719E-2</v>
      </c>
      <c r="HH277">
        <v>8.2539685070514679E-2</v>
      </c>
      <c r="HI277">
        <v>6.9841273128986359E-2</v>
      </c>
      <c r="HJ277">
        <v>5.079365149140358E-2</v>
      </c>
      <c r="HK277">
        <v>6.8253971636295319E-2</v>
      </c>
      <c r="HL277">
        <v>6.190476194024086E-2</v>
      </c>
      <c r="HM277">
        <v>6.6666670143604279E-2</v>
      </c>
      <c r="HN277">
        <v>7.7777780592441559E-2</v>
      </c>
      <c r="HO277">
        <v>5.873015895485878E-2</v>
      </c>
      <c r="HP277">
        <v>0.10634920746088028</v>
      </c>
      <c r="HQ277">
        <v>6.031746044754982E-2</v>
      </c>
      <c r="HR277">
        <v>8.8888891041278839E-2</v>
      </c>
      <c r="HS277">
        <v>6.3492067158222198E-2</v>
      </c>
      <c r="HT277">
        <v>6.6666670143604279E-2</v>
      </c>
      <c r="HU277">
        <v>9.3650795519351959E-2</v>
      </c>
      <c r="HV277">
        <v>6.3492067158222198E-2</v>
      </c>
      <c r="HW277">
        <v>7.6190479099750519E-2</v>
      </c>
      <c r="HX277">
        <v>0.10000000149011612</v>
      </c>
      <c r="HY277">
        <v>7.6190479099750519E-2</v>
      </c>
      <c r="HZ277">
        <v>0.1190476194024086</v>
      </c>
      <c r="IA277">
        <v>6.3492067158222198E-2</v>
      </c>
      <c r="IB277">
        <v>8.0952383577823639E-2</v>
      </c>
      <c r="IC277">
        <v>9.0476192533969879E-2</v>
      </c>
      <c r="ID277">
        <v>7.9365082085132599E-2</v>
      </c>
      <c r="IE277">
        <v>6.5079368650913239E-2</v>
      </c>
      <c r="IF277">
        <v>5.396825447678566E-2</v>
      </c>
      <c r="IG277">
        <v>8.5714288055896759E-2</v>
      </c>
      <c r="IH277">
        <v>4.285714402794838E-2</v>
      </c>
      <c r="II277">
        <v>6.9841273128986359E-2</v>
      </c>
      <c r="IJ277">
        <v>8.2539685070514679E-2</v>
      </c>
      <c r="IK277">
        <v>7.6190479099750519E-2</v>
      </c>
      <c r="IL277">
        <v>9.5238097012042999E-2</v>
      </c>
      <c r="IM277">
        <v>7.3015876114368439E-2</v>
      </c>
      <c r="IN277">
        <v>5.873015895485878E-2</v>
      </c>
      <c r="IO277">
        <v>9.0476192533969879E-2</v>
      </c>
      <c r="IP277">
        <v>5.873015895485878E-2</v>
      </c>
      <c r="IQ277">
        <v>5.714285746216774E-2</v>
      </c>
      <c r="IR277">
        <v>7.6190479099750519E-2</v>
      </c>
      <c r="IS277">
        <v>6.9841273128986359E-2</v>
      </c>
      <c r="IT277">
        <v>5.396825447678566E-2</v>
      </c>
      <c r="IU277">
        <v>5.55555559694767E-2</v>
      </c>
      <c r="IV277">
        <v>5.873015895485878E-2</v>
      </c>
      <c r="IW277">
        <v>0.10793650895357132</v>
      </c>
      <c r="IX277">
        <v>5.873015895485878E-2</v>
      </c>
      <c r="IY277">
        <v>8.5714288055896759E-2</v>
      </c>
      <c r="IZ277">
        <v>7.9365082085132599E-2</v>
      </c>
      <c r="JA277">
        <v>6.9841273128986359E-2</v>
      </c>
      <c r="JB277">
        <v>6.9841273128986359E-2</v>
      </c>
      <c r="JC277">
        <v>9.6825398504734039E-2</v>
      </c>
      <c r="JD277">
        <v>7.3015876114368439E-2</v>
      </c>
      <c r="JE277">
        <v>6.5079368650913239E-2</v>
      </c>
    </row>
    <row r="278" spans="4:276" x14ac:dyDescent="0.25">
      <c r="D278" s="41" t="str" cm="1">
        <f t="array" ref="D278">IF(H278="","",IF(AND(E278&lt;AVERAGE(E277,E279)*($L$19/100),$D$23:D277=""),H278,""))</f>
        <v/>
      </c>
      <c r="E278" s="78">
        <f t="shared" si="4"/>
        <v>2.8081093143438873E-3</v>
      </c>
      <c r="F278" s="79"/>
      <c r="H278">
        <v>256</v>
      </c>
      <c r="I278">
        <v>7.6858109314343892E-2</v>
      </c>
      <c r="K278">
        <v>7.0570573210716248E-2</v>
      </c>
      <c r="L278">
        <v>5.855855718255043E-2</v>
      </c>
      <c r="M278">
        <v>8.1081077456474304E-2</v>
      </c>
      <c r="N278">
        <v>6.0060061514377594E-2</v>
      </c>
      <c r="O278">
        <v>0.1111111119389534</v>
      </c>
      <c r="P278">
        <v>5.855855718255043E-2</v>
      </c>
      <c r="Q278">
        <v>7.3573574423789978E-2</v>
      </c>
      <c r="R278">
        <v>6.6066063940525055E-2</v>
      </c>
      <c r="S278">
        <v>9.4594597816467285E-2</v>
      </c>
      <c r="T278">
        <v>7.9579576849937439E-2</v>
      </c>
      <c r="U278">
        <v>9.609609842300415E-2</v>
      </c>
      <c r="V278">
        <v>6.0060061514377594E-2</v>
      </c>
      <c r="W278">
        <v>8.1081077456474304E-2</v>
      </c>
      <c r="X278">
        <v>9.7597599029541016E-2</v>
      </c>
      <c r="Y278">
        <v>5.2552551031112671E-2</v>
      </c>
      <c r="Z278">
        <v>8.4084086120128632E-2</v>
      </c>
      <c r="AA278">
        <v>7.5075075030326843E-2</v>
      </c>
      <c r="AB278">
        <v>0.11261261254549026</v>
      </c>
      <c r="AC278">
        <v>7.0570573210716248E-2</v>
      </c>
      <c r="AD278">
        <v>6.456456333398819E-2</v>
      </c>
      <c r="AE278">
        <v>7.2072073817253113E-2</v>
      </c>
      <c r="AF278">
        <v>6.756756454706192E-2</v>
      </c>
      <c r="AG278">
        <v>7.3573574423789978E-2</v>
      </c>
      <c r="AH278">
        <v>8.1081077456474304E-2</v>
      </c>
      <c r="AI278">
        <v>7.3573574423789978E-2</v>
      </c>
      <c r="AJ278">
        <v>6.456456333398819E-2</v>
      </c>
      <c r="AK278">
        <v>6.756756454706192E-2</v>
      </c>
      <c r="AL278">
        <v>6.756756454706192E-2</v>
      </c>
      <c r="AM278">
        <v>8.2582585513591766E-2</v>
      </c>
      <c r="AN278">
        <v>7.2072073817253113E-2</v>
      </c>
      <c r="AO278">
        <v>6.9069072604179382E-2</v>
      </c>
      <c r="AP278">
        <v>6.9069072604179382E-2</v>
      </c>
      <c r="AQ278">
        <v>5.855855718255043E-2</v>
      </c>
      <c r="AR278">
        <v>9.4594597816467285E-2</v>
      </c>
      <c r="AS278">
        <v>7.5075075030326843E-2</v>
      </c>
      <c r="AT278">
        <v>6.756756454706192E-2</v>
      </c>
      <c r="AU278">
        <v>9.0090088546276093E-2</v>
      </c>
      <c r="AV278">
        <v>6.756756454706192E-2</v>
      </c>
      <c r="AW278">
        <v>8.8588587939739227E-2</v>
      </c>
      <c r="AX278">
        <v>0.10060060024261475</v>
      </c>
      <c r="AY278">
        <v>6.6066063940525055E-2</v>
      </c>
      <c r="AZ278">
        <v>7.0570573210716248E-2</v>
      </c>
      <c r="BA278">
        <v>5.7057056576013565E-2</v>
      </c>
      <c r="BB278">
        <v>5.855855718255043E-2</v>
      </c>
      <c r="BC278">
        <v>5.7057056576013565E-2</v>
      </c>
      <c r="BD278">
        <v>8.2582585513591766E-2</v>
      </c>
      <c r="BE278">
        <v>7.5075075030326843E-2</v>
      </c>
      <c r="BF278">
        <v>9.609609842300415E-2</v>
      </c>
      <c r="BG278">
        <v>8.8588587939739227E-2</v>
      </c>
      <c r="BH278">
        <v>6.6066063940525055E-2</v>
      </c>
      <c r="BI278">
        <v>5.855855718255043E-2</v>
      </c>
      <c r="BJ278">
        <v>7.6576575636863708E-2</v>
      </c>
      <c r="BK278">
        <v>8.1081077456474304E-2</v>
      </c>
      <c r="BL278">
        <v>7.3573574423789978E-2</v>
      </c>
      <c r="BM278">
        <v>7.5075075030326843E-2</v>
      </c>
      <c r="BN278">
        <v>0.10210210084915161</v>
      </c>
      <c r="BO278">
        <v>6.456456333398819E-2</v>
      </c>
      <c r="BP278">
        <v>4.954954981803894E-2</v>
      </c>
      <c r="BQ278">
        <v>7.2072073817253113E-2</v>
      </c>
      <c r="BR278">
        <v>6.756756454706192E-2</v>
      </c>
      <c r="BS278">
        <v>7.3573574423789978E-2</v>
      </c>
      <c r="BT278">
        <v>7.9579576849937439E-2</v>
      </c>
      <c r="BU278">
        <v>0.11261261254549026</v>
      </c>
      <c r="BV278">
        <v>6.756756454706192E-2</v>
      </c>
      <c r="BW278">
        <v>0.10960961133241653</v>
      </c>
      <c r="BX278">
        <v>7.5075075030326843E-2</v>
      </c>
      <c r="BY278">
        <v>6.1561562120914459E-2</v>
      </c>
      <c r="BZ278">
        <v>6.6066063940525055E-2</v>
      </c>
      <c r="CA278">
        <v>8.8588587939739227E-2</v>
      </c>
      <c r="CB278">
        <v>9.4594597816467285E-2</v>
      </c>
      <c r="CC278">
        <v>7.6576575636863708E-2</v>
      </c>
      <c r="CD278">
        <v>7.3573574423789978E-2</v>
      </c>
      <c r="CE278">
        <v>7.8078076243400574E-2</v>
      </c>
      <c r="CF278">
        <v>5.7057056576013565E-2</v>
      </c>
      <c r="CG278">
        <v>9.1591589152812958E-2</v>
      </c>
      <c r="CH278">
        <v>9.3093089759349823E-2</v>
      </c>
      <c r="CI278">
        <v>8.7087087333202362E-2</v>
      </c>
      <c r="CJ278">
        <v>8.5585586726665497E-2</v>
      </c>
      <c r="CK278">
        <v>6.756756454706192E-2</v>
      </c>
      <c r="CL278">
        <v>6.6066063940525055E-2</v>
      </c>
      <c r="CM278">
        <v>6.756756454706192E-2</v>
      </c>
      <c r="CN278">
        <v>4.954954981803894E-2</v>
      </c>
      <c r="CO278">
        <v>6.456456333398819E-2</v>
      </c>
      <c r="CP278">
        <v>9.1591589152812958E-2</v>
      </c>
      <c r="CQ278">
        <v>6.756756454706192E-2</v>
      </c>
      <c r="CR278">
        <v>6.756756454706192E-2</v>
      </c>
      <c r="CS278">
        <v>0.16216215491294861</v>
      </c>
      <c r="CT278">
        <v>8.5585586726665497E-2</v>
      </c>
      <c r="CU278">
        <v>6.3063062727451324E-2</v>
      </c>
      <c r="CV278">
        <v>7.8078076243400574E-2</v>
      </c>
      <c r="CW278">
        <v>7.0570573210716248E-2</v>
      </c>
      <c r="CX278">
        <v>7.6576575636863708E-2</v>
      </c>
      <c r="CY278">
        <v>9.7597599029541016E-2</v>
      </c>
      <c r="CZ278">
        <v>9.4594597816467285E-2</v>
      </c>
      <c r="DA278">
        <v>9.6825398504734039E-2</v>
      </c>
      <c r="DB278">
        <v>5.079365149140358E-2</v>
      </c>
      <c r="DC278">
        <v>6.031746044754982E-2</v>
      </c>
      <c r="DD278">
        <v>6.3492067158222198E-2</v>
      </c>
      <c r="DE278">
        <v>0.12222222238779068</v>
      </c>
      <c r="DF278">
        <v>5.873015895485878E-2</v>
      </c>
      <c r="DG278">
        <v>7.6190479099750519E-2</v>
      </c>
      <c r="DH278">
        <v>0.1031746044754982</v>
      </c>
      <c r="DI278">
        <v>5.873015895485878E-2</v>
      </c>
      <c r="DJ278">
        <v>7.9365082085132599E-2</v>
      </c>
      <c r="DK278">
        <v>7.7777780592441559E-2</v>
      </c>
      <c r="DL278">
        <v>8.0952383577823639E-2</v>
      </c>
      <c r="DM278">
        <v>9.3650795519351959E-2</v>
      </c>
      <c r="DN278">
        <v>6.031746044754982E-2</v>
      </c>
      <c r="DO278">
        <v>6.031746044754982E-2</v>
      </c>
      <c r="DP278">
        <v>6.9841273128986359E-2</v>
      </c>
      <c r="DQ278">
        <v>7.7777780592441559E-2</v>
      </c>
      <c r="DR278">
        <v>6.5079368650913239E-2</v>
      </c>
      <c r="DS278">
        <v>8.0952383577823639E-2</v>
      </c>
      <c r="DT278">
        <v>9.2063494026660919E-2</v>
      </c>
      <c r="DU278">
        <v>9.5238097012042999E-2</v>
      </c>
      <c r="DV278">
        <v>8.0952383577823639E-2</v>
      </c>
      <c r="DW278">
        <v>7.6190479099750519E-2</v>
      </c>
      <c r="DX278">
        <v>6.5079368650913239E-2</v>
      </c>
      <c r="DY278">
        <v>8.5714288055896759E-2</v>
      </c>
      <c r="DZ278">
        <v>6.6666670143604279E-2</v>
      </c>
      <c r="EA278">
        <v>7.1428574621677399E-2</v>
      </c>
      <c r="EB278">
        <v>5.873015895485878E-2</v>
      </c>
      <c r="EC278">
        <v>0.10000000149011612</v>
      </c>
      <c r="ED278">
        <v>0.10952381044626236</v>
      </c>
      <c r="EE278">
        <v>5.873015895485878E-2</v>
      </c>
      <c r="EF278">
        <v>8.0952383577823639E-2</v>
      </c>
      <c r="EG278">
        <v>8.7301589548587799E-2</v>
      </c>
      <c r="EH278">
        <v>6.3492067158222198E-2</v>
      </c>
      <c r="EI278">
        <v>4.444444552063942E-2</v>
      </c>
      <c r="EJ278">
        <v>6.6666670143604279E-2</v>
      </c>
      <c r="EK278">
        <v>5.714285746216774E-2</v>
      </c>
      <c r="EL278">
        <v>6.9841273128986359E-2</v>
      </c>
      <c r="EM278">
        <v>0.1031746044754982</v>
      </c>
      <c r="EN278">
        <v>6.9841273128986359E-2</v>
      </c>
      <c r="EO278">
        <v>6.3492067158222198E-2</v>
      </c>
      <c r="EP278">
        <v>7.4603177607059479E-2</v>
      </c>
      <c r="EQ278">
        <v>5.55555559694767E-2</v>
      </c>
      <c r="ER278">
        <v>7.3015876114368439E-2</v>
      </c>
      <c r="ES278">
        <v>7.1428574621677399E-2</v>
      </c>
      <c r="ET278">
        <v>7.1428574621677399E-2</v>
      </c>
      <c r="EU278">
        <v>8.8888891041278839E-2</v>
      </c>
      <c r="EV278">
        <v>5.396825447678566E-2</v>
      </c>
      <c r="EW278">
        <v>0.10634920746088028</v>
      </c>
      <c r="EX278">
        <v>0.1111111119389534</v>
      </c>
      <c r="EY278">
        <v>6.031746044754982E-2</v>
      </c>
      <c r="EZ278">
        <v>9.2063494026660919E-2</v>
      </c>
      <c r="FA278">
        <v>6.5079368650913239E-2</v>
      </c>
      <c r="FB278">
        <v>0.15079365670681</v>
      </c>
      <c r="FC278">
        <v>5.396825447678566E-2</v>
      </c>
      <c r="FD278">
        <v>0.1031746044754982</v>
      </c>
      <c r="FE278">
        <v>5.873015895485878E-2</v>
      </c>
      <c r="FF278">
        <v>8.0952383577823639E-2</v>
      </c>
      <c r="FG278">
        <v>6.9841273128986359E-2</v>
      </c>
      <c r="FH278">
        <v>6.190476194024086E-2</v>
      </c>
      <c r="FI278">
        <v>9.8412699997425079E-2</v>
      </c>
      <c r="FJ278">
        <v>6.190476194024086E-2</v>
      </c>
      <c r="FK278">
        <v>9.5238097012042999E-2</v>
      </c>
      <c r="FL278">
        <v>7.3015876114368439E-2</v>
      </c>
      <c r="FM278">
        <v>6.3492067158222198E-2</v>
      </c>
      <c r="FN278">
        <v>8.0952383577823639E-2</v>
      </c>
      <c r="FO278">
        <v>6.6666670143604279E-2</v>
      </c>
      <c r="FP278">
        <v>6.3492067158222198E-2</v>
      </c>
      <c r="FQ278">
        <v>5.714285746216774E-2</v>
      </c>
      <c r="FR278">
        <v>7.3015876114368439E-2</v>
      </c>
      <c r="FS278">
        <v>8.2539685070514679E-2</v>
      </c>
      <c r="FT278">
        <v>9.3650795519351959E-2</v>
      </c>
      <c r="FU278">
        <v>7.9365082085132599E-2</v>
      </c>
      <c r="FV278">
        <v>0.10000000149011612</v>
      </c>
      <c r="FW278">
        <v>8.2539685070514679E-2</v>
      </c>
      <c r="FX278">
        <v>6.3492067158222198E-2</v>
      </c>
      <c r="FY278">
        <v>7.1428574621677399E-2</v>
      </c>
      <c r="FZ278">
        <v>7.9365082085132599E-2</v>
      </c>
      <c r="GA278">
        <v>6.031746044754982E-2</v>
      </c>
      <c r="GB278">
        <v>8.2539685070514679E-2</v>
      </c>
      <c r="GC278">
        <v>4.444444552063942E-2</v>
      </c>
      <c r="GD278">
        <v>6.9841273128986359E-2</v>
      </c>
      <c r="GE278">
        <v>6.9841273128986359E-2</v>
      </c>
      <c r="GF278">
        <v>0.10000000149011612</v>
      </c>
      <c r="GG278">
        <v>6.8253971636295319E-2</v>
      </c>
      <c r="GH278">
        <v>0.10634920746088028</v>
      </c>
      <c r="GI278">
        <v>6.031746044754982E-2</v>
      </c>
      <c r="GJ278">
        <v>9.5238097012042999E-2</v>
      </c>
      <c r="GK278">
        <v>8.8888891041278839E-2</v>
      </c>
      <c r="GL278">
        <v>7.4603177607059479E-2</v>
      </c>
      <c r="GM278">
        <v>6.8253971636295319E-2</v>
      </c>
      <c r="GN278">
        <v>6.6666670143604279E-2</v>
      </c>
      <c r="GO278">
        <v>8.2539685070514679E-2</v>
      </c>
      <c r="GP278">
        <v>5.079365149140358E-2</v>
      </c>
      <c r="GQ278">
        <v>0.10158730298280716</v>
      </c>
      <c r="GR278">
        <v>7.3015876114368439E-2</v>
      </c>
      <c r="GS278">
        <v>0.1031746044754982</v>
      </c>
      <c r="GT278">
        <v>6.3492067158222198E-2</v>
      </c>
      <c r="GU278">
        <v>0.10158730298280716</v>
      </c>
      <c r="GV278">
        <v>0.10476190596818924</v>
      </c>
      <c r="GW278">
        <v>8.7301589548587799E-2</v>
      </c>
      <c r="GX278">
        <v>6.190476194024086E-2</v>
      </c>
      <c r="GY278">
        <v>6.6666670143604279E-2</v>
      </c>
      <c r="GZ278">
        <v>5.714285746216774E-2</v>
      </c>
      <c r="HA278">
        <v>0.1031746044754982</v>
      </c>
      <c r="HB278">
        <v>7.7777780592441559E-2</v>
      </c>
      <c r="HC278">
        <v>7.1428574621677399E-2</v>
      </c>
      <c r="HD278">
        <v>8.8888891041278839E-2</v>
      </c>
      <c r="HE278">
        <v>6.6666670143604279E-2</v>
      </c>
      <c r="HF278">
        <v>8.2539685070514679E-2</v>
      </c>
      <c r="HG278">
        <v>7.1428574621677399E-2</v>
      </c>
      <c r="HH278">
        <v>0.10952381044626236</v>
      </c>
      <c r="HI278">
        <v>7.3015876114368439E-2</v>
      </c>
      <c r="HJ278">
        <v>9.6825398504734039E-2</v>
      </c>
      <c r="HK278">
        <v>8.7301589548587799E-2</v>
      </c>
      <c r="HL278">
        <v>7.9365082085132599E-2</v>
      </c>
      <c r="HM278">
        <v>8.4126986563205719E-2</v>
      </c>
      <c r="HN278">
        <v>7.3015876114368439E-2</v>
      </c>
      <c r="HO278">
        <v>5.714285746216774E-2</v>
      </c>
      <c r="HP278">
        <v>7.1428574621677399E-2</v>
      </c>
      <c r="HQ278">
        <v>7.1428574621677399E-2</v>
      </c>
      <c r="HR278">
        <v>6.8253971636295319E-2</v>
      </c>
      <c r="HS278">
        <v>0.10476190596818924</v>
      </c>
      <c r="HT278">
        <v>4.1269842535257339E-2</v>
      </c>
      <c r="HU278">
        <v>0.12063492089509964</v>
      </c>
      <c r="HV278">
        <v>7.3015876114368439E-2</v>
      </c>
      <c r="HW278">
        <v>8.8888891041278839E-2</v>
      </c>
      <c r="HX278">
        <v>8.7301589548587799E-2</v>
      </c>
      <c r="HY278">
        <v>8.4126986563205719E-2</v>
      </c>
      <c r="HZ278">
        <v>6.6666670143604279E-2</v>
      </c>
      <c r="IA278">
        <v>9.5238097012042999E-2</v>
      </c>
      <c r="IB278">
        <v>6.6666670143604279E-2</v>
      </c>
      <c r="IC278">
        <v>7.3015876114368439E-2</v>
      </c>
      <c r="ID278">
        <v>8.7301589548587799E-2</v>
      </c>
      <c r="IE278">
        <v>6.5079368650913239E-2</v>
      </c>
      <c r="IF278">
        <v>6.190476194024086E-2</v>
      </c>
      <c r="IG278">
        <v>6.8253971636295319E-2</v>
      </c>
      <c r="IH278">
        <v>0.10000000149011612</v>
      </c>
      <c r="II278">
        <v>4.920634999871254E-2</v>
      </c>
      <c r="IJ278">
        <v>6.6666670143604279E-2</v>
      </c>
      <c r="IK278">
        <v>9.2063494026660919E-2</v>
      </c>
      <c r="IL278">
        <v>5.396825447678566E-2</v>
      </c>
      <c r="IM278">
        <v>0.10952381044626236</v>
      </c>
      <c r="IN278">
        <v>6.6666670143604279E-2</v>
      </c>
      <c r="IO278">
        <v>5.396825447678566E-2</v>
      </c>
      <c r="IP278">
        <v>6.5079368650913239E-2</v>
      </c>
      <c r="IQ278">
        <v>6.031746044754982E-2</v>
      </c>
      <c r="IR278">
        <v>6.5079368650913239E-2</v>
      </c>
      <c r="IS278">
        <v>7.4603177607059479E-2</v>
      </c>
      <c r="IT278">
        <v>7.6190479099750519E-2</v>
      </c>
      <c r="IU278">
        <v>6.3492067158222198E-2</v>
      </c>
      <c r="IV278">
        <v>9.8412699997425079E-2</v>
      </c>
      <c r="IW278">
        <v>6.190476194024086E-2</v>
      </c>
      <c r="IX278">
        <v>6.8253971636295319E-2</v>
      </c>
      <c r="IY278">
        <v>7.6190479099750519E-2</v>
      </c>
      <c r="IZ278">
        <v>0.10000000149011612</v>
      </c>
      <c r="JA278">
        <v>8.2539685070514679E-2</v>
      </c>
      <c r="JB278">
        <v>7.7777780592441559E-2</v>
      </c>
      <c r="JC278">
        <v>7.4603177607059479E-2</v>
      </c>
      <c r="JD278">
        <v>6.3492067158222198E-2</v>
      </c>
      <c r="JE278">
        <v>4.603174701333046E-2</v>
      </c>
      <c r="JF278">
        <v>7.9365082085132599E-2</v>
      </c>
    </row>
    <row r="279" spans="4:276" x14ac:dyDescent="0.25">
      <c r="D279" s="41" t="str" cm="1">
        <f t="array" ref="D279">IF(H279="","",IF(AND(E279&lt;AVERAGE(E278,E280)*($L$19/100),$D$23:D278=""),H279,""))</f>
        <v/>
      </c>
      <c r="E279" s="78">
        <f t="shared" si="4"/>
        <v>3.4166290251893272E-3</v>
      </c>
      <c r="F279" s="79"/>
      <c r="H279">
        <v>257</v>
      </c>
      <c r="I279">
        <v>7.7466629025189332E-2</v>
      </c>
      <c r="K279">
        <v>0.10210210084915161</v>
      </c>
      <c r="L279">
        <v>9.9099099636077881E-2</v>
      </c>
      <c r="M279">
        <v>4.8048049211502075E-2</v>
      </c>
      <c r="N279">
        <v>8.7087087333202362E-2</v>
      </c>
      <c r="O279">
        <v>6.756756454706192E-2</v>
      </c>
      <c r="P279">
        <v>6.456456333398819E-2</v>
      </c>
      <c r="Q279">
        <v>0.1066066101193428</v>
      </c>
      <c r="R279">
        <v>6.0060061514377594E-2</v>
      </c>
      <c r="S279">
        <v>8.1081077456474304E-2</v>
      </c>
      <c r="T279">
        <v>6.6066063940525055E-2</v>
      </c>
      <c r="U279">
        <v>6.456456333398819E-2</v>
      </c>
      <c r="V279">
        <v>6.756756454706192E-2</v>
      </c>
      <c r="W279">
        <v>7.3573574423789978E-2</v>
      </c>
      <c r="X279">
        <v>7.2072073817253113E-2</v>
      </c>
      <c r="Y279">
        <v>7.3573574423789978E-2</v>
      </c>
      <c r="Z279">
        <v>6.0060061514377594E-2</v>
      </c>
      <c r="AA279">
        <v>7.9579576849937439E-2</v>
      </c>
      <c r="AB279">
        <v>0.12012012302875519</v>
      </c>
      <c r="AC279">
        <v>7.0570573210716248E-2</v>
      </c>
      <c r="AD279">
        <v>6.456456333398819E-2</v>
      </c>
      <c r="AE279">
        <v>6.0060061514377594E-2</v>
      </c>
      <c r="AF279">
        <v>0.10360360145568848</v>
      </c>
      <c r="AG279">
        <v>7.3573574423789978E-2</v>
      </c>
      <c r="AH279">
        <v>6.9069072604179382E-2</v>
      </c>
      <c r="AI279">
        <v>7.6576575636863708E-2</v>
      </c>
      <c r="AJ279">
        <v>9.609609842300415E-2</v>
      </c>
      <c r="AK279">
        <v>6.756756454706192E-2</v>
      </c>
      <c r="AL279">
        <v>5.55555559694767E-2</v>
      </c>
      <c r="AM279">
        <v>6.1561562120914459E-2</v>
      </c>
      <c r="AN279">
        <v>7.9579576849937439E-2</v>
      </c>
      <c r="AO279">
        <v>4.6546544879674911E-2</v>
      </c>
      <c r="AP279">
        <v>7.2072073817253113E-2</v>
      </c>
      <c r="AQ279">
        <v>9.1591589152812958E-2</v>
      </c>
      <c r="AR279">
        <v>6.456456333398819E-2</v>
      </c>
      <c r="AS279">
        <v>0.115615613758564</v>
      </c>
      <c r="AT279">
        <v>7.3573574423789978E-2</v>
      </c>
      <c r="AU279">
        <v>8.7087087333202362E-2</v>
      </c>
      <c r="AV279">
        <v>5.1051050424575806E-2</v>
      </c>
      <c r="AW279">
        <v>7.9579576849937439E-2</v>
      </c>
      <c r="AX279">
        <v>6.0060061514377594E-2</v>
      </c>
      <c r="AY279">
        <v>5.855855718255043E-2</v>
      </c>
      <c r="AZ279">
        <v>0.12312312424182892</v>
      </c>
      <c r="BA279">
        <v>6.456456333398819E-2</v>
      </c>
      <c r="BB279">
        <v>9.3093089759349823E-2</v>
      </c>
      <c r="BC279">
        <v>6.3063062727451324E-2</v>
      </c>
      <c r="BD279">
        <v>8.7087087333202362E-2</v>
      </c>
      <c r="BE279">
        <v>5.2552551031112671E-2</v>
      </c>
      <c r="BF279">
        <v>0.1111111119389534</v>
      </c>
      <c r="BG279">
        <v>9.3093089759349823E-2</v>
      </c>
      <c r="BH279">
        <v>5.55555559694767E-2</v>
      </c>
      <c r="BI279">
        <v>6.3063062727451324E-2</v>
      </c>
      <c r="BJ279">
        <v>5.855855718255043E-2</v>
      </c>
      <c r="BK279">
        <v>9.609609842300415E-2</v>
      </c>
      <c r="BL279">
        <v>6.6066063940525055E-2</v>
      </c>
      <c r="BM279">
        <v>6.756756454706192E-2</v>
      </c>
      <c r="BN279">
        <v>8.8588587939739227E-2</v>
      </c>
      <c r="BO279">
        <v>8.5585586726665497E-2</v>
      </c>
      <c r="BP279">
        <v>5.855855718255043E-2</v>
      </c>
      <c r="BQ279">
        <v>0.10000000149011612</v>
      </c>
      <c r="BR279">
        <v>6.9841273128986359E-2</v>
      </c>
      <c r="BS279">
        <v>6.3492067158222198E-2</v>
      </c>
      <c r="BT279">
        <v>8.4126986563205719E-2</v>
      </c>
      <c r="BU279">
        <v>0.10793650895357132</v>
      </c>
      <c r="BV279">
        <v>9.5238097012042999E-2</v>
      </c>
      <c r="BW279">
        <v>5.238095298409462E-2</v>
      </c>
      <c r="BX279">
        <v>6.9841273128986359E-2</v>
      </c>
      <c r="BY279">
        <v>6.190476194024086E-2</v>
      </c>
      <c r="BZ279">
        <v>8.2539685070514679E-2</v>
      </c>
      <c r="CA279">
        <v>0.11587301641702652</v>
      </c>
      <c r="CB279">
        <v>6.6666670143604279E-2</v>
      </c>
      <c r="CC279">
        <v>6.8253971636295319E-2</v>
      </c>
      <c r="CD279">
        <v>6.031746044754982E-2</v>
      </c>
      <c r="CE279">
        <v>6.9841273128986359E-2</v>
      </c>
      <c r="CF279">
        <v>7.6190479099750519E-2</v>
      </c>
      <c r="CG279">
        <v>6.5079368650913239E-2</v>
      </c>
      <c r="CH279">
        <v>8.2539685070514679E-2</v>
      </c>
      <c r="CI279">
        <v>7.4603177607059479E-2</v>
      </c>
      <c r="CJ279">
        <v>6.9841273128986359E-2</v>
      </c>
      <c r="CK279">
        <v>7.1428574621677399E-2</v>
      </c>
      <c r="CL279">
        <v>8.2539685070514679E-2</v>
      </c>
      <c r="CM279">
        <v>8.8888891041278839E-2</v>
      </c>
      <c r="CN279">
        <v>6.3492067158222198E-2</v>
      </c>
      <c r="CO279">
        <v>9.2063494026660919E-2</v>
      </c>
      <c r="CP279">
        <v>6.031746044754982E-2</v>
      </c>
      <c r="CQ279">
        <v>7.9365082085132599E-2</v>
      </c>
      <c r="CR279">
        <v>7.1428574621677399E-2</v>
      </c>
      <c r="CS279">
        <v>9.2063494026660919E-2</v>
      </c>
      <c r="CT279">
        <v>6.3492067158222198E-2</v>
      </c>
      <c r="CU279">
        <v>8.4126986563205719E-2</v>
      </c>
      <c r="CV279">
        <v>8.7301589548587799E-2</v>
      </c>
      <c r="CW279">
        <v>6.8253971636295319E-2</v>
      </c>
      <c r="CX279">
        <v>7.1428574621677399E-2</v>
      </c>
      <c r="CY279">
        <v>9.5238097012042999E-2</v>
      </c>
      <c r="CZ279">
        <v>6.9841273128986359E-2</v>
      </c>
      <c r="DA279">
        <v>0.10634920746088028</v>
      </c>
      <c r="DB279">
        <v>5.714285746216774E-2</v>
      </c>
      <c r="DC279">
        <v>6.9841273128986359E-2</v>
      </c>
      <c r="DD279">
        <v>6.8253971636295319E-2</v>
      </c>
      <c r="DE279">
        <v>0.11428571492433548</v>
      </c>
      <c r="DF279">
        <v>9.2063494026660919E-2</v>
      </c>
      <c r="DG279">
        <v>7.4603177607059479E-2</v>
      </c>
      <c r="DH279">
        <v>0.12380952388048172</v>
      </c>
      <c r="DI279">
        <v>7.1428574621677399E-2</v>
      </c>
      <c r="DJ279">
        <v>6.8253971636295319E-2</v>
      </c>
      <c r="DK279">
        <v>7.4603177607059479E-2</v>
      </c>
      <c r="DL279">
        <v>0.10793650895357132</v>
      </c>
      <c r="DM279">
        <v>6.5079368650913239E-2</v>
      </c>
      <c r="DN279">
        <v>5.873015895485878E-2</v>
      </c>
      <c r="DO279">
        <v>0.10000000149011612</v>
      </c>
      <c r="DP279">
        <v>6.5079368650913239E-2</v>
      </c>
      <c r="DQ279">
        <v>0.13015873730182648</v>
      </c>
      <c r="DR279">
        <v>7.9365082085132599E-2</v>
      </c>
      <c r="DS279">
        <v>8.2539685070514679E-2</v>
      </c>
      <c r="DT279">
        <v>0.1349206417798996</v>
      </c>
      <c r="DU279">
        <v>5.873015895485878E-2</v>
      </c>
      <c r="DV279">
        <v>6.8253971636295319E-2</v>
      </c>
      <c r="DW279">
        <v>8.4126986563205719E-2</v>
      </c>
      <c r="DX279">
        <v>6.5079368650913239E-2</v>
      </c>
      <c r="DY279">
        <v>8.5714288055896759E-2</v>
      </c>
      <c r="DZ279">
        <v>7.4603177607059479E-2</v>
      </c>
      <c r="EA279">
        <v>0.12063492089509964</v>
      </c>
      <c r="EB279">
        <v>6.5079368650913239E-2</v>
      </c>
      <c r="EC279">
        <v>8.5714288055896759E-2</v>
      </c>
      <c r="ED279">
        <v>6.190476194024086E-2</v>
      </c>
      <c r="EE279">
        <v>7.7777780592441559E-2</v>
      </c>
      <c r="EF279">
        <v>5.079365149140358E-2</v>
      </c>
      <c r="EG279">
        <v>7.4603177607059479E-2</v>
      </c>
      <c r="EH279">
        <v>6.9841273128986359E-2</v>
      </c>
      <c r="EI279">
        <v>5.873015895485878E-2</v>
      </c>
      <c r="EJ279">
        <v>5.238095298409462E-2</v>
      </c>
      <c r="EK279">
        <v>8.4126986563205719E-2</v>
      </c>
      <c r="EL279">
        <v>8.4126986563205719E-2</v>
      </c>
      <c r="EM279">
        <v>6.3492067158222198E-2</v>
      </c>
      <c r="EN279">
        <v>0.13650794327259064</v>
      </c>
      <c r="EO279">
        <v>7.3015876114368439E-2</v>
      </c>
      <c r="EP279">
        <v>5.55555559694767E-2</v>
      </c>
      <c r="EQ279">
        <v>8.5714288055896759E-2</v>
      </c>
      <c r="ER279">
        <v>9.6825398504734039E-2</v>
      </c>
      <c r="ES279">
        <v>6.9841273128986359E-2</v>
      </c>
      <c r="ET279">
        <v>5.396825447678566E-2</v>
      </c>
      <c r="EU279">
        <v>6.190476194024086E-2</v>
      </c>
      <c r="EV279">
        <v>8.2539685070514679E-2</v>
      </c>
      <c r="EW279">
        <v>0.1031746044754982</v>
      </c>
      <c r="EX279">
        <v>0.10476190596818924</v>
      </c>
      <c r="EY279">
        <v>6.031746044754982E-2</v>
      </c>
      <c r="EZ279">
        <v>6.8253971636295319E-2</v>
      </c>
      <c r="FA279">
        <v>0.12380952388048172</v>
      </c>
      <c r="FB279">
        <v>8.4126986563205719E-2</v>
      </c>
      <c r="FC279">
        <v>6.9841273128986359E-2</v>
      </c>
      <c r="FD279">
        <v>6.3492067158222198E-2</v>
      </c>
      <c r="FE279">
        <v>6.6666670143604279E-2</v>
      </c>
      <c r="FF279">
        <v>5.238095298409462E-2</v>
      </c>
      <c r="FG279">
        <v>7.1428574621677399E-2</v>
      </c>
      <c r="FH279">
        <v>9.5238097012042999E-2</v>
      </c>
      <c r="FI279">
        <v>7.6190479099750519E-2</v>
      </c>
      <c r="FJ279">
        <v>6.9841273128986359E-2</v>
      </c>
      <c r="FK279">
        <v>6.3492067158222198E-2</v>
      </c>
      <c r="FL279">
        <v>9.5238097012042999E-2</v>
      </c>
      <c r="FM279">
        <v>0.13809524476528168</v>
      </c>
      <c r="FN279">
        <v>5.238095298409462E-2</v>
      </c>
      <c r="FO279">
        <v>9.0476192533969879E-2</v>
      </c>
      <c r="FP279">
        <v>6.8253971636295319E-2</v>
      </c>
      <c r="FQ279">
        <v>6.5079368650913239E-2</v>
      </c>
      <c r="FR279">
        <v>8.8888891041278839E-2</v>
      </c>
      <c r="FS279">
        <v>7.1428574621677399E-2</v>
      </c>
      <c r="FT279">
        <v>7.4603177607059479E-2</v>
      </c>
      <c r="FU279">
        <v>6.5079368650913239E-2</v>
      </c>
      <c r="FV279">
        <v>5.396825447678566E-2</v>
      </c>
      <c r="FW279">
        <v>7.9365082085132599E-2</v>
      </c>
      <c r="FX279">
        <v>0.15555556118488312</v>
      </c>
      <c r="FY279">
        <v>8.5714288055896759E-2</v>
      </c>
      <c r="FZ279">
        <v>6.5079368650913239E-2</v>
      </c>
      <c r="GA279">
        <v>9.8412699997425079E-2</v>
      </c>
      <c r="GB279">
        <v>5.079365149140358E-2</v>
      </c>
      <c r="GC279">
        <v>6.190476194024086E-2</v>
      </c>
      <c r="GD279">
        <v>6.3492067158222198E-2</v>
      </c>
      <c r="GE279">
        <v>5.873015895485878E-2</v>
      </c>
      <c r="GF279">
        <v>9.0476192533969879E-2</v>
      </c>
      <c r="GG279">
        <v>8.8888891041278839E-2</v>
      </c>
      <c r="GH279">
        <v>8.8888891041278839E-2</v>
      </c>
      <c r="GI279">
        <v>7.1428574621677399E-2</v>
      </c>
      <c r="GJ279">
        <v>7.3015876114368439E-2</v>
      </c>
      <c r="GK279">
        <v>7.4603177607059479E-2</v>
      </c>
      <c r="GL279">
        <v>6.6666670143604279E-2</v>
      </c>
      <c r="GM279">
        <v>7.9365082085132599E-2</v>
      </c>
      <c r="GN279">
        <v>9.3650795519351959E-2</v>
      </c>
      <c r="GO279">
        <v>5.873015895485878E-2</v>
      </c>
      <c r="GP279">
        <v>8.5714288055896759E-2</v>
      </c>
      <c r="GQ279">
        <v>6.8253971636295319E-2</v>
      </c>
      <c r="GR279">
        <v>0.13333334028720856</v>
      </c>
      <c r="GS279">
        <v>9.6825398504734039E-2</v>
      </c>
      <c r="GT279">
        <v>8.4126986563205719E-2</v>
      </c>
      <c r="GU279">
        <v>7.3015876114368439E-2</v>
      </c>
      <c r="GV279">
        <v>5.079365149140358E-2</v>
      </c>
      <c r="GW279">
        <v>6.190476194024086E-2</v>
      </c>
      <c r="GX279">
        <v>6.6666670143604279E-2</v>
      </c>
      <c r="GY279">
        <v>8.4126986563205719E-2</v>
      </c>
      <c r="GZ279">
        <v>7.6190479099750519E-2</v>
      </c>
      <c r="HA279">
        <v>6.190476194024086E-2</v>
      </c>
      <c r="HB279">
        <v>7.6190479099750519E-2</v>
      </c>
      <c r="HC279">
        <v>7.4603177607059479E-2</v>
      </c>
      <c r="HD279">
        <v>8.7301589548587799E-2</v>
      </c>
      <c r="HE279">
        <v>7.7777780592441559E-2</v>
      </c>
      <c r="HF279">
        <v>7.4603177607059479E-2</v>
      </c>
      <c r="HG279">
        <v>0.10158730298280716</v>
      </c>
      <c r="HH279">
        <v>7.7777780592441559E-2</v>
      </c>
      <c r="HI279">
        <v>0.11428571492433548</v>
      </c>
      <c r="HJ279">
        <v>8.4126986563205719E-2</v>
      </c>
      <c r="HK279">
        <v>0.10793650895357132</v>
      </c>
      <c r="HL279">
        <v>9.3650795519351959E-2</v>
      </c>
      <c r="HM279">
        <v>4.76190485060215E-2</v>
      </c>
      <c r="HN279">
        <v>6.031746044754982E-2</v>
      </c>
      <c r="HO279">
        <v>7.6190479099750519E-2</v>
      </c>
      <c r="HP279">
        <v>6.3492067158222198E-2</v>
      </c>
      <c r="HQ279">
        <v>6.8253971636295319E-2</v>
      </c>
      <c r="HR279">
        <v>6.5079368650913239E-2</v>
      </c>
      <c r="HS279">
        <v>7.3015876114368439E-2</v>
      </c>
      <c r="HT279">
        <v>6.9841273128986359E-2</v>
      </c>
      <c r="HU279">
        <v>0.10952381044626236</v>
      </c>
      <c r="HV279">
        <v>9.3650795519351959E-2</v>
      </c>
      <c r="HW279">
        <v>8.5714288055896759E-2</v>
      </c>
      <c r="HX279">
        <v>6.5079368650913239E-2</v>
      </c>
      <c r="HY279">
        <v>7.4603177607059479E-2</v>
      </c>
      <c r="HZ279">
        <v>6.9841273128986359E-2</v>
      </c>
      <c r="IA279">
        <v>6.9841273128986359E-2</v>
      </c>
      <c r="IB279">
        <v>8.2539685070514679E-2</v>
      </c>
      <c r="IC279">
        <v>5.55555559694767E-2</v>
      </c>
      <c r="ID279">
        <v>7.7777780592441559E-2</v>
      </c>
      <c r="IE279">
        <v>7.7777780592441559E-2</v>
      </c>
      <c r="IF279">
        <v>7.3015876114368439E-2</v>
      </c>
      <c r="IG279">
        <v>6.031746044754982E-2</v>
      </c>
      <c r="IH279">
        <v>6.8253971636295319E-2</v>
      </c>
      <c r="II279">
        <v>0.15079365670681</v>
      </c>
      <c r="IJ279">
        <v>7.3015876114368439E-2</v>
      </c>
      <c r="IK279">
        <v>6.3492067158222198E-2</v>
      </c>
      <c r="IL279">
        <v>7.7777780592441559E-2</v>
      </c>
      <c r="IM279">
        <v>5.714285746216774E-2</v>
      </c>
      <c r="IN279">
        <v>6.8253971636295319E-2</v>
      </c>
      <c r="IO279">
        <v>9.3650795519351959E-2</v>
      </c>
      <c r="IP279">
        <v>6.3492067158222198E-2</v>
      </c>
      <c r="IQ279">
        <v>9.2063494026660919E-2</v>
      </c>
      <c r="IR279">
        <v>7.3015876114368439E-2</v>
      </c>
      <c r="IS279">
        <v>5.55555559694767E-2</v>
      </c>
      <c r="IT279">
        <v>7.9365082085132599E-2</v>
      </c>
      <c r="IU279">
        <v>5.714285746216774E-2</v>
      </c>
      <c r="IV279">
        <v>6.031746044754982E-2</v>
      </c>
      <c r="IW279">
        <v>8.8888891041278839E-2</v>
      </c>
      <c r="IX279">
        <v>8.0952383577823639E-2</v>
      </c>
      <c r="IY279">
        <v>7.9365082085132599E-2</v>
      </c>
      <c r="IZ279">
        <v>6.9841273128986359E-2</v>
      </c>
      <c r="JA279">
        <v>5.873015895485878E-2</v>
      </c>
      <c r="JB279">
        <v>7.7777780592441559E-2</v>
      </c>
      <c r="JC279">
        <v>5.079365149140358E-2</v>
      </c>
      <c r="JD279">
        <v>7.9365082085132599E-2</v>
      </c>
      <c r="JE279">
        <v>8.5714288055896759E-2</v>
      </c>
      <c r="JF279">
        <v>5.873015895485878E-2</v>
      </c>
      <c r="JG279">
        <v>4.920634999871254E-2</v>
      </c>
    </row>
    <row r="280" spans="4:276" x14ac:dyDescent="0.25">
      <c r="D280" s="41" t="str" cm="1">
        <f t="array" ref="D280">IF(H280="","",IF(AND(E280&lt;AVERAGE(E279,E281)*($L$19/100),$D$23:D279=""),H280,""))</f>
        <v/>
      </c>
      <c r="E280" s="78">
        <f t="shared" si="4"/>
        <v>2.7498915136784513E-3</v>
      </c>
      <c r="F280" s="79"/>
      <c r="H280">
        <v>258</v>
      </c>
      <c r="I280">
        <v>7.6799891513678456E-2</v>
      </c>
      <c r="K280">
        <v>7.6576575636863708E-2</v>
      </c>
      <c r="L280">
        <v>6.0060061514377594E-2</v>
      </c>
      <c r="M280">
        <v>8.1081077456474304E-2</v>
      </c>
      <c r="N280">
        <v>7.8078076243400574E-2</v>
      </c>
      <c r="O280">
        <v>5.855855718255043E-2</v>
      </c>
      <c r="P280">
        <v>7.3573574423789978E-2</v>
      </c>
      <c r="Q280">
        <v>6.3063062727451324E-2</v>
      </c>
      <c r="R280">
        <v>7.6576575636863708E-2</v>
      </c>
      <c r="S280">
        <v>0.10210210084915161</v>
      </c>
      <c r="T280">
        <v>8.4084086120128632E-2</v>
      </c>
      <c r="U280">
        <v>6.0060061514377594E-2</v>
      </c>
      <c r="V280">
        <v>5.55555559694767E-2</v>
      </c>
      <c r="W280">
        <v>8.4084086120128632E-2</v>
      </c>
      <c r="X280">
        <v>5.1051050424575806E-2</v>
      </c>
      <c r="Y280">
        <v>6.0060061514377594E-2</v>
      </c>
      <c r="Z280">
        <v>6.3063062727451324E-2</v>
      </c>
      <c r="AA280">
        <v>9.609609842300415E-2</v>
      </c>
      <c r="AB280">
        <v>8.2582585513591766E-2</v>
      </c>
      <c r="AC280">
        <v>0.1111111119389534</v>
      </c>
      <c r="AD280">
        <v>8.8588587939739227E-2</v>
      </c>
      <c r="AE280">
        <v>7.5075075030326843E-2</v>
      </c>
      <c r="AF280">
        <v>8.4084086120128632E-2</v>
      </c>
      <c r="AG280">
        <v>6.031746044754982E-2</v>
      </c>
      <c r="AH280">
        <v>5.396825447678566E-2</v>
      </c>
      <c r="AI280">
        <v>6.190476194024086E-2</v>
      </c>
      <c r="AJ280">
        <v>7.6190479099750519E-2</v>
      </c>
      <c r="AK280">
        <v>9.3650795519351959E-2</v>
      </c>
      <c r="AL280">
        <v>9.6825398504734039E-2</v>
      </c>
      <c r="AM280">
        <v>8.4126986563205719E-2</v>
      </c>
      <c r="AN280">
        <v>5.55555559694767E-2</v>
      </c>
      <c r="AO280">
        <v>9.6825398504734039E-2</v>
      </c>
      <c r="AP280">
        <v>5.714285746216774E-2</v>
      </c>
      <c r="AQ280">
        <v>5.396825447678566E-2</v>
      </c>
      <c r="AR280">
        <v>6.6666670143604279E-2</v>
      </c>
      <c r="AS280">
        <v>6.8253971636295319E-2</v>
      </c>
      <c r="AT280">
        <v>5.873015895485878E-2</v>
      </c>
      <c r="AU280">
        <v>5.873015895485878E-2</v>
      </c>
      <c r="AV280">
        <v>9.3650795519351959E-2</v>
      </c>
      <c r="AW280">
        <v>6.5079368650913239E-2</v>
      </c>
      <c r="AX280">
        <v>8.7301589548587799E-2</v>
      </c>
      <c r="AY280">
        <v>9.5238097012042999E-2</v>
      </c>
      <c r="AZ280">
        <v>8.0952383577823639E-2</v>
      </c>
      <c r="BA280">
        <v>0.10634920746088028</v>
      </c>
      <c r="BB280">
        <v>4.603174701333046E-2</v>
      </c>
      <c r="BC280">
        <v>8.7301589548587799E-2</v>
      </c>
      <c r="BD280">
        <v>5.079365149140358E-2</v>
      </c>
      <c r="BE280">
        <v>9.3650795519351959E-2</v>
      </c>
      <c r="BF280">
        <v>0.10476190596818924</v>
      </c>
      <c r="BG280">
        <v>8.8888891041278839E-2</v>
      </c>
      <c r="BH280">
        <v>4.920634999871254E-2</v>
      </c>
      <c r="BI280">
        <v>7.4603177607059479E-2</v>
      </c>
      <c r="BJ280">
        <v>5.55555559694767E-2</v>
      </c>
      <c r="BK280">
        <v>8.5714288055896759E-2</v>
      </c>
      <c r="BL280">
        <v>6.190476194024086E-2</v>
      </c>
      <c r="BM280">
        <v>6.8253971636295319E-2</v>
      </c>
      <c r="BN280">
        <v>7.9365082085132599E-2</v>
      </c>
      <c r="BO280">
        <v>7.9365082085132599E-2</v>
      </c>
      <c r="BP280">
        <v>9.0476192533969879E-2</v>
      </c>
      <c r="BQ280">
        <v>9.2063494026660919E-2</v>
      </c>
      <c r="BR280">
        <v>9.5238097012042999E-2</v>
      </c>
      <c r="BS280">
        <v>6.190476194024086E-2</v>
      </c>
      <c r="BT280">
        <v>5.396825447678566E-2</v>
      </c>
      <c r="BU280">
        <v>6.8253971636295319E-2</v>
      </c>
      <c r="BV280">
        <v>6.5079368650913239E-2</v>
      </c>
      <c r="BW280">
        <v>6.8253971636295319E-2</v>
      </c>
      <c r="BX280">
        <v>7.9365082085132599E-2</v>
      </c>
      <c r="BY280">
        <v>6.8253971636295319E-2</v>
      </c>
      <c r="BZ280">
        <v>7.1428574621677399E-2</v>
      </c>
      <c r="CA280">
        <v>0.11269841343164444</v>
      </c>
      <c r="CB280">
        <v>7.9365082085132599E-2</v>
      </c>
      <c r="CC280">
        <v>7.1428574621677399E-2</v>
      </c>
      <c r="CD280">
        <v>6.031746044754982E-2</v>
      </c>
      <c r="CE280">
        <v>7.6190479099750519E-2</v>
      </c>
      <c r="CF280">
        <v>5.714285746216774E-2</v>
      </c>
      <c r="CG280">
        <v>0.190476194024086</v>
      </c>
      <c r="CH280">
        <v>9.5238097012042999E-2</v>
      </c>
      <c r="CI280">
        <v>9.0476192533969879E-2</v>
      </c>
      <c r="CJ280">
        <v>7.7777780592441559E-2</v>
      </c>
      <c r="CK280">
        <v>7.6190479099750519E-2</v>
      </c>
      <c r="CL280">
        <v>5.714285746216774E-2</v>
      </c>
      <c r="CM280">
        <v>8.0952383577823639E-2</v>
      </c>
      <c r="CN280">
        <v>8.7301589548587799E-2</v>
      </c>
      <c r="CO280">
        <v>8.5714288055896759E-2</v>
      </c>
      <c r="CP280">
        <v>9.2063494026660919E-2</v>
      </c>
      <c r="CQ280">
        <v>8.5714288055896759E-2</v>
      </c>
      <c r="CR280">
        <v>9.8412699997425079E-2</v>
      </c>
      <c r="CS280">
        <v>6.9841273128986359E-2</v>
      </c>
      <c r="CT280">
        <v>8.5714288055896759E-2</v>
      </c>
      <c r="CU280">
        <v>8.0952383577823639E-2</v>
      </c>
      <c r="CV280">
        <v>6.190476194024086E-2</v>
      </c>
      <c r="CW280">
        <v>4.76190485060215E-2</v>
      </c>
      <c r="CX280">
        <v>7.3015876114368439E-2</v>
      </c>
      <c r="CY280">
        <v>6.031746044754982E-2</v>
      </c>
      <c r="CZ280">
        <v>7.4603177607059479E-2</v>
      </c>
      <c r="DA280">
        <v>7.1428574621677399E-2</v>
      </c>
      <c r="DB280">
        <v>0.10793650895357132</v>
      </c>
      <c r="DC280">
        <v>5.55555559694767E-2</v>
      </c>
      <c r="DD280">
        <v>8.8888891041278839E-2</v>
      </c>
      <c r="DE280">
        <v>0.10000000149011612</v>
      </c>
      <c r="DF280">
        <v>5.714285746216774E-2</v>
      </c>
      <c r="DG280">
        <v>0.14444445073604584</v>
      </c>
      <c r="DH280">
        <v>6.031746044754982E-2</v>
      </c>
      <c r="DI280">
        <v>6.5079368650913239E-2</v>
      </c>
      <c r="DJ280">
        <v>9.5238097012042999E-2</v>
      </c>
      <c r="DK280">
        <v>0.1031746044754982</v>
      </c>
      <c r="DL280">
        <v>6.190476194024086E-2</v>
      </c>
      <c r="DM280">
        <v>6.6666670143604279E-2</v>
      </c>
      <c r="DN280">
        <v>8.0952383577823639E-2</v>
      </c>
      <c r="DO280">
        <v>8.0952383577823639E-2</v>
      </c>
      <c r="DP280">
        <v>9.2063494026660919E-2</v>
      </c>
      <c r="DQ280">
        <v>5.55555559694767E-2</v>
      </c>
      <c r="DR280">
        <v>0.11269841343164444</v>
      </c>
      <c r="DS280">
        <v>9.2063494026660919E-2</v>
      </c>
      <c r="DT280">
        <v>7.1428574621677399E-2</v>
      </c>
      <c r="DU280">
        <v>7.6190479099750519E-2</v>
      </c>
      <c r="DV280">
        <v>0.10000000149011612</v>
      </c>
      <c r="DW280">
        <v>6.190476194024086E-2</v>
      </c>
      <c r="DX280">
        <v>8.7301589548587799E-2</v>
      </c>
      <c r="DY280">
        <v>9.0476192533969879E-2</v>
      </c>
      <c r="DZ280">
        <v>9.6825398504734039E-2</v>
      </c>
      <c r="EA280">
        <v>7.3015876114368439E-2</v>
      </c>
      <c r="EB280">
        <v>8.5714288055896759E-2</v>
      </c>
      <c r="EC280">
        <v>0.1111111119389534</v>
      </c>
      <c r="ED280">
        <v>6.6666670143604279E-2</v>
      </c>
      <c r="EE280">
        <v>6.5079368650913239E-2</v>
      </c>
      <c r="EF280">
        <v>8.4126986563205719E-2</v>
      </c>
      <c r="EG280">
        <v>6.031746044754982E-2</v>
      </c>
      <c r="EH280">
        <v>0.10793650895357132</v>
      </c>
      <c r="EI280">
        <v>8.4126986563205719E-2</v>
      </c>
      <c r="EJ280">
        <v>7.4603177607059479E-2</v>
      </c>
      <c r="EK280">
        <v>5.873015895485878E-2</v>
      </c>
      <c r="EL280">
        <v>5.55555559694767E-2</v>
      </c>
      <c r="EM280">
        <v>5.55555559694767E-2</v>
      </c>
      <c r="EN280">
        <v>5.714285746216774E-2</v>
      </c>
      <c r="EO280">
        <v>6.031746044754982E-2</v>
      </c>
      <c r="EP280">
        <v>6.9841273128986359E-2</v>
      </c>
      <c r="EQ280">
        <v>9.3650795519351959E-2</v>
      </c>
      <c r="ER280">
        <v>7.4603177607059479E-2</v>
      </c>
      <c r="ES280">
        <v>5.396825447678566E-2</v>
      </c>
      <c r="ET280">
        <v>6.3492067158222198E-2</v>
      </c>
      <c r="EU280">
        <v>6.5079368650913239E-2</v>
      </c>
      <c r="EV280">
        <v>0.1190476194024086</v>
      </c>
      <c r="EW280">
        <v>6.8253971636295319E-2</v>
      </c>
      <c r="EX280">
        <v>7.7777780592441559E-2</v>
      </c>
      <c r="EY280">
        <v>7.7777780592441559E-2</v>
      </c>
      <c r="EZ280">
        <v>0.11269841343164444</v>
      </c>
      <c r="FA280">
        <v>7.1428574621677399E-2</v>
      </c>
      <c r="FB280">
        <v>8.7301589548587799E-2</v>
      </c>
      <c r="FC280">
        <v>6.3492067158222198E-2</v>
      </c>
      <c r="FD280">
        <v>0.10476190596818924</v>
      </c>
      <c r="FE280">
        <v>6.8253971636295319E-2</v>
      </c>
      <c r="FF280">
        <v>6.031746044754982E-2</v>
      </c>
      <c r="FG280">
        <v>7.4603177607059479E-2</v>
      </c>
      <c r="FH280">
        <v>5.873015895485878E-2</v>
      </c>
      <c r="FI280">
        <v>7.4603177607059479E-2</v>
      </c>
      <c r="FJ280">
        <v>8.4126986563205719E-2</v>
      </c>
      <c r="FK280">
        <v>5.873015895485878E-2</v>
      </c>
      <c r="FL280">
        <v>8.7301589548587799E-2</v>
      </c>
      <c r="FM280">
        <v>7.1428574621677399E-2</v>
      </c>
      <c r="FN280">
        <v>6.5079368650913239E-2</v>
      </c>
      <c r="FO280">
        <v>7.9365082085132599E-2</v>
      </c>
      <c r="FP280">
        <v>9.3650795519351959E-2</v>
      </c>
      <c r="FQ280">
        <v>7.3015876114368439E-2</v>
      </c>
      <c r="FR280">
        <v>6.3492067158222198E-2</v>
      </c>
      <c r="FS280">
        <v>8.5714288055896759E-2</v>
      </c>
      <c r="FT280">
        <v>5.714285746216774E-2</v>
      </c>
      <c r="FU280">
        <v>8.4126986563205719E-2</v>
      </c>
      <c r="FV280">
        <v>6.5079368650913239E-2</v>
      </c>
      <c r="FW280">
        <v>0.15079365670681</v>
      </c>
      <c r="FX280">
        <v>6.9841273128986359E-2</v>
      </c>
      <c r="FY280">
        <v>7.7777780592441559E-2</v>
      </c>
      <c r="FZ280">
        <v>8.0952383577823639E-2</v>
      </c>
      <c r="GA280">
        <v>7.7777780592441559E-2</v>
      </c>
      <c r="GB280">
        <v>9.5238097012042999E-2</v>
      </c>
      <c r="GC280">
        <v>7.3015876114368439E-2</v>
      </c>
      <c r="GD280">
        <v>7.3015876114368439E-2</v>
      </c>
      <c r="GE280">
        <v>5.873015895485878E-2</v>
      </c>
      <c r="GF280">
        <v>8.4126986563205719E-2</v>
      </c>
      <c r="GG280">
        <v>7.9365082085132599E-2</v>
      </c>
      <c r="GH280">
        <v>7.3015876114368439E-2</v>
      </c>
      <c r="GI280">
        <v>6.3492067158222198E-2</v>
      </c>
      <c r="GJ280">
        <v>6.3492067158222198E-2</v>
      </c>
      <c r="GK280">
        <v>6.9841273128986359E-2</v>
      </c>
      <c r="GL280">
        <v>7.3015876114368439E-2</v>
      </c>
      <c r="GM280">
        <v>8.4126986563205719E-2</v>
      </c>
      <c r="GN280">
        <v>6.8253971636295319E-2</v>
      </c>
      <c r="GO280">
        <v>8.8888891041278839E-2</v>
      </c>
      <c r="GP280">
        <v>7.3015876114368439E-2</v>
      </c>
      <c r="GQ280">
        <v>9.2063494026660919E-2</v>
      </c>
      <c r="GR280">
        <v>8.5714288055896759E-2</v>
      </c>
      <c r="GS280">
        <v>6.031746044754982E-2</v>
      </c>
      <c r="GT280">
        <v>6.8253971636295319E-2</v>
      </c>
      <c r="GU280">
        <v>7.1428574621677399E-2</v>
      </c>
      <c r="GV280">
        <v>5.714285746216774E-2</v>
      </c>
      <c r="GW280">
        <v>9.6825398504734039E-2</v>
      </c>
      <c r="GX280">
        <v>8.5714288055896759E-2</v>
      </c>
      <c r="GY280">
        <v>6.9841273128986359E-2</v>
      </c>
      <c r="GZ280">
        <v>6.031746044754982E-2</v>
      </c>
      <c r="HA280">
        <v>9.0476192533969879E-2</v>
      </c>
      <c r="HB280">
        <v>7.7777780592441559E-2</v>
      </c>
      <c r="HC280">
        <v>8.4126986563205719E-2</v>
      </c>
      <c r="HD280">
        <v>7.1428574621677399E-2</v>
      </c>
      <c r="HE280">
        <v>9.2063494026660919E-2</v>
      </c>
      <c r="HF280">
        <v>7.9365082085132599E-2</v>
      </c>
      <c r="HG280">
        <v>6.5079368650913239E-2</v>
      </c>
      <c r="HH280">
        <v>7.1428574621677399E-2</v>
      </c>
      <c r="HI280">
        <v>8.5714288055896759E-2</v>
      </c>
      <c r="HJ280">
        <v>7.3015876114368439E-2</v>
      </c>
      <c r="HK280">
        <v>4.76190485060215E-2</v>
      </c>
      <c r="HL280">
        <v>9.8412699997425079E-2</v>
      </c>
      <c r="HM280">
        <v>6.190476194024086E-2</v>
      </c>
      <c r="HN280">
        <v>7.3015876114368439E-2</v>
      </c>
      <c r="HO280">
        <v>0.1111111119389534</v>
      </c>
      <c r="HP280">
        <v>4.444444552063942E-2</v>
      </c>
      <c r="HQ280">
        <v>5.55555559694767E-2</v>
      </c>
      <c r="HR280">
        <v>7.1428574621677399E-2</v>
      </c>
      <c r="HS280">
        <v>6.5079368650913239E-2</v>
      </c>
      <c r="HT280">
        <v>6.031746044754982E-2</v>
      </c>
      <c r="HU280">
        <v>8.8888891041278839E-2</v>
      </c>
      <c r="HV280">
        <v>8.7301589548587799E-2</v>
      </c>
      <c r="HW280">
        <v>8.5714288055896759E-2</v>
      </c>
      <c r="HX280">
        <v>7.4603177607059479E-2</v>
      </c>
      <c r="HY280">
        <v>6.031746044754982E-2</v>
      </c>
      <c r="HZ280">
        <v>0.10000000149011612</v>
      </c>
      <c r="IA280">
        <v>0.10000000149011612</v>
      </c>
      <c r="IB280">
        <v>4.920634999871254E-2</v>
      </c>
      <c r="IC280">
        <v>8.2539685070514679E-2</v>
      </c>
      <c r="ID280">
        <v>6.031746044754982E-2</v>
      </c>
      <c r="IE280">
        <v>9.3650795519351959E-2</v>
      </c>
      <c r="IF280">
        <v>6.6666670143604279E-2</v>
      </c>
      <c r="IG280">
        <v>5.396825447678566E-2</v>
      </c>
      <c r="IH280">
        <v>6.8253971636295319E-2</v>
      </c>
      <c r="II280">
        <v>6.6666670143604279E-2</v>
      </c>
      <c r="IJ280">
        <v>7.1428574621677399E-2</v>
      </c>
      <c r="IK280">
        <v>6.6666670143604279E-2</v>
      </c>
      <c r="IL280">
        <v>0.11269841343164444</v>
      </c>
      <c r="IM280">
        <v>6.190476194024086E-2</v>
      </c>
      <c r="IN280">
        <v>7.9365082085132599E-2</v>
      </c>
      <c r="IO280">
        <v>8.4126986563205719E-2</v>
      </c>
      <c r="IP280">
        <v>8.7301589548587799E-2</v>
      </c>
      <c r="IQ280">
        <v>8.0952383577823639E-2</v>
      </c>
      <c r="IR280">
        <v>6.3492067158222198E-2</v>
      </c>
      <c r="IS280">
        <v>7.1428574621677399E-2</v>
      </c>
      <c r="IT280">
        <v>7.3015876114368439E-2</v>
      </c>
      <c r="IU280">
        <v>8.5714288055896759E-2</v>
      </c>
      <c r="IV280">
        <v>7.9365082085132599E-2</v>
      </c>
      <c r="IW280">
        <v>8.0952383577823639E-2</v>
      </c>
      <c r="IX280">
        <v>6.9841273128986359E-2</v>
      </c>
      <c r="IY280">
        <v>6.8253971636295319E-2</v>
      </c>
      <c r="IZ280">
        <v>6.031746044754982E-2</v>
      </c>
      <c r="JA280">
        <v>6.5079368650913239E-2</v>
      </c>
      <c r="JB280">
        <v>9.6825398504734039E-2</v>
      </c>
      <c r="JC280">
        <v>6.9841273128986359E-2</v>
      </c>
      <c r="JD280">
        <v>5.238095298409462E-2</v>
      </c>
      <c r="JE280">
        <v>0.10634920746088028</v>
      </c>
      <c r="JF280">
        <v>6.031746044754982E-2</v>
      </c>
      <c r="JG280">
        <v>5.55555559694767E-2</v>
      </c>
      <c r="JH280">
        <v>7.9365082085132599E-2</v>
      </c>
    </row>
    <row r="281" spans="4:276" x14ac:dyDescent="0.25">
      <c r="D281" s="41" t="str" cm="1">
        <f t="array" ref="D281">IF(H281="","",IF(AND(E281&lt;AVERAGE(E280,E282)*($L$19/100),$D$23:D280=""),H281,""))</f>
        <v/>
      </c>
      <c r="E281" s="78">
        <f t="shared" si="4"/>
        <v>5.0165837932507479E-3</v>
      </c>
      <c r="F281" s="79"/>
      <c r="H281">
        <v>259</v>
      </c>
      <c r="I281">
        <v>7.9066583793250753E-2</v>
      </c>
      <c r="K281">
        <v>7.6190479099750519E-2</v>
      </c>
      <c r="L281">
        <v>5.079365149140358E-2</v>
      </c>
      <c r="M281">
        <v>9.3650795519351959E-2</v>
      </c>
      <c r="N281">
        <v>6.6666670143604279E-2</v>
      </c>
      <c r="O281">
        <v>6.3492067158222198E-2</v>
      </c>
      <c r="P281">
        <v>0.1269841343164444</v>
      </c>
      <c r="Q281">
        <v>7.9365082085132599E-2</v>
      </c>
      <c r="R281">
        <v>7.1428574621677399E-2</v>
      </c>
      <c r="S281">
        <v>7.9365082085132599E-2</v>
      </c>
      <c r="T281">
        <v>7.1428574621677399E-2</v>
      </c>
      <c r="U281">
        <v>8.8888891041278839E-2</v>
      </c>
      <c r="V281">
        <v>7.9365082085132599E-2</v>
      </c>
      <c r="W281">
        <v>6.3492067158222198E-2</v>
      </c>
      <c r="X281">
        <v>8.7301589548587799E-2</v>
      </c>
      <c r="Y281">
        <v>5.55555559694767E-2</v>
      </c>
      <c r="Z281">
        <v>8.7301589548587799E-2</v>
      </c>
      <c r="AA281">
        <v>6.8253971636295319E-2</v>
      </c>
      <c r="AB281">
        <v>9.5238097012042999E-2</v>
      </c>
      <c r="AC281">
        <v>7.9365082085132599E-2</v>
      </c>
      <c r="AD281">
        <v>6.3492067158222198E-2</v>
      </c>
      <c r="AE281">
        <v>8.7301589548587799E-2</v>
      </c>
      <c r="AF281">
        <v>0.1031746044754982</v>
      </c>
      <c r="AG281">
        <v>9.6825398504734039E-2</v>
      </c>
      <c r="AH281">
        <v>7.7777780592441559E-2</v>
      </c>
      <c r="AI281">
        <v>9.6825398504734039E-2</v>
      </c>
      <c r="AJ281">
        <v>6.190476194024086E-2</v>
      </c>
      <c r="AK281">
        <v>8.4126986563205719E-2</v>
      </c>
      <c r="AL281">
        <v>5.873015895485878E-2</v>
      </c>
      <c r="AM281">
        <v>6.9841273128986359E-2</v>
      </c>
      <c r="AN281">
        <v>8.2539685070514679E-2</v>
      </c>
      <c r="AO281">
        <v>9.2063494026660919E-2</v>
      </c>
      <c r="AP281">
        <v>6.190476194024086E-2</v>
      </c>
      <c r="AQ281">
        <v>6.190476194024086E-2</v>
      </c>
      <c r="AR281">
        <v>0.10793650895357132</v>
      </c>
      <c r="AS281">
        <v>7.7777780592441559E-2</v>
      </c>
      <c r="AT281">
        <v>6.190476194024086E-2</v>
      </c>
      <c r="AU281">
        <v>7.9365082085132599E-2</v>
      </c>
      <c r="AV281">
        <v>9.2063494026660919E-2</v>
      </c>
      <c r="AW281">
        <v>8.4126986563205719E-2</v>
      </c>
      <c r="AX281">
        <v>5.079365149140358E-2</v>
      </c>
      <c r="AY281">
        <v>0.13809524476528168</v>
      </c>
      <c r="AZ281">
        <v>6.3492067158222198E-2</v>
      </c>
      <c r="BA281">
        <v>5.55555559694767E-2</v>
      </c>
      <c r="BB281">
        <v>9.2063494026660919E-2</v>
      </c>
      <c r="BC281">
        <v>7.6190479099750519E-2</v>
      </c>
      <c r="BD281">
        <v>9.5238097012042999E-2</v>
      </c>
      <c r="BE281">
        <v>5.55555559694767E-2</v>
      </c>
      <c r="BF281">
        <v>8.8888891041278839E-2</v>
      </c>
      <c r="BG281">
        <v>5.873015895485878E-2</v>
      </c>
      <c r="BH281">
        <v>7.6190479099750519E-2</v>
      </c>
      <c r="BI281">
        <v>0.10000000149011612</v>
      </c>
      <c r="BJ281">
        <v>5.714285746216774E-2</v>
      </c>
      <c r="BK281">
        <v>7.1428574621677399E-2</v>
      </c>
      <c r="BL281">
        <v>8.8888891041278839E-2</v>
      </c>
      <c r="BM281">
        <v>0.10000000149011612</v>
      </c>
      <c r="BN281">
        <v>6.3492067158222198E-2</v>
      </c>
      <c r="BO281">
        <v>6.031746044754982E-2</v>
      </c>
      <c r="BP281">
        <v>8.5714288055896759E-2</v>
      </c>
      <c r="BQ281">
        <v>0.11587301641702652</v>
      </c>
      <c r="BR281">
        <v>7.3015876114368439E-2</v>
      </c>
      <c r="BS281">
        <v>7.9365082085132599E-2</v>
      </c>
      <c r="BT281">
        <v>7.9365082085132599E-2</v>
      </c>
      <c r="BU281">
        <v>9.2063494026660919E-2</v>
      </c>
      <c r="BV281">
        <v>5.714285746216774E-2</v>
      </c>
      <c r="BW281">
        <v>6.6666670143604279E-2</v>
      </c>
      <c r="BX281">
        <v>7.4603177607059479E-2</v>
      </c>
      <c r="BY281">
        <v>9.2063494026660919E-2</v>
      </c>
      <c r="BZ281">
        <v>7.4603177607059479E-2</v>
      </c>
      <c r="CA281">
        <v>0.11269841343164444</v>
      </c>
      <c r="CB281">
        <v>7.3015876114368439E-2</v>
      </c>
      <c r="CC281">
        <v>6.6666670143604279E-2</v>
      </c>
      <c r="CD281">
        <v>8.4126986563205719E-2</v>
      </c>
      <c r="CE281">
        <v>8.2539685070514679E-2</v>
      </c>
      <c r="CF281">
        <v>6.9841273128986359E-2</v>
      </c>
      <c r="CG281">
        <v>9.2063494026660919E-2</v>
      </c>
      <c r="CH281">
        <v>6.8253971636295319E-2</v>
      </c>
      <c r="CI281">
        <v>8.4126986563205719E-2</v>
      </c>
      <c r="CJ281">
        <v>0.16507937014102936</v>
      </c>
      <c r="CK281">
        <v>8.8888891041278839E-2</v>
      </c>
      <c r="CL281">
        <v>7.1428574621677399E-2</v>
      </c>
      <c r="CM281">
        <v>9.5238097012042999E-2</v>
      </c>
      <c r="CN281">
        <v>8.2539685070514679E-2</v>
      </c>
      <c r="CO281">
        <v>9.2063494026660919E-2</v>
      </c>
      <c r="CP281">
        <v>7.4603177607059479E-2</v>
      </c>
      <c r="CQ281">
        <v>7.3015876114368439E-2</v>
      </c>
      <c r="CR281">
        <v>6.9841273128986359E-2</v>
      </c>
      <c r="CS281">
        <v>6.190476194024086E-2</v>
      </c>
      <c r="CT281">
        <v>7.6190479099750519E-2</v>
      </c>
      <c r="CU281">
        <v>5.714285746216774E-2</v>
      </c>
      <c r="CV281">
        <v>7.4603177607059479E-2</v>
      </c>
      <c r="CW281">
        <v>7.7777780592441559E-2</v>
      </c>
      <c r="CX281">
        <v>0.11746031790971756</v>
      </c>
      <c r="CY281">
        <v>8.8888891041278839E-2</v>
      </c>
      <c r="CZ281">
        <v>6.3492067158222198E-2</v>
      </c>
      <c r="DA281">
        <v>8.5714288055896759E-2</v>
      </c>
      <c r="DB281">
        <v>8.8888891041278839E-2</v>
      </c>
      <c r="DC281">
        <v>5.714285746216774E-2</v>
      </c>
      <c r="DD281">
        <v>7.4603177607059479E-2</v>
      </c>
      <c r="DE281">
        <v>7.4603177607059479E-2</v>
      </c>
      <c r="DF281">
        <v>6.8253971636295319E-2</v>
      </c>
      <c r="DG281">
        <v>0.17142857611179352</v>
      </c>
      <c r="DH281">
        <v>8.4126986563205719E-2</v>
      </c>
      <c r="DI281">
        <v>8.5714288055896759E-2</v>
      </c>
      <c r="DJ281">
        <v>0.11587301641702652</v>
      </c>
      <c r="DK281">
        <v>5.873015895485878E-2</v>
      </c>
      <c r="DL281">
        <v>8.8888891041278839E-2</v>
      </c>
      <c r="DM281">
        <v>9.5238097012042999E-2</v>
      </c>
      <c r="DN281">
        <v>6.9841273128986359E-2</v>
      </c>
      <c r="DO281">
        <v>6.3492067158222198E-2</v>
      </c>
      <c r="DP281">
        <v>5.238095298409462E-2</v>
      </c>
      <c r="DQ281">
        <v>8.7301589548587799E-2</v>
      </c>
      <c r="DR281">
        <v>5.55555559694767E-2</v>
      </c>
      <c r="DS281">
        <v>0.10000000149011612</v>
      </c>
      <c r="DT281">
        <v>8.7301589548587799E-2</v>
      </c>
      <c r="DU281">
        <v>7.6190479099750519E-2</v>
      </c>
      <c r="DV281">
        <v>9.2063494026660919E-2</v>
      </c>
      <c r="DW281">
        <v>5.079365149140358E-2</v>
      </c>
      <c r="DX281">
        <v>0.10158730298280716</v>
      </c>
      <c r="DY281">
        <v>9.3650795519351959E-2</v>
      </c>
      <c r="DZ281">
        <v>7.3015876114368439E-2</v>
      </c>
      <c r="EA281">
        <v>6.190476194024086E-2</v>
      </c>
      <c r="EB281">
        <v>7.3015876114368439E-2</v>
      </c>
      <c r="EC281">
        <v>8.2539685070514679E-2</v>
      </c>
      <c r="ED281">
        <v>0.10476190596818924</v>
      </c>
      <c r="EE281">
        <v>6.031746044754982E-2</v>
      </c>
      <c r="EF281">
        <v>8.8888891041278839E-2</v>
      </c>
      <c r="EG281">
        <v>5.55555559694767E-2</v>
      </c>
      <c r="EH281">
        <v>0.1111111119389534</v>
      </c>
      <c r="EI281">
        <v>8.0952383577823639E-2</v>
      </c>
      <c r="EJ281">
        <v>8.5714288055896759E-2</v>
      </c>
      <c r="EK281">
        <v>6.031746044754982E-2</v>
      </c>
      <c r="EL281">
        <v>8.0952383577823639E-2</v>
      </c>
      <c r="EM281">
        <v>6.8253971636295319E-2</v>
      </c>
      <c r="EN281">
        <v>6.9841273128986359E-2</v>
      </c>
      <c r="EO281">
        <v>0.12063492089509964</v>
      </c>
      <c r="EP281">
        <v>6.9841273128986359E-2</v>
      </c>
      <c r="EQ281">
        <v>6.5079368650913239E-2</v>
      </c>
      <c r="ER281">
        <v>8.0952383577823639E-2</v>
      </c>
      <c r="ES281">
        <v>0.1031746044754982</v>
      </c>
      <c r="ET281">
        <v>6.8253971636295319E-2</v>
      </c>
      <c r="EU281">
        <v>6.3492067158222198E-2</v>
      </c>
      <c r="EV281">
        <v>6.5079368650913239E-2</v>
      </c>
      <c r="EW281">
        <v>6.5079368650913239E-2</v>
      </c>
      <c r="EX281">
        <v>7.4603177607059479E-2</v>
      </c>
      <c r="EY281">
        <v>9.2063494026660919E-2</v>
      </c>
      <c r="EZ281">
        <v>7.6190479099750519E-2</v>
      </c>
      <c r="FA281">
        <v>5.238095298409462E-2</v>
      </c>
      <c r="FB281">
        <v>8.8888891041278839E-2</v>
      </c>
      <c r="FC281">
        <v>7.7777780592441559E-2</v>
      </c>
      <c r="FD281">
        <v>9.3650795519351959E-2</v>
      </c>
      <c r="FE281">
        <v>7.9365082085132599E-2</v>
      </c>
      <c r="FF281">
        <v>5.079365149140358E-2</v>
      </c>
      <c r="FG281">
        <v>9.5238097012042999E-2</v>
      </c>
      <c r="FH281">
        <v>7.9365082085132599E-2</v>
      </c>
      <c r="FI281">
        <v>5.079365149140358E-2</v>
      </c>
      <c r="FJ281">
        <v>7.1428574621677399E-2</v>
      </c>
      <c r="FK281">
        <v>8.8888891041278839E-2</v>
      </c>
      <c r="FL281">
        <v>7.3015876114368439E-2</v>
      </c>
      <c r="FM281">
        <v>7.4603177607059479E-2</v>
      </c>
      <c r="FN281">
        <v>7.1428574621677399E-2</v>
      </c>
      <c r="FO281">
        <v>7.6190479099750519E-2</v>
      </c>
      <c r="FP281">
        <v>0.11269841343164444</v>
      </c>
      <c r="FQ281">
        <v>7.4603177607059479E-2</v>
      </c>
      <c r="FR281">
        <v>9.3650795519351959E-2</v>
      </c>
      <c r="FS281">
        <v>8.4126986563205719E-2</v>
      </c>
      <c r="FT281">
        <v>7.7777780592441559E-2</v>
      </c>
      <c r="FU281">
        <v>6.5079368650913239E-2</v>
      </c>
      <c r="FV281">
        <v>4.76190485060215E-2</v>
      </c>
      <c r="FW281">
        <v>0.10158730298280716</v>
      </c>
      <c r="FX281">
        <v>8.0952383577823639E-2</v>
      </c>
      <c r="FY281">
        <v>0.11428571492433548</v>
      </c>
      <c r="FZ281">
        <v>6.5079368650913239E-2</v>
      </c>
      <c r="GA281">
        <v>7.7777780592441559E-2</v>
      </c>
      <c r="GB281">
        <v>6.031746044754982E-2</v>
      </c>
      <c r="GC281">
        <v>0.1031746044754982</v>
      </c>
      <c r="GD281">
        <v>7.3015876114368439E-2</v>
      </c>
      <c r="GE281">
        <v>9.6825398504734039E-2</v>
      </c>
      <c r="GF281">
        <v>0.10793650895357132</v>
      </c>
      <c r="GG281">
        <v>0.10793650895357132</v>
      </c>
      <c r="GH281">
        <v>5.396825447678566E-2</v>
      </c>
      <c r="GI281">
        <v>6.5079368650913239E-2</v>
      </c>
      <c r="GJ281">
        <v>4.920634999871254E-2</v>
      </c>
      <c r="GK281">
        <v>0.10793650895357132</v>
      </c>
      <c r="GL281">
        <v>5.396825447678566E-2</v>
      </c>
      <c r="GM281">
        <v>7.3015876114368439E-2</v>
      </c>
      <c r="GN281">
        <v>7.7777780592441559E-2</v>
      </c>
      <c r="GO281">
        <v>6.9841273128986359E-2</v>
      </c>
      <c r="GP281">
        <v>5.873015895485878E-2</v>
      </c>
      <c r="GQ281">
        <v>7.4603177607059479E-2</v>
      </c>
      <c r="GR281">
        <v>7.1428574621677399E-2</v>
      </c>
      <c r="GS281">
        <v>7.4603177607059479E-2</v>
      </c>
      <c r="GT281">
        <v>6.6666670143604279E-2</v>
      </c>
      <c r="GU281">
        <v>7.3015876114368439E-2</v>
      </c>
      <c r="GV281">
        <v>6.190476194024086E-2</v>
      </c>
      <c r="GW281">
        <v>9.6825398504734039E-2</v>
      </c>
      <c r="GX281">
        <v>9.3650795519351959E-2</v>
      </c>
      <c r="GY281">
        <v>9.0476192533969879E-2</v>
      </c>
      <c r="GZ281">
        <v>9.5238097012042999E-2</v>
      </c>
      <c r="HA281">
        <v>8.7301589548587799E-2</v>
      </c>
      <c r="HB281">
        <v>5.873015895485878E-2</v>
      </c>
      <c r="HC281">
        <v>0.1031746044754982</v>
      </c>
      <c r="HD281">
        <v>7.9365082085132599E-2</v>
      </c>
      <c r="HE281">
        <v>7.4603177607059479E-2</v>
      </c>
      <c r="HF281">
        <v>6.9841273128986359E-2</v>
      </c>
      <c r="HG281">
        <v>8.0952383577823639E-2</v>
      </c>
      <c r="HH281">
        <v>6.8253971636295319E-2</v>
      </c>
      <c r="HI281">
        <v>7.9365082085132599E-2</v>
      </c>
      <c r="HJ281">
        <v>9.6825398504734039E-2</v>
      </c>
      <c r="HK281">
        <v>5.714285746216774E-2</v>
      </c>
      <c r="HL281">
        <v>6.031746044754982E-2</v>
      </c>
      <c r="HM281">
        <v>4.76190485060215E-2</v>
      </c>
      <c r="HN281">
        <v>6.3492067158222198E-2</v>
      </c>
      <c r="HO281">
        <v>0.10000000149011612</v>
      </c>
      <c r="HP281">
        <v>8.0952383577823639E-2</v>
      </c>
      <c r="HQ281">
        <v>8.2539685070514679E-2</v>
      </c>
      <c r="HR281">
        <v>6.3492067158222198E-2</v>
      </c>
      <c r="HS281">
        <v>9.0476192533969879E-2</v>
      </c>
      <c r="HT281">
        <v>6.9841273128986359E-2</v>
      </c>
      <c r="HU281">
        <v>7.7777780592441559E-2</v>
      </c>
      <c r="HV281">
        <v>9.2063494026660919E-2</v>
      </c>
      <c r="HW281">
        <v>6.8253971636295319E-2</v>
      </c>
      <c r="HX281">
        <v>7.7777780592441559E-2</v>
      </c>
      <c r="HY281">
        <v>6.9841273128986359E-2</v>
      </c>
      <c r="HZ281">
        <v>5.396825447678566E-2</v>
      </c>
      <c r="IA281">
        <v>0.11428571492433548</v>
      </c>
      <c r="IB281">
        <v>6.8253971636295319E-2</v>
      </c>
      <c r="IC281">
        <v>6.190476194024086E-2</v>
      </c>
      <c r="ID281">
        <v>9.3650795519351959E-2</v>
      </c>
      <c r="IE281">
        <v>5.55555559694767E-2</v>
      </c>
      <c r="IF281">
        <v>0.1111111119389534</v>
      </c>
      <c r="IG281">
        <v>0.10634920746088028</v>
      </c>
      <c r="IH281">
        <v>7.1428574621677399E-2</v>
      </c>
      <c r="II281">
        <v>0.13015873730182648</v>
      </c>
      <c r="IJ281">
        <v>5.873015895485878E-2</v>
      </c>
      <c r="IK281">
        <v>6.5079368650913239E-2</v>
      </c>
      <c r="IL281">
        <v>6.9841273128986359E-2</v>
      </c>
      <c r="IM281">
        <v>9.0476192533969879E-2</v>
      </c>
      <c r="IN281">
        <v>6.8253971636295319E-2</v>
      </c>
      <c r="IO281">
        <v>8.2539685070514679E-2</v>
      </c>
      <c r="IP281">
        <v>6.3492067158222198E-2</v>
      </c>
      <c r="IQ281">
        <v>0.10952381044626236</v>
      </c>
      <c r="IR281">
        <v>7.3015876114368439E-2</v>
      </c>
      <c r="IS281">
        <v>7.9365082085132599E-2</v>
      </c>
      <c r="IT281">
        <v>8.0952383577823639E-2</v>
      </c>
      <c r="IU281">
        <v>4.444444552063942E-2</v>
      </c>
      <c r="IV281">
        <v>6.7226894199848175E-2</v>
      </c>
      <c r="IW281">
        <v>9.0756304562091827E-2</v>
      </c>
      <c r="IX281">
        <v>8.0672271549701691E-2</v>
      </c>
      <c r="IY281">
        <v>6.8907566368579865E-2</v>
      </c>
      <c r="IZ281">
        <v>0.10924369841814041</v>
      </c>
      <c r="JA281">
        <v>7.5630255043506622E-2</v>
      </c>
      <c r="JB281">
        <v>5.2100840955972672E-2</v>
      </c>
      <c r="JC281">
        <v>7.2268910706043243E-2</v>
      </c>
      <c r="JD281">
        <v>5.8823529630899429E-2</v>
      </c>
      <c r="JE281">
        <v>7.3949582874774933E-2</v>
      </c>
      <c r="JF281">
        <v>9.0756304562091827E-2</v>
      </c>
      <c r="JG281">
        <v>6.2184873968362808E-2</v>
      </c>
      <c r="JH281">
        <v>6.3865549862384796E-2</v>
      </c>
      <c r="JI281">
        <v>7.0588238537311554E-2</v>
      </c>
    </row>
    <row r="282" spans="4:276" x14ac:dyDescent="0.25">
      <c r="D282" s="41" t="str" cm="1">
        <f t="array" ref="D282">IF(H282="","",IF(AND(E282&lt;AVERAGE(E281,E283)*($L$19/100),$D$23:D281=""),H282,""))</f>
        <v/>
      </c>
      <c r="E282" s="78">
        <f t="shared" si="4"/>
        <v>3.4523363530635787E-3</v>
      </c>
      <c r="F282" s="79"/>
      <c r="H282">
        <v>260</v>
      </c>
      <c r="I282">
        <v>7.7502336353063583E-2</v>
      </c>
      <c r="K282">
        <v>7.7777780592441559E-2</v>
      </c>
      <c r="L282">
        <v>4.920634999871254E-2</v>
      </c>
      <c r="M282">
        <v>5.873015895485878E-2</v>
      </c>
      <c r="N282">
        <v>8.5714288055896759E-2</v>
      </c>
      <c r="O282">
        <v>5.873015895485878E-2</v>
      </c>
      <c r="P282">
        <v>8.2539685070514679E-2</v>
      </c>
      <c r="Q282">
        <v>6.9841273128986359E-2</v>
      </c>
      <c r="R282">
        <v>6.6666670143604279E-2</v>
      </c>
      <c r="S282">
        <v>0.10000000149011612</v>
      </c>
      <c r="T282">
        <v>7.6190479099750519E-2</v>
      </c>
      <c r="U282">
        <v>9.0476192533969879E-2</v>
      </c>
      <c r="V282">
        <v>0.12222222238779068</v>
      </c>
      <c r="W282">
        <v>6.9841273128986359E-2</v>
      </c>
      <c r="X282">
        <v>9.3650795519351959E-2</v>
      </c>
      <c r="Y282">
        <v>6.190476194024086E-2</v>
      </c>
      <c r="Z282">
        <v>8.2539685070514679E-2</v>
      </c>
      <c r="AA282">
        <v>6.190476194024086E-2</v>
      </c>
      <c r="AB282">
        <v>6.3492067158222198E-2</v>
      </c>
      <c r="AC282">
        <v>0.12857143580913544</v>
      </c>
      <c r="AD282">
        <v>9.2063494026660919E-2</v>
      </c>
      <c r="AE282">
        <v>6.5079368650913239E-2</v>
      </c>
      <c r="AF282">
        <v>8.7301589548587799E-2</v>
      </c>
      <c r="AG282">
        <v>7.4603177607059479E-2</v>
      </c>
      <c r="AH282">
        <v>6.190476194024086E-2</v>
      </c>
      <c r="AI282">
        <v>8.5714288055896759E-2</v>
      </c>
      <c r="AJ282">
        <v>6.3492067158222198E-2</v>
      </c>
      <c r="AK282">
        <v>8.7301589548587799E-2</v>
      </c>
      <c r="AL282">
        <v>4.444444552063942E-2</v>
      </c>
      <c r="AM282">
        <v>5.714285746216774E-2</v>
      </c>
      <c r="AN282">
        <v>6.9841273128986359E-2</v>
      </c>
      <c r="AO282">
        <v>6.3492067158222198E-2</v>
      </c>
      <c r="AP282">
        <v>9.6825398504734039E-2</v>
      </c>
      <c r="AQ282">
        <v>5.55555559694767E-2</v>
      </c>
      <c r="AR282">
        <v>6.3492067158222198E-2</v>
      </c>
      <c r="AS282">
        <v>7.3015876114368439E-2</v>
      </c>
      <c r="AT282">
        <v>5.714285746216774E-2</v>
      </c>
      <c r="AU282">
        <v>6.9841273128986359E-2</v>
      </c>
      <c r="AV282">
        <v>8.8888891041278839E-2</v>
      </c>
      <c r="AW282">
        <v>7.3015876114368439E-2</v>
      </c>
      <c r="AX282">
        <v>8.7301589548587799E-2</v>
      </c>
      <c r="AY282">
        <v>0.11746031790971756</v>
      </c>
      <c r="AZ282">
        <v>7.3015876114368439E-2</v>
      </c>
      <c r="BA282">
        <v>6.9841273128986359E-2</v>
      </c>
      <c r="BB282">
        <v>7.3015876114368439E-2</v>
      </c>
      <c r="BC282">
        <v>8.7301589548587799E-2</v>
      </c>
      <c r="BD282">
        <v>8.2539685070514679E-2</v>
      </c>
      <c r="BE282">
        <v>9.3650795519351959E-2</v>
      </c>
      <c r="BF282">
        <v>7.1428574621677399E-2</v>
      </c>
      <c r="BG282">
        <v>6.3492067158222198E-2</v>
      </c>
      <c r="BH282">
        <v>9.3650795519351959E-2</v>
      </c>
      <c r="BI282">
        <v>5.238095298409462E-2</v>
      </c>
      <c r="BJ282">
        <v>5.714285746216774E-2</v>
      </c>
      <c r="BK282">
        <v>6.190476194024086E-2</v>
      </c>
      <c r="BL282">
        <v>8.4126986563205719E-2</v>
      </c>
      <c r="BM282">
        <v>5.714285746216774E-2</v>
      </c>
      <c r="BN282">
        <v>7.9365082085132599E-2</v>
      </c>
      <c r="BO282">
        <v>8.4126986563205719E-2</v>
      </c>
      <c r="BP282">
        <v>6.9841273128986359E-2</v>
      </c>
      <c r="BQ282">
        <v>0.10000000149011612</v>
      </c>
      <c r="BR282">
        <v>0.12222222238779068</v>
      </c>
      <c r="BS282">
        <v>6.5079368650913239E-2</v>
      </c>
      <c r="BT282">
        <v>9.0476192533969879E-2</v>
      </c>
      <c r="BU282">
        <v>8.4126986563205719E-2</v>
      </c>
      <c r="BV282">
        <v>8.5714288055896759E-2</v>
      </c>
      <c r="BW282">
        <v>8.4126986563205719E-2</v>
      </c>
      <c r="BX282">
        <v>6.5079368650913239E-2</v>
      </c>
      <c r="BY282">
        <v>9.2063494026660919E-2</v>
      </c>
      <c r="BZ282">
        <v>6.3492067158222198E-2</v>
      </c>
      <c r="CA282">
        <v>0.11428571492433548</v>
      </c>
      <c r="CB282">
        <v>7.1428574621677399E-2</v>
      </c>
      <c r="CC282">
        <v>8.0952383577823639E-2</v>
      </c>
      <c r="CD282">
        <v>6.3492067158222198E-2</v>
      </c>
      <c r="CE282">
        <v>7.3015876114368439E-2</v>
      </c>
      <c r="CF282">
        <v>0.10952381044626236</v>
      </c>
      <c r="CG282">
        <v>6.3492067158222198E-2</v>
      </c>
      <c r="CH282">
        <v>9.8412699997425079E-2</v>
      </c>
      <c r="CI282">
        <v>0.14444445073604584</v>
      </c>
      <c r="CJ282">
        <v>6.190476194024086E-2</v>
      </c>
      <c r="CK282">
        <v>9.0476192533969879E-2</v>
      </c>
      <c r="CL282">
        <v>5.396825447678566E-2</v>
      </c>
      <c r="CM282">
        <v>6.9841273128986359E-2</v>
      </c>
      <c r="CN282">
        <v>0.10476190596818924</v>
      </c>
      <c r="CO282">
        <v>8.0952383577823639E-2</v>
      </c>
      <c r="CP282">
        <v>9.5238097012042999E-2</v>
      </c>
      <c r="CQ282">
        <v>6.8253971636295319E-2</v>
      </c>
      <c r="CR282">
        <v>6.6666670143604279E-2</v>
      </c>
      <c r="CS282">
        <v>8.4126986563205719E-2</v>
      </c>
      <c r="CT282">
        <v>4.1269842535257339E-2</v>
      </c>
      <c r="CU282">
        <v>6.9841273128986359E-2</v>
      </c>
      <c r="CV282">
        <v>0.11428571492433548</v>
      </c>
      <c r="CW282">
        <v>9.0476192533969879E-2</v>
      </c>
      <c r="CX282">
        <v>6.031746044754982E-2</v>
      </c>
      <c r="CY282">
        <v>8.2539685070514679E-2</v>
      </c>
      <c r="CZ282">
        <v>6.9841273128986359E-2</v>
      </c>
      <c r="DA282">
        <v>5.55555559694767E-2</v>
      </c>
      <c r="DB282">
        <v>0.10952381044626236</v>
      </c>
      <c r="DC282">
        <v>9.0476192533969879E-2</v>
      </c>
      <c r="DD282">
        <v>7.7777780592441559E-2</v>
      </c>
      <c r="DE282">
        <v>6.8253971636295319E-2</v>
      </c>
      <c r="DF282">
        <v>6.8253971636295319E-2</v>
      </c>
      <c r="DG282">
        <v>8.7301589548587799E-2</v>
      </c>
      <c r="DH282">
        <v>0.11428571492433548</v>
      </c>
      <c r="DI282">
        <v>6.031746044754982E-2</v>
      </c>
      <c r="DJ282">
        <v>6.8253971636295319E-2</v>
      </c>
      <c r="DK282">
        <v>7.6190479099750519E-2</v>
      </c>
      <c r="DL282">
        <v>5.238095298409462E-2</v>
      </c>
      <c r="DM282">
        <v>8.4126986563205719E-2</v>
      </c>
      <c r="DN282">
        <v>9.6825398504734039E-2</v>
      </c>
      <c r="DO282">
        <v>6.9841273128986359E-2</v>
      </c>
      <c r="DP282">
        <v>5.714285746216774E-2</v>
      </c>
      <c r="DQ282">
        <v>8.7301589548587799E-2</v>
      </c>
      <c r="DR282">
        <v>5.55555559694767E-2</v>
      </c>
      <c r="DS282">
        <v>9.0476192533969879E-2</v>
      </c>
      <c r="DT282">
        <v>7.9365082085132599E-2</v>
      </c>
      <c r="DU282">
        <v>6.190476194024086E-2</v>
      </c>
      <c r="DV282">
        <v>7.6190479099750519E-2</v>
      </c>
      <c r="DW282">
        <v>6.190476194024086E-2</v>
      </c>
      <c r="DX282">
        <v>0.10158730298280716</v>
      </c>
      <c r="DY282">
        <v>8.0952383577823639E-2</v>
      </c>
      <c r="DZ282">
        <v>7.3015876114368439E-2</v>
      </c>
      <c r="EA282">
        <v>5.714285746216774E-2</v>
      </c>
      <c r="EB282">
        <v>9.8412699997425079E-2</v>
      </c>
      <c r="EC282">
        <v>4.920634999871254E-2</v>
      </c>
      <c r="ED282">
        <v>7.1428574621677399E-2</v>
      </c>
      <c r="EE282">
        <v>5.396825447678566E-2</v>
      </c>
      <c r="EF282">
        <v>8.0952383577823639E-2</v>
      </c>
      <c r="EG282">
        <v>0.10476190596818924</v>
      </c>
      <c r="EH282">
        <v>8.0952383577823639E-2</v>
      </c>
      <c r="EI282">
        <v>5.714285746216774E-2</v>
      </c>
      <c r="EJ282">
        <v>6.190476194024086E-2</v>
      </c>
      <c r="EK282">
        <v>9.3650795519351959E-2</v>
      </c>
      <c r="EL282">
        <v>5.238095298409462E-2</v>
      </c>
      <c r="EM282">
        <v>7.3015876114368439E-2</v>
      </c>
      <c r="EN282">
        <v>0.11587301641702652</v>
      </c>
      <c r="EO282">
        <v>6.5079368650913239E-2</v>
      </c>
      <c r="EP282">
        <v>6.6666670143604279E-2</v>
      </c>
      <c r="EQ282">
        <v>7.4603177607059479E-2</v>
      </c>
      <c r="ER282">
        <v>7.9365082085132599E-2</v>
      </c>
      <c r="ES282">
        <v>6.031746044754982E-2</v>
      </c>
      <c r="ET282">
        <v>0.10476190596818924</v>
      </c>
      <c r="EU282">
        <v>9.2063494026660919E-2</v>
      </c>
      <c r="EV282">
        <v>7.3015876114368439E-2</v>
      </c>
      <c r="EW282">
        <v>8.5714288055896759E-2</v>
      </c>
      <c r="EX282">
        <v>7.1428574621677399E-2</v>
      </c>
      <c r="EY282">
        <v>9.0476192533969879E-2</v>
      </c>
      <c r="EZ282">
        <v>5.55555559694767E-2</v>
      </c>
      <c r="FA282">
        <v>0.10952381044626236</v>
      </c>
      <c r="FB282">
        <v>6.8253971636295319E-2</v>
      </c>
      <c r="FC282">
        <v>6.3492067158222198E-2</v>
      </c>
      <c r="FD282">
        <v>8.2539685070514679E-2</v>
      </c>
      <c r="FE282">
        <v>7.6190479099750519E-2</v>
      </c>
      <c r="FF282">
        <v>7.4603177607059479E-2</v>
      </c>
      <c r="FG282">
        <v>7.6190479099750519E-2</v>
      </c>
      <c r="FH282">
        <v>5.873015895485878E-2</v>
      </c>
      <c r="FI282">
        <v>7.4603177607059479E-2</v>
      </c>
      <c r="FJ282">
        <v>9.2063494026660919E-2</v>
      </c>
      <c r="FK282">
        <v>6.3492067158222198E-2</v>
      </c>
      <c r="FL282">
        <v>6.6666670143604279E-2</v>
      </c>
      <c r="FM282">
        <v>7.7777780592441559E-2</v>
      </c>
      <c r="FN282">
        <v>6.031746044754982E-2</v>
      </c>
      <c r="FO282">
        <v>8.8888891041278839E-2</v>
      </c>
      <c r="FP282">
        <v>8.5714288055896759E-2</v>
      </c>
      <c r="FQ282">
        <v>6.9841273128986359E-2</v>
      </c>
      <c r="FR282">
        <v>6.190476194024086E-2</v>
      </c>
      <c r="FS282">
        <v>6.6666670143604279E-2</v>
      </c>
      <c r="FT282">
        <v>5.079365149140358E-2</v>
      </c>
      <c r="FU282">
        <v>6.190476194024086E-2</v>
      </c>
      <c r="FV282">
        <v>6.9841273128986359E-2</v>
      </c>
      <c r="FW282">
        <v>9.8412699997425079E-2</v>
      </c>
      <c r="FX282">
        <v>7.4603177607059479E-2</v>
      </c>
      <c r="FY282">
        <v>7.3015876114368439E-2</v>
      </c>
      <c r="FZ282">
        <v>6.190476194024086E-2</v>
      </c>
      <c r="GA282">
        <v>8.7301589548587799E-2</v>
      </c>
      <c r="GB282">
        <v>5.873015895485878E-2</v>
      </c>
      <c r="GC282">
        <v>9.8412699997425079E-2</v>
      </c>
      <c r="GD282">
        <v>5.873015895485878E-2</v>
      </c>
      <c r="GE282">
        <v>7.1428574621677399E-2</v>
      </c>
      <c r="GF282">
        <v>9.8412699997425079E-2</v>
      </c>
      <c r="GG282">
        <v>6.9841273128986359E-2</v>
      </c>
      <c r="GH282">
        <v>8.4126986563205719E-2</v>
      </c>
      <c r="GI282">
        <v>7.1428574621677399E-2</v>
      </c>
      <c r="GJ282">
        <v>8.2539685070514679E-2</v>
      </c>
      <c r="GK282">
        <v>8.5714288055896759E-2</v>
      </c>
      <c r="GL282">
        <v>6.3492067158222198E-2</v>
      </c>
      <c r="GM282">
        <v>8.7301589548587799E-2</v>
      </c>
      <c r="GN282">
        <v>6.6666670143604279E-2</v>
      </c>
      <c r="GO282">
        <v>0.1111111119389534</v>
      </c>
      <c r="GP282">
        <v>7.4603177607059479E-2</v>
      </c>
      <c r="GQ282">
        <v>0.11746031790971756</v>
      </c>
      <c r="GR282">
        <v>9.3650795519351959E-2</v>
      </c>
      <c r="GS282">
        <v>6.031746044754982E-2</v>
      </c>
      <c r="GT282">
        <v>0.11587301641702652</v>
      </c>
      <c r="GU282">
        <v>6.031746044754982E-2</v>
      </c>
      <c r="GV282">
        <v>4.603174701333046E-2</v>
      </c>
      <c r="GW282">
        <v>5.873015895485878E-2</v>
      </c>
      <c r="GX282">
        <v>0.11746031790971756</v>
      </c>
      <c r="GY282">
        <v>7.9365082085132599E-2</v>
      </c>
      <c r="GZ282">
        <v>7.4603177607059479E-2</v>
      </c>
      <c r="HA282">
        <v>8.4126986563205719E-2</v>
      </c>
      <c r="HB282">
        <v>0.1031746044754982</v>
      </c>
      <c r="HC282">
        <v>8.0952383577823639E-2</v>
      </c>
      <c r="HD282">
        <v>5.714285746216774E-2</v>
      </c>
      <c r="HE282">
        <v>8.7301589548587799E-2</v>
      </c>
      <c r="HF282">
        <v>7.3015876114368439E-2</v>
      </c>
      <c r="HG282">
        <v>6.5079368650913239E-2</v>
      </c>
      <c r="HH282">
        <v>9.0476192533969879E-2</v>
      </c>
      <c r="HI282">
        <v>6.9841273128986359E-2</v>
      </c>
      <c r="HJ282">
        <v>6.5079368650913239E-2</v>
      </c>
      <c r="HK282">
        <v>6.3492067158222198E-2</v>
      </c>
      <c r="HL282">
        <v>5.873015895485878E-2</v>
      </c>
      <c r="HM282">
        <v>6.2184873968362808E-2</v>
      </c>
      <c r="HN282">
        <v>7.2268910706043243E-2</v>
      </c>
      <c r="HO282">
        <v>7.5630255043506622E-2</v>
      </c>
      <c r="HP282">
        <v>7.7310927212238312E-2</v>
      </c>
      <c r="HQ282">
        <v>8.403361588716507E-2</v>
      </c>
      <c r="HR282">
        <v>0.13445378839969635</v>
      </c>
      <c r="HS282">
        <v>5.3781513124704361E-2</v>
      </c>
      <c r="HT282">
        <v>8.5714288055896759E-2</v>
      </c>
      <c r="HU282">
        <v>8.7394960224628448E-2</v>
      </c>
      <c r="HV282">
        <v>7.3949582874774933E-2</v>
      </c>
      <c r="HW282">
        <v>9.2436976730823517E-2</v>
      </c>
      <c r="HX282">
        <v>4.7058824449777603E-2</v>
      </c>
      <c r="HY282">
        <v>8.403361588716507E-2</v>
      </c>
      <c r="HZ282">
        <v>8.5714288055896759E-2</v>
      </c>
      <c r="IA282">
        <v>0.10252100974321365</v>
      </c>
      <c r="IB282">
        <v>7.3949582874774933E-2</v>
      </c>
      <c r="IC282">
        <v>0.11764705926179886</v>
      </c>
      <c r="ID282">
        <v>8.403361588716507E-2</v>
      </c>
      <c r="IE282">
        <v>6.8907566368579865E-2</v>
      </c>
      <c r="IF282">
        <v>0.10252100974321365</v>
      </c>
      <c r="IG282">
        <v>7.7310927212238312E-2</v>
      </c>
      <c r="IH282">
        <v>4.7058824449777603E-2</v>
      </c>
      <c r="II282">
        <v>0.1109243705868721</v>
      </c>
      <c r="IJ282">
        <v>6.5546222031116486E-2</v>
      </c>
      <c r="IK282">
        <v>7.7310927212238312E-2</v>
      </c>
      <c r="IL282">
        <v>9.9159665405750275E-2</v>
      </c>
      <c r="IM282">
        <v>7.3949582874774933E-2</v>
      </c>
      <c r="IN282">
        <v>7.7310927212238312E-2</v>
      </c>
      <c r="IO282">
        <v>0.12100840359926224</v>
      </c>
      <c r="IP282">
        <v>4.8739496618509293E-2</v>
      </c>
      <c r="IQ282">
        <v>6.3865549862384796E-2</v>
      </c>
      <c r="IR282">
        <v>8.5714288055896759E-2</v>
      </c>
      <c r="IS282">
        <v>4.3697480112314224E-2</v>
      </c>
      <c r="IT282">
        <v>5.546218529343605E-2</v>
      </c>
      <c r="IU282">
        <v>0.10084033757448196</v>
      </c>
      <c r="IV282">
        <v>8.0672271549701691E-2</v>
      </c>
      <c r="IW282">
        <v>6.0504201799631119E-2</v>
      </c>
      <c r="IX282">
        <v>8.0672271549701691E-2</v>
      </c>
      <c r="IY282">
        <v>5.714285746216774E-2</v>
      </c>
      <c r="IZ282">
        <v>6.2184873968362808E-2</v>
      </c>
      <c r="JA282">
        <v>9.0756304562091827E-2</v>
      </c>
      <c r="JB282">
        <v>5.714285746216774E-2</v>
      </c>
      <c r="JC282">
        <v>7.8991599380970001E-2</v>
      </c>
      <c r="JD282">
        <v>6.8907566368579865E-2</v>
      </c>
      <c r="JE282">
        <v>8.235294371843338E-2</v>
      </c>
      <c r="JF282">
        <v>7.5630255043506622E-2</v>
      </c>
      <c r="JG282">
        <v>8.235294371843338E-2</v>
      </c>
      <c r="JH282">
        <v>7.0588238537311554E-2</v>
      </c>
      <c r="JI282">
        <v>7.3949582874774933E-2</v>
      </c>
      <c r="JJ282">
        <v>7.5630255043506622E-2</v>
      </c>
    </row>
    <row r="283" spans="4:276" x14ac:dyDescent="0.25">
      <c r="D283" s="41" t="str" cm="1">
        <f t="array" ref="D283">IF(H283="","",IF(AND(E283&lt;AVERAGE(E282,E284)*($L$19/100),$D$23:D282=""),H283,""))</f>
        <v/>
      </c>
      <c r="E283" s="78">
        <f t="shared" si="4"/>
        <v>1.8975714316541575E-3</v>
      </c>
      <c r="F283" s="79"/>
      <c r="H283">
        <v>261</v>
      </c>
      <c r="I283">
        <v>7.5947571431654162E-2</v>
      </c>
      <c r="K283">
        <v>6.8253971636295319E-2</v>
      </c>
      <c r="L283">
        <v>7.1428574621677399E-2</v>
      </c>
      <c r="M283">
        <v>0.12380952388048172</v>
      </c>
      <c r="N283">
        <v>6.6666670143604279E-2</v>
      </c>
      <c r="O283">
        <v>9.8412699997425079E-2</v>
      </c>
      <c r="P283">
        <v>6.190476194024086E-2</v>
      </c>
      <c r="Q283">
        <v>5.873015895485878E-2</v>
      </c>
      <c r="R283">
        <v>9.8412699997425079E-2</v>
      </c>
      <c r="S283">
        <v>6.190476194024086E-2</v>
      </c>
      <c r="T283">
        <v>5.714285746216774E-2</v>
      </c>
      <c r="U283">
        <v>9.3650795519351959E-2</v>
      </c>
      <c r="V283">
        <v>6.9841273128986359E-2</v>
      </c>
      <c r="W283">
        <v>6.6666670143604279E-2</v>
      </c>
      <c r="X283">
        <v>7.7777780592441559E-2</v>
      </c>
      <c r="Y283">
        <v>9.3650795519351959E-2</v>
      </c>
      <c r="Z283">
        <v>5.714285746216774E-2</v>
      </c>
      <c r="AA283">
        <v>5.55555559694767E-2</v>
      </c>
      <c r="AB283">
        <v>7.3015876114368439E-2</v>
      </c>
      <c r="AC283">
        <v>5.714285746216774E-2</v>
      </c>
      <c r="AD283">
        <v>6.031746044754982E-2</v>
      </c>
      <c r="AE283">
        <v>7.1428574621677399E-2</v>
      </c>
      <c r="AF283">
        <v>6.8253971636295319E-2</v>
      </c>
      <c r="AG283">
        <v>0.10793650895357132</v>
      </c>
      <c r="AH283">
        <v>4.603174701333046E-2</v>
      </c>
      <c r="AI283">
        <v>8.2539685070514679E-2</v>
      </c>
      <c r="AJ283">
        <v>6.3492067158222198E-2</v>
      </c>
      <c r="AK283">
        <v>7.3015876114368439E-2</v>
      </c>
      <c r="AL283">
        <v>5.873015895485878E-2</v>
      </c>
      <c r="AM283">
        <v>6.190476194024086E-2</v>
      </c>
      <c r="AN283">
        <v>0.11428571492433548</v>
      </c>
      <c r="AO283">
        <v>8.5714288055896759E-2</v>
      </c>
      <c r="AP283">
        <v>6.8253971636295319E-2</v>
      </c>
      <c r="AQ283">
        <v>8.4126986563205719E-2</v>
      </c>
      <c r="AR283">
        <v>7.3015876114368439E-2</v>
      </c>
      <c r="AS283">
        <v>0.1031746044754982</v>
      </c>
      <c r="AT283">
        <v>5.396825447678566E-2</v>
      </c>
      <c r="AU283">
        <v>5.396825447678566E-2</v>
      </c>
      <c r="AV283">
        <v>0.10000000149011612</v>
      </c>
      <c r="AW283">
        <v>9.6825398504734039E-2</v>
      </c>
      <c r="AX283">
        <v>5.714285746216774E-2</v>
      </c>
      <c r="AY283">
        <v>0.13968254625797272</v>
      </c>
      <c r="AZ283">
        <v>6.190476194024086E-2</v>
      </c>
      <c r="BA283">
        <v>9.2063494026660919E-2</v>
      </c>
      <c r="BB283">
        <v>5.714285746216774E-2</v>
      </c>
      <c r="BC283">
        <v>6.190476194024086E-2</v>
      </c>
      <c r="BD283">
        <v>8.4126986563205719E-2</v>
      </c>
      <c r="BE283">
        <v>9.6825398504734039E-2</v>
      </c>
      <c r="BF283">
        <v>0.10793650895357132</v>
      </c>
      <c r="BG283">
        <v>7.7777780592441559E-2</v>
      </c>
      <c r="BH283">
        <v>7.7777780592441559E-2</v>
      </c>
      <c r="BI283">
        <v>5.714285746216774E-2</v>
      </c>
      <c r="BJ283">
        <v>9.0476192533969879E-2</v>
      </c>
      <c r="BK283">
        <v>6.9841273128986359E-2</v>
      </c>
      <c r="BL283">
        <v>6.6666670143604279E-2</v>
      </c>
      <c r="BM283">
        <v>9.2063494026660919E-2</v>
      </c>
      <c r="BN283">
        <v>6.9841273128986359E-2</v>
      </c>
      <c r="BO283">
        <v>0.10634920746088028</v>
      </c>
      <c r="BP283">
        <v>5.079365149140358E-2</v>
      </c>
      <c r="BQ283">
        <v>6.9841273128986359E-2</v>
      </c>
      <c r="BR283">
        <v>6.9841273128986359E-2</v>
      </c>
      <c r="BS283">
        <v>8.7301589548587799E-2</v>
      </c>
      <c r="BT283">
        <v>0.11746031790971756</v>
      </c>
      <c r="BU283">
        <v>7.1428574621677399E-2</v>
      </c>
      <c r="BV283">
        <v>8.0952383577823639E-2</v>
      </c>
      <c r="BW283">
        <v>5.873015895485878E-2</v>
      </c>
      <c r="BX283">
        <v>7.6190479099750519E-2</v>
      </c>
      <c r="BY283">
        <v>6.3492067158222198E-2</v>
      </c>
      <c r="BZ283">
        <v>6.9841273128986359E-2</v>
      </c>
      <c r="CA283">
        <v>9.3650795519351959E-2</v>
      </c>
      <c r="CB283">
        <v>6.9841273128986359E-2</v>
      </c>
      <c r="CC283">
        <v>9.3650795519351959E-2</v>
      </c>
      <c r="CD283">
        <v>7.7777780592441559E-2</v>
      </c>
      <c r="CE283">
        <v>0.11269841343164444</v>
      </c>
      <c r="CF283">
        <v>0.10952381044626236</v>
      </c>
      <c r="CG283">
        <v>6.9841273128986359E-2</v>
      </c>
      <c r="CH283">
        <v>6.3492067158222198E-2</v>
      </c>
      <c r="CI283">
        <v>7.3015876114368439E-2</v>
      </c>
      <c r="CJ283">
        <v>9.6825398504734039E-2</v>
      </c>
      <c r="CK283">
        <v>7.6190479099750519E-2</v>
      </c>
      <c r="CL283">
        <v>6.3492067158222198E-2</v>
      </c>
      <c r="CM283">
        <v>6.6666670143604279E-2</v>
      </c>
      <c r="CN283">
        <v>5.873015895485878E-2</v>
      </c>
      <c r="CO283">
        <v>9.8412699997425079E-2</v>
      </c>
      <c r="CP283">
        <v>6.190476194024086E-2</v>
      </c>
      <c r="CQ283">
        <v>6.6666670143604279E-2</v>
      </c>
      <c r="CR283">
        <v>7.6190479099750519E-2</v>
      </c>
      <c r="CS283">
        <v>6.5079368650913239E-2</v>
      </c>
      <c r="CT283">
        <v>7.6190479099750519E-2</v>
      </c>
      <c r="CU283">
        <v>8.7301589548587799E-2</v>
      </c>
      <c r="CV283">
        <v>0.11587301641702652</v>
      </c>
      <c r="CW283">
        <v>6.5079368650913239E-2</v>
      </c>
      <c r="CX283">
        <v>6.9841273128986359E-2</v>
      </c>
      <c r="CY283">
        <v>0.10158730298280716</v>
      </c>
      <c r="CZ283">
        <v>7.1428574621677399E-2</v>
      </c>
      <c r="DA283">
        <v>4.920634999871254E-2</v>
      </c>
      <c r="DB283">
        <v>0.1111111119389534</v>
      </c>
      <c r="DC283">
        <v>8.2539685070514679E-2</v>
      </c>
      <c r="DD283">
        <v>5.714285746216774E-2</v>
      </c>
      <c r="DE283">
        <v>6.8253971636295319E-2</v>
      </c>
      <c r="DF283">
        <v>7.4603177607059479E-2</v>
      </c>
      <c r="DG283">
        <v>5.238095298409462E-2</v>
      </c>
      <c r="DH283">
        <v>7.6190479099750519E-2</v>
      </c>
      <c r="DI283">
        <v>7.6190479099750519E-2</v>
      </c>
      <c r="DJ283">
        <v>7.7777780592441559E-2</v>
      </c>
      <c r="DK283">
        <v>7.3015876114368439E-2</v>
      </c>
      <c r="DL283">
        <v>7.1428574621677399E-2</v>
      </c>
      <c r="DM283">
        <v>0.13650794327259064</v>
      </c>
      <c r="DN283">
        <v>8.2539685070514679E-2</v>
      </c>
      <c r="DO283">
        <v>6.6666670143604279E-2</v>
      </c>
      <c r="DP283">
        <v>0.12857143580913544</v>
      </c>
      <c r="DQ283">
        <v>8.8888891041278839E-2</v>
      </c>
      <c r="DR283">
        <v>6.190476194024086E-2</v>
      </c>
      <c r="DS283">
        <v>9.0476192533969879E-2</v>
      </c>
      <c r="DT283">
        <v>5.714285746216774E-2</v>
      </c>
      <c r="DU283">
        <v>6.031746044754982E-2</v>
      </c>
      <c r="DV283">
        <v>8.4126986563205719E-2</v>
      </c>
      <c r="DW283">
        <v>8.0952383577823639E-2</v>
      </c>
      <c r="DX283">
        <v>8.4126986563205719E-2</v>
      </c>
      <c r="DY283">
        <v>7.6190479099750519E-2</v>
      </c>
      <c r="DZ283">
        <v>7.3015876114368439E-2</v>
      </c>
      <c r="EA283">
        <v>7.1428574621677399E-2</v>
      </c>
      <c r="EB283">
        <v>5.396825447678566E-2</v>
      </c>
      <c r="EC283">
        <v>0.10634920746088028</v>
      </c>
      <c r="ED283">
        <v>6.031746044754982E-2</v>
      </c>
      <c r="EE283">
        <v>5.55555559694767E-2</v>
      </c>
      <c r="EF283">
        <v>5.873015895485878E-2</v>
      </c>
      <c r="EG283">
        <v>9.8412699997425079E-2</v>
      </c>
      <c r="EH283">
        <v>6.5079368650913239E-2</v>
      </c>
      <c r="EI283">
        <v>5.55555559694767E-2</v>
      </c>
      <c r="EJ283">
        <v>9.8412699997425079E-2</v>
      </c>
      <c r="EK283">
        <v>8.7301589548587799E-2</v>
      </c>
      <c r="EL283">
        <v>6.5079368650913239E-2</v>
      </c>
      <c r="EM283">
        <v>6.5079368650913239E-2</v>
      </c>
      <c r="EN283">
        <v>7.4603177607059479E-2</v>
      </c>
      <c r="EO283">
        <v>6.6666670143604279E-2</v>
      </c>
      <c r="EP283">
        <v>5.238095298409462E-2</v>
      </c>
      <c r="EQ283">
        <v>7.4603177607059479E-2</v>
      </c>
      <c r="ER283">
        <v>7.4603177607059479E-2</v>
      </c>
      <c r="ES283">
        <v>7.4603177607059479E-2</v>
      </c>
      <c r="ET283">
        <v>5.714285746216774E-2</v>
      </c>
      <c r="EU283">
        <v>7.4603177607059479E-2</v>
      </c>
      <c r="EV283">
        <v>7.4603177607059479E-2</v>
      </c>
      <c r="EW283">
        <v>6.6666670143604279E-2</v>
      </c>
      <c r="EX283">
        <v>8.2539685070514679E-2</v>
      </c>
      <c r="EY283">
        <v>6.3492067158222198E-2</v>
      </c>
      <c r="EZ283">
        <v>0.12539683282375336</v>
      </c>
      <c r="FA283">
        <v>5.396825447678566E-2</v>
      </c>
      <c r="FB283">
        <v>5.714285746216774E-2</v>
      </c>
      <c r="FC283">
        <v>7.3015876114368439E-2</v>
      </c>
      <c r="FD283">
        <v>6.9841273128986359E-2</v>
      </c>
      <c r="FE283">
        <v>5.714285746216774E-2</v>
      </c>
      <c r="FF283">
        <v>7.6190479099750519E-2</v>
      </c>
      <c r="FG283">
        <v>6.8253971636295319E-2</v>
      </c>
      <c r="FH283">
        <v>7.6190479099750519E-2</v>
      </c>
      <c r="FI283">
        <v>9.8412699997425079E-2</v>
      </c>
      <c r="FJ283">
        <v>6.8253971636295319E-2</v>
      </c>
      <c r="FK283">
        <v>0.1190476194024086</v>
      </c>
      <c r="FL283">
        <v>6.5079368650913239E-2</v>
      </c>
      <c r="FM283">
        <v>7.1428574621677399E-2</v>
      </c>
      <c r="FN283">
        <v>8.0952383577823639E-2</v>
      </c>
      <c r="FO283">
        <v>6.6666670143604279E-2</v>
      </c>
      <c r="FP283">
        <v>5.714285746216774E-2</v>
      </c>
      <c r="FQ283">
        <v>6.8253971636295319E-2</v>
      </c>
      <c r="FR283">
        <v>6.031746044754982E-2</v>
      </c>
      <c r="FS283">
        <v>7.7777780592441559E-2</v>
      </c>
      <c r="FT283">
        <v>8.2539685070514679E-2</v>
      </c>
      <c r="FU283">
        <v>9.3650795519351959E-2</v>
      </c>
      <c r="FV283">
        <v>7.6190479099750519E-2</v>
      </c>
      <c r="FW283">
        <v>0.1349206417798996</v>
      </c>
      <c r="FX283">
        <v>6.190476194024086E-2</v>
      </c>
      <c r="FY283">
        <v>8.7301589548587799E-2</v>
      </c>
      <c r="FZ283">
        <v>8.7301589548587799E-2</v>
      </c>
      <c r="GA283">
        <v>9.2063494026660919E-2</v>
      </c>
      <c r="GB283">
        <v>7.4603177607059479E-2</v>
      </c>
      <c r="GC283">
        <v>0.10476190596818924</v>
      </c>
      <c r="GD283">
        <v>8.0672271549701691E-2</v>
      </c>
      <c r="GE283">
        <v>9.7478993237018585E-2</v>
      </c>
      <c r="GF283">
        <v>7.8991599380970001E-2</v>
      </c>
      <c r="GG283">
        <v>5.714285746216774E-2</v>
      </c>
      <c r="GH283">
        <v>0.1109243705868721</v>
      </c>
      <c r="GI283">
        <v>6.8907566368579865E-2</v>
      </c>
      <c r="GJ283">
        <v>0.11260504275560379</v>
      </c>
      <c r="GK283">
        <v>7.8991599380970001E-2</v>
      </c>
      <c r="GL283">
        <v>7.3949582874774933E-2</v>
      </c>
      <c r="GM283">
        <v>6.0504201799631119E-2</v>
      </c>
      <c r="GN283">
        <v>6.5546222031116486E-2</v>
      </c>
      <c r="GO283">
        <v>7.8991599380970001E-2</v>
      </c>
      <c r="GP283">
        <v>8.9075632393360138E-2</v>
      </c>
      <c r="GQ283">
        <v>6.7226894199848175E-2</v>
      </c>
      <c r="GR283">
        <v>7.7310927212238312E-2</v>
      </c>
      <c r="GS283">
        <v>8.5714288055896759E-2</v>
      </c>
      <c r="GT283">
        <v>7.7310927212238312E-2</v>
      </c>
      <c r="GU283">
        <v>5.546218529343605E-2</v>
      </c>
      <c r="GV283">
        <v>9.4117648899555206E-2</v>
      </c>
      <c r="GW283">
        <v>8.403361588716507E-2</v>
      </c>
      <c r="GX283">
        <v>8.0672271549701691E-2</v>
      </c>
      <c r="GY283">
        <v>4.8739496618509293E-2</v>
      </c>
      <c r="GZ283">
        <v>6.7226894199848175E-2</v>
      </c>
      <c r="HA283">
        <v>7.7310927212238312E-2</v>
      </c>
      <c r="HB283">
        <v>7.0588238537311554E-2</v>
      </c>
      <c r="HC283">
        <v>8.235294371843338E-2</v>
      </c>
      <c r="HD283">
        <v>5.3781513124704361E-2</v>
      </c>
      <c r="HE283">
        <v>7.8991599380970001E-2</v>
      </c>
      <c r="HF283">
        <v>7.2268910706043243E-2</v>
      </c>
      <c r="HG283">
        <v>6.3865549862384796E-2</v>
      </c>
      <c r="HH283">
        <v>6.0504201799631119E-2</v>
      </c>
      <c r="HI283">
        <v>5.8823529630899429E-2</v>
      </c>
      <c r="HJ283">
        <v>6.3865549862384796E-2</v>
      </c>
      <c r="HK283">
        <v>5.3781513124704361E-2</v>
      </c>
      <c r="HL283">
        <v>0.10756302624940872</v>
      </c>
      <c r="HM283">
        <v>6.8907566368579865E-2</v>
      </c>
      <c r="HN283">
        <v>6.2184873968362808E-2</v>
      </c>
      <c r="HO283">
        <v>7.5630255043506622E-2</v>
      </c>
      <c r="HP283">
        <v>6.2184873968362808E-2</v>
      </c>
      <c r="HQ283">
        <v>5.3781513124704361E-2</v>
      </c>
      <c r="HR283">
        <v>0.10252100974321365</v>
      </c>
      <c r="HS283">
        <v>6.2184873968362808E-2</v>
      </c>
      <c r="HT283">
        <v>5.3781513124704361E-2</v>
      </c>
      <c r="HU283">
        <v>9.9159665405750275E-2</v>
      </c>
      <c r="HV283">
        <v>6.0504201799631119E-2</v>
      </c>
      <c r="HW283">
        <v>6.8907566368579865E-2</v>
      </c>
      <c r="HX283">
        <v>8.0672271549701691E-2</v>
      </c>
      <c r="HY283">
        <v>9.4117648899555206E-2</v>
      </c>
      <c r="HZ283">
        <v>4.7058824449777603E-2</v>
      </c>
      <c r="IA283">
        <v>7.8991599380970001E-2</v>
      </c>
      <c r="IB283">
        <v>6.5546222031116486E-2</v>
      </c>
      <c r="IC283">
        <v>0.10252100974321365</v>
      </c>
      <c r="ID283">
        <v>6.0504201799631119E-2</v>
      </c>
      <c r="IE283">
        <v>7.7310927212238312E-2</v>
      </c>
      <c r="IF283">
        <v>6.8907566368579865E-2</v>
      </c>
      <c r="IG283">
        <v>6.3865549862384796E-2</v>
      </c>
      <c r="IH283">
        <v>6.5546222031116486E-2</v>
      </c>
      <c r="II283">
        <v>5.714285746216774E-2</v>
      </c>
      <c r="IJ283">
        <v>5.8823529630899429E-2</v>
      </c>
      <c r="IK283">
        <v>8.235294371843338E-2</v>
      </c>
      <c r="IL283">
        <v>6.2184873968362808E-2</v>
      </c>
      <c r="IM283">
        <v>6.0504201799631119E-2</v>
      </c>
      <c r="IN283">
        <v>9.0756304562091827E-2</v>
      </c>
      <c r="IO283">
        <v>6.3865549862384796E-2</v>
      </c>
      <c r="IP283">
        <v>6.7226894199848175E-2</v>
      </c>
      <c r="IQ283">
        <v>7.3949582874774933E-2</v>
      </c>
      <c r="IR283">
        <v>5.714285746216774E-2</v>
      </c>
      <c r="IS283">
        <v>8.403361588716507E-2</v>
      </c>
      <c r="IT283">
        <v>8.0672271549701691E-2</v>
      </c>
      <c r="IU283">
        <v>6.5546222031116486E-2</v>
      </c>
      <c r="IV283">
        <v>0.10420168191194534</v>
      </c>
      <c r="IW283">
        <v>0.1109243705868721</v>
      </c>
      <c r="IX283">
        <v>5.3781513124704361E-2</v>
      </c>
      <c r="IY283">
        <v>8.235294371843338E-2</v>
      </c>
      <c r="IZ283">
        <v>6.7226894199848175E-2</v>
      </c>
      <c r="JA283">
        <v>6.2184873968362808E-2</v>
      </c>
      <c r="JB283">
        <v>7.0588238537311554E-2</v>
      </c>
      <c r="JC283">
        <v>7.7310927212238312E-2</v>
      </c>
      <c r="JD283">
        <v>7.0588238537311554E-2</v>
      </c>
      <c r="JE283">
        <v>6.2184873968362808E-2</v>
      </c>
      <c r="JF283">
        <v>6.3865549862384796E-2</v>
      </c>
      <c r="JG283">
        <v>6.0504201799631119E-2</v>
      </c>
      <c r="JH283">
        <v>9.0756304562091827E-2</v>
      </c>
      <c r="JI283">
        <v>6.0504201799631119E-2</v>
      </c>
      <c r="JJ283">
        <v>8.235294371843338E-2</v>
      </c>
      <c r="JK283">
        <v>8.235294371843338E-2</v>
      </c>
    </row>
    <row r="284" spans="4:276" x14ac:dyDescent="0.25">
      <c r="D284" s="41" t="str" cm="1">
        <f t="array" ref="D284">IF(H284="","",IF(AND(E284&lt;AVERAGE(E283,E285)*($L$19/100),$D$23:D283=""),H284,""))</f>
        <v/>
      </c>
      <c r="E284" s="78">
        <f t="shared" si="4"/>
        <v>2.2627155004794341E-3</v>
      </c>
      <c r="F284" s="79"/>
      <c r="H284">
        <v>262</v>
      </c>
      <c r="I284">
        <v>7.6312715500479439E-2</v>
      </c>
      <c r="K284">
        <v>8.5714288055896759E-2</v>
      </c>
      <c r="L284">
        <v>6.190476194024086E-2</v>
      </c>
      <c r="M284">
        <v>7.3015876114368439E-2</v>
      </c>
      <c r="N284">
        <v>7.6190479099750519E-2</v>
      </c>
      <c r="O284">
        <v>6.8253971636295319E-2</v>
      </c>
      <c r="P284">
        <v>8.8888891041278839E-2</v>
      </c>
      <c r="Q284">
        <v>8.2539685070514679E-2</v>
      </c>
      <c r="R284">
        <v>5.714285746216774E-2</v>
      </c>
      <c r="S284">
        <v>8.7301589548587799E-2</v>
      </c>
      <c r="T284">
        <v>7.1428574621677399E-2</v>
      </c>
      <c r="U284">
        <v>7.3015876114368439E-2</v>
      </c>
      <c r="V284">
        <v>6.9841273128986359E-2</v>
      </c>
      <c r="W284">
        <v>0.10634920746088028</v>
      </c>
      <c r="X284">
        <v>5.714285746216774E-2</v>
      </c>
      <c r="Y284">
        <v>8.8888891041278839E-2</v>
      </c>
      <c r="Z284">
        <v>6.6666670143604279E-2</v>
      </c>
      <c r="AA284">
        <v>5.873015895485878E-2</v>
      </c>
      <c r="AB284">
        <v>0.10476190596818924</v>
      </c>
      <c r="AC284">
        <v>8.0952383577823639E-2</v>
      </c>
      <c r="AD284">
        <v>7.3015876114368439E-2</v>
      </c>
      <c r="AE284">
        <v>7.6190479099750519E-2</v>
      </c>
      <c r="AF284">
        <v>6.190476194024086E-2</v>
      </c>
      <c r="AG284">
        <v>8.8888891041278839E-2</v>
      </c>
      <c r="AH284">
        <v>0.11428571492433548</v>
      </c>
      <c r="AI284">
        <v>7.4603177607059479E-2</v>
      </c>
      <c r="AJ284">
        <v>6.6666670143604279E-2</v>
      </c>
      <c r="AK284">
        <v>7.4603177607059479E-2</v>
      </c>
      <c r="AL284">
        <v>6.9841273128986359E-2</v>
      </c>
      <c r="AM284">
        <v>0.14126984775066376</v>
      </c>
      <c r="AN284">
        <v>7.6190479099750519E-2</v>
      </c>
      <c r="AO284">
        <v>5.55555559694767E-2</v>
      </c>
      <c r="AP284">
        <v>7.4603177607059479E-2</v>
      </c>
      <c r="AQ284">
        <v>7.3015876114368439E-2</v>
      </c>
      <c r="AR284">
        <v>9.6825398504734039E-2</v>
      </c>
      <c r="AS284">
        <v>7.4603177607059479E-2</v>
      </c>
      <c r="AT284">
        <v>5.714285746216774E-2</v>
      </c>
      <c r="AU284">
        <v>0.10793650895357132</v>
      </c>
      <c r="AV284">
        <v>9.2063494026660919E-2</v>
      </c>
      <c r="AW284">
        <v>6.6666670143604279E-2</v>
      </c>
      <c r="AX284">
        <v>6.8253971636295319E-2</v>
      </c>
      <c r="AY284">
        <v>0.1031746044754982</v>
      </c>
      <c r="AZ284">
        <v>7.6190479099750519E-2</v>
      </c>
      <c r="BA284">
        <v>6.3492067158222198E-2</v>
      </c>
      <c r="BB284">
        <v>7.7777780592441559E-2</v>
      </c>
      <c r="BC284">
        <v>6.5079368650913239E-2</v>
      </c>
      <c r="BD284">
        <v>7.6190479099750519E-2</v>
      </c>
      <c r="BE284">
        <v>6.190476194024086E-2</v>
      </c>
      <c r="BF284">
        <v>8.8888891041278839E-2</v>
      </c>
      <c r="BG284">
        <v>7.6190479099750519E-2</v>
      </c>
      <c r="BH284">
        <v>0.10000000149011612</v>
      </c>
      <c r="BI284">
        <v>0.10000000149011612</v>
      </c>
      <c r="BJ284">
        <v>9.6825398504734039E-2</v>
      </c>
      <c r="BK284">
        <v>6.3492067158222198E-2</v>
      </c>
      <c r="BL284">
        <v>8.0952383577823639E-2</v>
      </c>
      <c r="BM284">
        <v>5.714285746216774E-2</v>
      </c>
      <c r="BN284">
        <v>7.7777780592441559E-2</v>
      </c>
      <c r="BO284">
        <v>7.3015876114368439E-2</v>
      </c>
      <c r="BP284">
        <v>5.238095298409462E-2</v>
      </c>
      <c r="BQ284">
        <v>9.6825398504734039E-2</v>
      </c>
      <c r="BR284">
        <v>6.6666670143604279E-2</v>
      </c>
      <c r="BS284">
        <v>7.4603177607059479E-2</v>
      </c>
      <c r="BT284">
        <v>0.10158730298280716</v>
      </c>
      <c r="BU284">
        <v>5.873015895485878E-2</v>
      </c>
      <c r="BV284">
        <v>9.0476192533969879E-2</v>
      </c>
      <c r="BW284">
        <v>6.5079368650913239E-2</v>
      </c>
      <c r="BX284">
        <v>0.13333334028720856</v>
      </c>
      <c r="BY284">
        <v>8.0952383577823639E-2</v>
      </c>
      <c r="BZ284">
        <v>6.3492067158222198E-2</v>
      </c>
      <c r="CA284">
        <v>6.9841273128986359E-2</v>
      </c>
      <c r="CB284">
        <v>7.3015876114368439E-2</v>
      </c>
      <c r="CC284">
        <v>6.031746044754982E-2</v>
      </c>
      <c r="CD284">
        <v>5.238095298409462E-2</v>
      </c>
      <c r="CE284">
        <v>6.9841273128986359E-2</v>
      </c>
      <c r="CF284">
        <v>0.11587301641702652</v>
      </c>
      <c r="CG284">
        <v>6.031746044754982E-2</v>
      </c>
      <c r="CH284">
        <v>9.8412699997425079E-2</v>
      </c>
      <c r="CI284">
        <v>7.6190479099750519E-2</v>
      </c>
      <c r="CJ284">
        <v>9.2063494026660919E-2</v>
      </c>
      <c r="CK284">
        <v>4.1269842535257339E-2</v>
      </c>
      <c r="CL284">
        <v>9.0476192533969879E-2</v>
      </c>
      <c r="CM284">
        <v>7.3015876114368439E-2</v>
      </c>
      <c r="CN284">
        <v>7.6190479099750519E-2</v>
      </c>
      <c r="CO284">
        <v>8.7301589548587799E-2</v>
      </c>
      <c r="CP284">
        <v>8.4126986563205719E-2</v>
      </c>
      <c r="CQ284">
        <v>6.6666670143604279E-2</v>
      </c>
      <c r="CR284">
        <v>0.10634920746088028</v>
      </c>
      <c r="CS284">
        <v>8.0952383577823639E-2</v>
      </c>
      <c r="CT284">
        <v>6.5079368650913239E-2</v>
      </c>
      <c r="CU284">
        <v>9.3650795519351959E-2</v>
      </c>
      <c r="CV284">
        <v>6.031746044754982E-2</v>
      </c>
      <c r="CW284">
        <v>6.5079368650913239E-2</v>
      </c>
      <c r="CX284">
        <v>6.9841273128986359E-2</v>
      </c>
      <c r="CY284">
        <v>6.031746044754982E-2</v>
      </c>
      <c r="CZ284">
        <v>7.1428574621677399E-2</v>
      </c>
      <c r="DA284">
        <v>7.6190479099750519E-2</v>
      </c>
      <c r="DB284">
        <v>8.7301589548587799E-2</v>
      </c>
      <c r="DC284">
        <v>6.190476194024086E-2</v>
      </c>
      <c r="DD284">
        <v>6.5079368650913239E-2</v>
      </c>
      <c r="DE284">
        <v>7.3015876114368439E-2</v>
      </c>
      <c r="DF284">
        <v>7.1428574621677399E-2</v>
      </c>
      <c r="DG284">
        <v>6.3492067158222198E-2</v>
      </c>
      <c r="DH284">
        <v>6.9841273128986359E-2</v>
      </c>
      <c r="DI284">
        <v>4.920634999871254E-2</v>
      </c>
      <c r="DJ284">
        <v>6.8253971636295319E-2</v>
      </c>
      <c r="DK284">
        <v>8.4126986563205719E-2</v>
      </c>
      <c r="DL284">
        <v>6.8253971636295319E-2</v>
      </c>
      <c r="DM284">
        <v>9.6825398504734039E-2</v>
      </c>
      <c r="DN284">
        <v>6.5079368650913239E-2</v>
      </c>
      <c r="DO284">
        <v>7.3015876114368439E-2</v>
      </c>
      <c r="DP284">
        <v>7.1428574621677399E-2</v>
      </c>
      <c r="DQ284">
        <v>8.8888891041278839E-2</v>
      </c>
      <c r="DR284">
        <v>6.190476194024086E-2</v>
      </c>
      <c r="DS284">
        <v>6.190476194024086E-2</v>
      </c>
      <c r="DT284">
        <v>5.714285746216774E-2</v>
      </c>
      <c r="DU284">
        <v>8.2539685070514679E-2</v>
      </c>
      <c r="DV284">
        <v>6.031746044754982E-2</v>
      </c>
      <c r="DW284">
        <v>0.1111111119389534</v>
      </c>
      <c r="DX284">
        <v>0.11587301641702652</v>
      </c>
      <c r="DY284">
        <v>5.873015895485878E-2</v>
      </c>
      <c r="DZ284">
        <v>0.10000000149011612</v>
      </c>
      <c r="EA284">
        <v>5.238095298409462E-2</v>
      </c>
      <c r="EB284">
        <v>5.55555559694767E-2</v>
      </c>
      <c r="EC284">
        <v>0.1190476194024086</v>
      </c>
      <c r="ED284">
        <v>8.0952383577823639E-2</v>
      </c>
      <c r="EE284">
        <v>7.1428574621677399E-2</v>
      </c>
      <c r="EF284">
        <v>7.3015876114368439E-2</v>
      </c>
      <c r="EG284">
        <v>8.2539685070514679E-2</v>
      </c>
      <c r="EH284">
        <v>6.3492067158222198E-2</v>
      </c>
      <c r="EI284">
        <v>5.873015895485878E-2</v>
      </c>
      <c r="EJ284">
        <v>5.873015895485878E-2</v>
      </c>
      <c r="EK284">
        <v>8.8888891041278839E-2</v>
      </c>
      <c r="EL284">
        <v>9.8412699997425079E-2</v>
      </c>
      <c r="EM284">
        <v>7.4603177607059479E-2</v>
      </c>
      <c r="EN284">
        <v>5.873015895485878E-2</v>
      </c>
      <c r="EO284">
        <v>7.7777780592441559E-2</v>
      </c>
      <c r="EP284">
        <v>6.5079368650913239E-2</v>
      </c>
      <c r="EQ284">
        <v>6.3492067158222198E-2</v>
      </c>
      <c r="ER284">
        <v>7.6190479099750519E-2</v>
      </c>
      <c r="ES284">
        <v>6.8253971636295319E-2</v>
      </c>
      <c r="ET284">
        <v>7.6190479099750519E-2</v>
      </c>
      <c r="EU284">
        <v>5.2100840955972672E-2</v>
      </c>
      <c r="EV284">
        <v>7.8991599380970001E-2</v>
      </c>
      <c r="EW284">
        <v>7.7310927212238312E-2</v>
      </c>
      <c r="EX284">
        <v>0.10588235408067703</v>
      </c>
      <c r="EY284">
        <v>8.0672271549701691E-2</v>
      </c>
      <c r="EZ284">
        <v>9.0756304562091827E-2</v>
      </c>
      <c r="FA284">
        <v>9.7478993237018585E-2</v>
      </c>
      <c r="FB284">
        <v>6.2184873968362808E-2</v>
      </c>
      <c r="FC284">
        <v>8.5714288055896759E-2</v>
      </c>
      <c r="FD284">
        <v>9.7478993237018585E-2</v>
      </c>
      <c r="FE284">
        <v>8.235294371843338E-2</v>
      </c>
      <c r="FF284">
        <v>5.8823529630899429E-2</v>
      </c>
      <c r="FG284">
        <v>6.8907566368579865E-2</v>
      </c>
      <c r="FH284">
        <v>8.5714288055896759E-2</v>
      </c>
      <c r="FI284">
        <v>4.7058824449777603E-2</v>
      </c>
      <c r="FJ284">
        <v>7.0588238537311554E-2</v>
      </c>
      <c r="FK284">
        <v>7.5630255043506622E-2</v>
      </c>
      <c r="FL284">
        <v>7.2268910706043243E-2</v>
      </c>
      <c r="FM284">
        <v>7.8991599380970001E-2</v>
      </c>
      <c r="FN284">
        <v>7.2268910706043243E-2</v>
      </c>
      <c r="FO284">
        <v>5.714285746216774E-2</v>
      </c>
      <c r="FP284">
        <v>7.7310927212238312E-2</v>
      </c>
      <c r="FQ284">
        <v>8.0672271549701691E-2</v>
      </c>
      <c r="FR284">
        <v>7.8991599380970001E-2</v>
      </c>
      <c r="FS284">
        <v>8.5714288055896759E-2</v>
      </c>
      <c r="FT284">
        <v>8.235294371843338E-2</v>
      </c>
      <c r="FU284">
        <v>7.8991599380970001E-2</v>
      </c>
      <c r="FV284">
        <v>7.7310927212238312E-2</v>
      </c>
      <c r="FW284">
        <v>8.403361588716507E-2</v>
      </c>
      <c r="FX284">
        <v>4.5378152281045914E-2</v>
      </c>
      <c r="FY284">
        <v>8.5714288055896759E-2</v>
      </c>
      <c r="FZ284">
        <v>6.7226894199848175E-2</v>
      </c>
      <c r="GA284">
        <v>8.0672271549701691E-2</v>
      </c>
      <c r="GB284">
        <v>5.0420168787240982E-2</v>
      </c>
      <c r="GC284">
        <v>0.10252100974321365</v>
      </c>
      <c r="GD284">
        <v>6.7226894199848175E-2</v>
      </c>
      <c r="GE284">
        <v>7.0588238537311554E-2</v>
      </c>
      <c r="GF284">
        <v>6.2184873968362808E-2</v>
      </c>
      <c r="GG284">
        <v>4.8739496618509293E-2</v>
      </c>
      <c r="GH284">
        <v>8.9075632393360138E-2</v>
      </c>
      <c r="GI284">
        <v>8.0672271549701691E-2</v>
      </c>
      <c r="GJ284">
        <v>7.2268910706043243E-2</v>
      </c>
      <c r="GK284">
        <v>7.7310927212238312E-2</v>
      </c>
      <c r="GL284">
        <v>7.2268910706043243E-2</v>
      </c>
      <c r="GM284">
        <v>5.8823529630899429E-2</v>
      </c>
      <c r="GN284">
        <v>7.8991599380970001E-2</v>
      </c>
      <c r="GO284">
        <v>8.7394960224628448E-2</v>
      </c>
      <c r="GP284">
        <v>6.5546222031116486E-2</v>
      </c>
      <c r="GQ284">
        <v>8.5714288055896759E-2</v>
      </c>
      <c r="GR284">
        <v>6.2184873968362808E-2</v>
      </c>
      <c r="GS284">
        <v>6.2184873968362808E-2</v>
      </c>
      <c r="GT284">
        <v>6.0504201799631119E-2</v>
      </c>
      <c r="GU284">
        <v>6.7226894199848175E-2</v>
      </c>
      <c r="GV284">
        <v>7.8991599380970001E-2</v>
      </c>
      <c r="GW284">
        <v>9.5798321068286896E-2</v>
      </c>
      <c r="GX284">
        <v>5.546218529343605E-2</v>
      </c>
      <c r="GY284">
        <v>7.3949582874774933E-2</v>
      </c>
      <c r="GZ284">
        <v>7.8991599380970001E-2</v>
      </c>
      <c r="HA284">
        <v>8.7394960224628448E-2</v>
      </c>
      <c r="HB284">
        <v>6.2184873968362808E-2</v>
      </c>
      <c r="HC284">
        <v>9.4117648899555206E-2</v>
      </c>
      <c r="HD284">
        <v>6.0504201799631119E-2</v>
      </c>
      <c r="HE284">
        <v>7.3949582874774933E-2</v>
      </c>
      <c r="HF284">
        <v>4.3697480112314224E-2</v>
      </c>
      <c r="HG284">
        <v>0.12941177189350128</v>
      </c>
      <c r="HH284">
        <v>7.2268910706043243E-2</v>
      </c>
      <c r="HI284">
        <v>7.7310927212238312E-2</v>
      </c>
      <c r="HJ284">
        <v>8.9075632393360138E-2</v>
      </c>
      <c r="HK284">
        <v>8.7394960224628448E-2</v>
      </c>
      <c r="HL284">
        <v>7.3949582874774933E-2</v>
      </c>
      <c r="HM284">
        <v>6.0504201799631119E-2</v>
      </c>
      <c r="HN284">
        <v>6.3865549862384796E-2</v>
      </c>
      <c r="HO284">
        <v>7.3949582874774933E-2</v>
      </c>
      <c r="HP284">
        <v>6.2184873968362808E-2</v>
      </c>
      <c r="HQ284">
        <v>7.0588238537311554E-2</v>
      </c>
      <c r="HR284">
        <v>0.10252100974321365</v>
      </c>
      <c r="HS284">
        <v>7.0588238537311554E-2</v>
      </c>
      <c r="HT284">
        <v>9.9159665405750275E-2</v>
      </c>
      <c r="HU284">
        <v>0.11428571492433548</v>
      </c>
      <c r="HV284">
        <v>8.235294371843338E-2</v>
      </c>
      <c r="HW284">
        <v>4.7058824449777603E-2</v>
      </c>
      <c r="HX284">
        <v>9.5798321068286896E-2</v>
      </c>
      <c r="HY284">
        <v>9.0756304562091827E-2</v>
      </c>
      <c r="HZ284">
        <v>5.714285746216774E-2</v>
      </c>
      <c r="IA284">
        <v>6.2184873968362808E-2</v>
      </c>
      <c r="IB284">
        <v>6.0504201799631119E-2</v>
      </c>
      <c r="IC284">
        <v>8.235294371843338E-2</v>
      </c>
      <c r="ID284">
        <v>5.8823529630899429E-2</v>
      </c>
      <c r="IE284">
        <v>6.3865549862384796E-2</v>
      </c>
      <c r="IF284">
        <v>9.0756304562091827E-2</v>
      </c>
      <c r="IG284">
        <v>0.11260504275560379</v>
      </c>
      <c r="IH284">
        <v>5.546218529343605E-2</v>
      </c>
      <c r="II284">
        <v>6.7226894199848175E-2</v>
      </c>
      <c r="IJ284">
        <v>8.9075632393360138E-2</v>
      </c>
      <c r="IK284">
        <v>7.7310927212238312E-2</v>
      </c>
      <c r="IL284">
        <v>8.9075632393360138E-2</v>
      </c>
      <c r="IM284">
        <v>5.8823529630899429E-2</v>
      </c>
      <c r="IN284">
        <v>7.8991599380970001E-2</v>
      </c>
      <c r="IO284">
        <v>9.5798321068286896E-2</v>
      </c>
      <c r="IP284">
        <v>5.3781513124704361E-2</v>
      </c>
      <c r="IQ284">
        <v>0.10924369841814041</v>
      </c>
      <c r="IR284">
        <v>4.5378152281045914E-2</v>
      </c>
      <c r="IS284">
        <v>7.5630255043506622E-2</v>
      </c>
      <c r="IT284">
        <v>8.0672271549701691E-2</v>
      </c>
      <c r="IU284">
        <v>8.7394960224628448E-2</v>
      </c>
      <c r="IV284">
        <v>8.9075632393360138E-2</v>
      </c>
      <c r="IW284">
        <v>5.546218529343605E-2</v>
      </c>
      <c r="IX284">
        <v>4.5378152281045914E-2</v>
      </c>
      <c r="IY284">
        <v>8.235294371843338E-2</v>
      </c>
      <c r="IZ284">
        <v>6.8907566368579865E-2</v>
      </c>
      <c r="JA284">
        <v>6.8907566368579865E-2</v>
      </c>
      <c r="JB284">
        <v>6.0504201799631119E-2</v>
      </c>
      <c r="JC284">
        <v>5.546218529343605E-2</v>
      </c>
      <c r="JD284">
        <v>0.11260504275560379</v>
      </c>
      <c r="JE284">
        <v>6.3865549862384796E-2</v>
      </c>
      <c r="JF284">
        <v>8.403361588716507E-2</v>
      </c>
      <c r="JG284">
        <v>9.2436976730823517E-2</v>
      </c>
      <c r="JH284">
        <v>9.5798321068286896E-2</v>
      </c>
      <c r="JI284">
        <v>0.10420168191194534</v>
      </c>
      <c r="JJ284">
        <v>6.8907566368579865E-2</v>
      </c>
      <c r="JK284">
        <v>7.0588238537311554E-2</v>
      </c>
      <c r="JL284">
        <v>7.8991599380970001E-2</v>
      </c>
    </row>
    <row r="285" spans="4:276" x14ac:dyDescent="0.25">
      <c r="D285" s="41" t="str" cm="1">
        <f t="array" ref="D285">IF(H285="","",IF(AND(E285&lt;AVERAGE(E284,E286)*($L$19/100),$D$23:D284=""),H285,""))</f>
        <v/>
      </c>
      <c r="E285" s="78">
        <f t="shared" si="4"/>
        <v>1.8926733131870987E-3</v>
      </c>
      <c r="F285" s="79"/>
      <c r="H285">
        <v>263</v>
      </c>
      <c r="I285">
        <v>7.5942673313187103E-2</v>
      </c>
      <c r="K285">
        <v>4.76190485060215E-2</v>
      </c>
      <c r="L285">
        <v>8.0952383577823639E-2</v>
      </c>
      <c r="M285">
        <v>4.920634999871254E-2</v>
      </c>
      <c r="N285">
        <v>8.4126986563205719E-2</v>
      </c>
      <c r="O285">
        <v>6.5079368650913239E-2</v>
      </c>
      <c r="P285">
        <v>8.4126986563205719E-2</v>
      </c>
      <c r="Q285">
        <v>8.4126986563205719E-2</v>
      </c>
      <c r="R285">
        <v>9.8412699997425079E-2</v>
      </c>
      <c r="S285">
        <v>7.9365082085132599E-2</v>
      </c>
      <c r="T285">
        <v>5.55555559694767E-2</v>
      </c>
      <c r="U285">
        <v>8.4126986563205719E-2</v>
      </c>
      <c r="V285">
        <v>8.5714288055896759E-2</v>
      </c>
      <c r="W285">
        <v>9.2063494026660919E-2</v>
      </c>
      <c r="X285">
        <v>7.6190479099750519E-2</v>
      </c>
      <c r="Y285">
        <v>7.6190479099750519E-2</v>
      </c>
      <c r="Z285">
        <v>4.920634999871254E-2</v>
      </c>
      <c r="AA285">
        <v>5.873015895485878E-2</v>
      </c>
      <c r="AB285">
        <v>6.6666670143604279E-2</v>
      </c>
      <c r="AC285">
        <v>7.7777780592441559E-2</v>
      </c>
      <c r="AD285">
        <v>7.7777780592441559E-2</v>
      </c>
      <c r="AE285">
        <v>8.8888891041278839E-2</v>
      </c>
      <c r="AF285">
        <v>8.0952383577823639E-2</v>
      </c>
      <c r="AG285">
        <v>8.4126986563205719E-2</v>
      </c>
      <c r="AH285">
        <v>6.6666670143604279E-2</v>
      </c>
      <c r="AI285">
        <v>6.9841273128986359E-2</v>
      </c>
      <c r="AJ285">
        <v>0.13809524476528168</v>
      </c>
      <c r="AK285">
        <v>0.10158730298280716</v>
      </c>
      <c r="AL285">
        <v>4.920634999871254E-2</v>
      </c>
      <c r="AM285">
        <v>8.0952383577823639E-2</v>
      </c>
      <c r="AN285">
        <v>9.2063494026660919E-2</v>
      </c>
      <c r="AO285">
        <v>7.1428574621677399E-2</v>
      </c>
      <c r="AP285">
        <v>6.5079368650913239E-2</v>
      </c>
      <c r="AQ285">
        <v>7.1428574621677399E-2</v>
      </c>
      <c r="AR285">
        <v>5.714285746216774E-2</v>
      </c>
      <c r="AS285">
        <v>8.8888891041278839E-2</v>
      </c>
      <c r="AT285">
        <v>5.873015895485878E-2</v>
      </c>
      <c r="AU285">
        <v>7.7777780592441559E-2</v>
      </c>
      <c r="AV285">
        <v>8.0952383577823639E-2</v>
      </c>
      <c r="AW285">
        <v>6.190476194024086E-2</v>
      </c>
      <c r="AX285">
        <v>6.3492067158222198E-2</v>
      </c>
      <c r="AY285">
        <v>7.9365082085132599E-2</v>
      </c>
      <c r="AZ285">
        <v>8.5714288055896759E-2</v>
      </c>
      <c r="BA285">
        <v>7.1428574621677399E-2</v>
      </c>
      <c r="BB285">
        <v>7.4603177607059479E-2</v>
      </c>
      <c r="BC285">
        <v>8.5714288055896759E-2</v>
      </c>
      <c r="BD285">
        <v>8.7301589548587799E-2</v>
      </c>
      <c r="BE285">
        <v>6.5079368650913239E-2</v>
      </c>
      <c r="BF285">
        <v>5.714285746216774E-2</v>
      </c>
      <c r="BG285">
        <v>8.5714288055896759E-2</v>
      </c>
      <c r="BH285">
        <v>6.8253971636295319E-2</v>
      </c>
      <c r="BI285">
        <v>9.0476192533969879E-2</v>
      </c>
      <c r="BJ285">
        <v>4.920634999871254E-2</v>
      </c>
      <c r="BK285">
        <v>6.3492067158222198E-2</v>
      </c>
      <c r="BL285">
        <v>0.10000000149011612</v>
      </c>
      <c r="BM285">
        <v>6.5079368650913239E-2</v>
      </c>
      <c r="BN285">
        <v>7.7777780592441559E-2</v>
      </c>
      <c r="BO285">
        <v>7.1428574621677399E-2</v>
      </c>
      <c r="BP285">
        <v>6.6666670143604279E-2</v>
      </c>
      <c r="BQ285">
        <v>9.0476192533969879E-2</v>
      </c>
      <c r="BR285">
        <v>7.6190479099750519E-2</v>
      </c>
      <c r="BS285">
        <v>9.0476192533969879E-2</v>
      </c>
      <c r="BT285">
        <v>8.8888891041278839E-2</v>
      </c>
      <c r="BU285">
        <v>7.9365082085132599E-2</v>
      </c>
      <c r="BV285">
        <v>9.8412699997425079E-2</v>
      </c>
      <c r="BW285">
        <v>6.8253971636295319E-2</v>
      </c>
      <c r="BX285">
        <v>7.1428574621677399E-2</v>
      </c>
      <c r="BY285">
        <v>6.6666670143604279E-2</v>
      </c>
      <c r="BZ285">
        <v>6.8253971636295319E-2</v>
      </c>
      <c r="CA285">
        <v>6.190476194024086E-2</v>
      </c>
      <c r="CB285">
        <v>0.10634920746088028</v>
      </c>
      <c r="CC285">
        <v>7.4603177607059479E-2</v>
      </c>
      <c r="CD285">
        <v>6.9841273128986359E-2</v>
      </c>
      <c r="CE285">
        <v>9.5238097012042999E-2</v>
      </c>
      <c r="CF285">
        <v>7.6190479099750519E-2</v>
      </c>
      <c r="CG285">
        <v>6.6666670143604279E-2</v>
      </c>
      <c r="CH285">
        <v>8.0952383577823639E-2</v>
      </c>
      <c r="CI285">
        <v>6.190476194024086E-2</v>
      </c>
      <c r="CJ285">
        <v>0.1031746044754982</v>
      </c>
      <c r="CK285">
        <v>6.3492067158222198E-2</v>
      </c>
      <c r="CL285">
        <v>8.4126986563205719E-2</v>
      </c>
      <c r="CM285">
        <v>6.9841273128986359E-2</v>
      </c>
      <c r="CN285">
        <v>6.031746044754982E-2</v>
      </c>
      <c r="CO285">
        <v>5.396825447678566E-2</v>
      </c>
      <c r="CP285">
        <v>7.9365082085132599E-2</v>
      </c>
      <c r="CQ285">
        <v>6.3492067158222198E-2</v>
      </c>
      <c r="CR285">
        <v>5.55555559694767E-2</v>
      </c>
      <c r="CS285">
        <v>0.12539683282375336</v>
      </c>
      <c r="CT285">
        <v>6.3492067158222198E-2</v>
      </c>
      <c r="CU285">
        <v>6.9841273128986359E-2</v>
      </c>
      <c r="CV285">
        <v>9.5238097012042999E-2</v>
      </c>
      <c r="CW285">
        <v>6.8253971636295319E-2</v>
      </c>
      <c r="CX285">
        <v>6.031746044754982E-2</v>
      </c>
      <c r="CY285">
        <v>7.6190479099750519E-2</v>
      </c>
      <c r="CZ285">
        <v>7.4603177607059479E-2</v>
      </c>
      <c r="DA285">
        <v>7.7777780592441559E-2</v>
      </c>
      <c r="DB285">
        <v>9.0476192533969879E-2</v>
      </c>
      <c r="DC285">
        <v>4.920634999871254E-2</v>
      </c>
      <c r="DD285">
        <v>8.4126986563205719E-2</v>
      </c>
      <c r="DE285">
        <v>0.10000000149011612</v>
      </c>
      <c r="DF285">
        <v>6.6666670143604279E-2</v>
      </c>
      <c r="DG285">
        <v>7.9365082085132599E-2</v>
      </c>
      <c r="DH285">
        <v>0.11428571492433548</v>
      </c>
      <c r="DI285">
        <v>9.0476192533969879E-2</v>
      </c>
      <c r="DJ285">
        <v>9.2063494026660919E-2</v>
      </c>
      <c r="DK285">
        <v>6.190476194024086E-2</v>
      </c>
      <c r="DL285">
        <v>7.0588238537311554E-2</v>
      </c>
      <c r="DM285">
        <v>6.7226894199848175E-2</v>
      </c>
      <c r="DN285">
        <v>6.5546222031116486E-2</v>
      </c>
      <c r="DO285">
        <v>7.3949582874774933E-2</v>
      </c>
      <c r="DP285">
        <v>0.10756302624940872</v>
      </c>
      <c r="DQ285">
        <v>9.9159665405750275E-2</v>
      </c>
      <c r="DR285">
        <v>6.2184873968362808E-2</v>
      </c>
      <c r="DS285">
        <v>0.14789916574954987</v>
      </c>
      <c r="DT285">
        <v>5.714285746216774E-2</v>
      </c>
      <c r="DU285">
        <v>0.10084033757448196</v>
      </c>
      <c r="DV285">
        <v>7.7310927212238312E-2</v>
      </c>
      <c r="DW285">
        <v>9.4117648899555206E-2</v>
      </c>
      <c r="DX285">
        <v>8.5714288055896759E-2</v>
      </c>
      <c r="DY285">
        <v>7.3949582874774933E-2</v>
      </c>
      <c r="DZ285">
        <v>8.403361588716507E-2</v>
      </c>
      <c r="EA285">
        <v>4.7058824449777603E-2</v>
      </c>
      <c r="EB285">
        <v>8.0672271549701691E-2</v>
      </c>
      <c r="EC285">
        <v>6.0504201799631119E-2</v>
      </c>
      <c r="ED285">
        <v>7.5630255043506622E-2</v>
      </c>
      <c r="EE285">
        <v>8.0672271549701691E-2</v>
      </c>
      <c r="EF285">
        <v>7.0588238537311554E-2</v>
      </c>
      <c r="EG285">
        <v>4.8739496618509293E-2</v>
      </c>
      <c r="EH285">
        <v>7.7310927212238312E-2</v>
      </c>
      <c r="EI285">
        <v>6.5546222031116486E-2</v>
      </c>
      <c r="EJ285">
        <v>7.3949582874774933E-2</v>
      </c>
      <c r="EK285">
        <v>0.10084033757448196</v>
      </c>
      <c r="EL285">
        <v>8.5714288055896759E-2</v>
      </c>
      <c r="EM285">
        <v>8.235294371843338E-2</v>
      </c>
      <c r="EN285">
        <v>7.0588238537311554E-2</v>
      </c>
      <c r="EO285">
        <v>0.10756302624940872</v>
      </c>
      <c r="EP285">
        <v>6.8907566368579865E-2</v>
      </c>
      <c r="EQ285">
        <v>8.9075632393360138E-2</v>
      </c>
      <c r="ER285">
        <v>9.0756304562091827E-2</v>
      </c>
      <c r="ES285">
        <v>4.5378152281045914E-2</v>
      </c>
      <c r="ET285">
        <v>8.0672271549701691E-2</v>
      </c>
      <c r="EU285">
        <v>9.9159665405750275E-2</v>
      </c>
      <c r="EV285">
        <v>5.546218529343605E-2</v>
      </c>
      <c r="EW285">
        <v>4.5378152281045914E-2</v>
      </c>
      <c r="EX285">
        <v>4.8739496618509293E-2</v>
      </c>
      <c r="EY285">
        <v>7.7310927212238312E-2</v>
      </c>
      <c r="EZ285">
        <v>8.5714288055896759E-2</v>
      </c>
      <c r="FA285">
        <v>8.7394960224628448E-2</v>
      </c>
      <c r="FB285">
        <v>8.403361588716507E-2</v>
      </c>
      <c r="FC285">
        <v>8.9075632393360138E-2</v>
      </c>
      <c r="FD285">
        <v>7.0588238537311554E-2</v>
      </c>
      <c r="FE285">
        <v>9.2436976730823517E-2</v>
      </c>
      <c r="FF285">
        <v>5.8823529630899429E-2</v>
      </c>
      <c r="FG285">
        <v>7.3949582874774933E-2</v>
      </c>
      <c r="FH285">
        <v>7.5630255043506622E-2</v>
      </c>
      <c r="FI285">
        <v>5.8823529630899429E-2</v>
      </c>
      <c r="FJ285">
        <v>7.3949582874774933E-2</v>
      </c>
      <c r="FK285">
        <v>6.5546222031116486E-2</v>
      </c>
      <c r="FL285">
        <v>8.9075632393360138E-2</v>
      </c>
      <c r="FM285">
        <v>6.7226894199848175E-2</v>
      </c>
      <c r="FN285">
        <v>6.8907566368579865E-2</v>
      </c>
      <c r="FO285">
        <v>6.7226894199848175E-2</v>
      </c>
      <c r="FP285">
        <v>7.5630255043506622E-2</v>
      </c>
      <c r="FQ285">
        <v>8.7394960224628448E-2</v>
      </c>
      <c r="FR285">
        <v>4.8739496618509293E-2</v>
      </c>
      <c r="FS285">
        <v>5.546218529343605E-2</v>
      </c>
      <c r="FT285">
        <v>7.2268910706043243E-2</v>
      </c>
      <c r="FU285">
        <v>8.403361588716507E-2</v>
      </c>
      <c r="FV285">
        <v>5.2100840955972672E-2</v>
      </c>
      <c r="FW285">
        <v>6.3865549862384796E-2</v>
      </c>
      <c r="FX285">
        <v>7.2268910706043243E-2</v>
      </c>
      <c r="FY285">
        <v>6.3865549862384796E-2</v>
      </c>
      <c r="FZ285">
        <v>7.3949582874774933E-2</v>
      </c>
      <c r="GA285">
        <v>9.0756304562091827E-2</v>
      </c>
      <c r="GB285">
        <v>7.3949582874774933E-2</v>
      </c>
      <c r="GC285">
        <v>5.714285746216774E-2</v>
      </c>
      <c r="GD285">
        <v>6.5546222031116486E-2</v>
      </c>
      <c r="GE285">
        <v>7.0588238537311554E-2</v>
      </c>
      <c r="GF285">
        <v>7.8991599380970001E-2</v>
      </c>
      <c r="GG285">
        <v>0.11932773143053055</v>
      </c>
      <c r="GH285">
        <v>5.546218529343605E-2</v>
      </c>
      <c r="GI285">
        <v>6.8907566368579865E-2</v>
      </c>
      <c r="GJ285">
        <v>6.8907566368579865E-2</v>
      </c>
      <c r="GK285">
        <v>6.3865549862384796E-2</v>
      </c>
      <c r="GL285">
        <v>8.7394960224628448E-2</v>
      </c>
      <c r="GM285">
        <v>0.10588235408067703</v>
      </c>
      <c r="GN285">
        <v>5.546218529343605E-2</v>
      </c>
      <c r="GO285">
        <v>7.5630255043506622E-2</v>
      </c>
      <c r="GP285">
        <v>5.0420168787240982E-2</v>
      </c>
      <c r="GQ285">
        <v>7.5630255043506622E-2</v>
      </c>
      <c r="GR285">
        <v>7.0588238537311554E-2</v>
      </c>
      <c r="GS285">
        <v>6.8907566368579865E-2</v>
      </c>
      <c r="GT285">
        <v>9.0756304562091827E-2</v>
      </c>
      <c r="GU285">
        <v>5.714285746216774E-2</v>
      </c>
      <c r="GV285">
        <v>9.7478993237018585E-2</v>
      </c>
      <c r="GW285">
        <v>7.7310927212238312E-2</v>
      </c>
      <c r="GX285">
        <v>7.5630255043506622E-2</v>
      </c>
      <c r="GY285">
        <v>6.2184873968362808E-2</v>
      </c>
      <c r="GZ285">
        <v>6.5546222031116486E-2</v>
      </c>
      <c r="HA285">
        <v>5.2100840955972672E-2</v>
      </c>
      <c r="HB285">
        <v>0.10756302624940872</v>
      </c>
      <c r="HC285">
        <v>7.7310927212238312E-2</v>
      </c>
      <c r="HD285">
        <v>7.3949582874774933E-2</v>
      </c>
      <c r="HE285">
        <v>9.5798321068286896E-2</v>
      </c>
      <c r="HF285">
        <v>6.5546222031116486E-2</v>
      </c>
      <c r="HG285">
        <v>6.2184873968362808E-2</v>
      </c>
      <c r="HH285">
        <v>0.10756302624940872</v>
      </c>
      <c r="HI285">
        <v>0.12436974793672562</v>
      </c>
      <c r="HJ285">
        <v>7.0588238537311554E-2</v>
      </c>
      <c r="HK285">
        <v>0.10420168191194534</v>
      </c>
      <c r="HL285">
        <v>5.714285746216774E-2</v>
      </c>
      <c r="HM285">
        <v>9.0756304562091827E-2</v>
      </c>
      <c r="HN285">
        <v>7.2268910706043243E-2</v>
      </c>
      <c r="HO285">
        <v>5.714285746216774E-2</v>
      </c>
      <c r="HP285">
        <v>9.2436976730823517E-2</v>
      </c>
      <c r="HQ285">
        <v>0.10252100974321365</v>
      </c>
      <c r="HR285">
        <v>8.5714288055896759E-2</v>
      </c>
      <c r="HS285">
        <v>7.5630255043506622E-2</v>
      </c>
      <c r="HT285">
        <v>6.2184873968362808E-2</v>
      </c>
      <c r="HU285">
        <v>5.3781513124704361E-2</v>
      </c>
      <c r="HV285">
        <v>4.3697480112314224E-2</v>
      </c>
      <c r="HW285">
        <v>7.0588238537311554E-2</v>
      </c>
      <c r="HX285">
        <v>6.0504201799631119E-2</v>
      </c>
      <c r="HY285">
        <v>6.0504201799631119E-2</v>
      </c>
      <c r="HZ285">
        <v>8.0672271549701691E-2</v>
      </c>
      <c r="IA285">
        <v>6.8907566368579865E-2</v>
      </c>
      <c r="IB285">
        <v>8.5714288055896759E-2</v>
      </c>
      <c r="IC285">
        <v>6.5546222031116486E-2</v>
      </c>
      <c r="ID285">
        <v>9.9159665405750275E-2</v>
      </c>
      <c r="IE285">
        <v>5.714285746216774E-2</v>
      </c>
      <c r="IF285">
        <v>8.0672271549701691E-2</v>
      </c>
      <c r="IG285">
        <v>9.4117648899555206E-2</v>
      </c>
      <c r="IH285">
        <v>6.7226894199848175E-2</v>
      </c>
      <c r="II285">
        <v>6.3865549862384796E-2</v>
      </c>
      <c r="IJ285">
        <v>7.7310927212238312E-2</v>
      </c>
      <c r="IK285">
        <v>6.2184873968362808E-2</v>
      </c>
      <c r="IL285">
        <v>8.235294371843338E-2</v>
      </c>
      <c r="IM285">
        <v>8.7394960224628448E-2</v>
      </c>
      <c r="IN285">
        <v>6.2184873968362808E-2</v>
      </c>
      <c r="IO285">
        <v>6.8907566368579865E-2</v>
      </c>
      <c r="IP285">
        <v>7.0588238537311554E-2</v>
      </c>
      <c r="IQ285">
        <v>5.8823529630899429E-2</v>
      </c>
      <c r="IR285">
        <v>0.10588235408067703</v>
      </c>
      <c r="IS285">
        <v>7.3949582874774933E-2</v>
      </c>
      <c r="IT285">
        <v>8.9075632393360138E-2</v>
      </c>
      <c r="IU285">
        <v>6.5546222031116486E-2</v>
      </c>
      <c r="IV285">
        <v>8.0672271549701691E-2</v>
      </c>
      <c r="IW285">
        <v>7.0588238537311554E-2</v>
      </c>
      <c r="IX285">
        <v>7.0588238537311554E-2</v>
      </c>
      <c r="IY285">
        <v>6.8907566368579865E-2</v>
      </c>
      <c r="IZ285">
        <v>9.7478993237018585E-2</v>
      </c>
      <c r="JA285">
        <v>5.0420168787240982E-2</v>
      </c>
      <c r="JB285">
        <v>0.10924369841814041</v>
      </c>
      <c r="JC285">
        <v>8.403361588716507E-2</v>
      </c>
      <c r="JD285">
        <v>6.0504201799631119E-2</v>
      </c>
      <c r="JE285">
        <v>5.3781513124704361E-2</v>
      </c>
      <c r="JF285">
        <v>9.9159665405750275E-2</v>
      </c>
      <c r="JG285">
        <v>9.4117648899555206E-2</v>
      </c>
      <c r="JH285">
        <v>5.3781513124704361E-2</v>
      </c>
      <c r="JI285">
        <v>9.0756304562091827E-2</v>
      </c>
      <c r="JJ285">
        <v>7.7310927212238312E-2</v>
      </c>
      <c r="JK285">
        <v>7.0588238537311554E-2</v>
      </c>
      <c r="JL285">
        <v>6.0504201799631119E-2</v>
      </c>
      <c r="JM285">
        <v>7.2268910706043243E-2</v>
      </c>
    </row>
    <row r="286" spans="4:276" x14ac:dyDescent="0.25">
      <c r="D286" s="41" t="str" cm="1">
        <f t="array" ref="D286">IF(H286="","",IF(AND(E286&lt;AVERAGE(E285,E287)*($L$19/100),$D$23:D285=""),H286,""))</f>
        <v/>
      </c>
      <c r="E286" s="78">
        <f t="shared" si="4"/>
        <v>3.3995679828705133E-3</v>
      </c>
      <c r="F286" s="79"/>
      <c r="H286">
        <v>264</v>
      </c>
      <c r="I286">
        <v>7.7449567982870518E-2</v>
      </c>
      <c r="K286">
        <v>9.2063494026660919E-2</v>
      </c>
      <c r="L286">
        <v>8.0952383577823639E-2</v>
      </c>
      <c r="M286">
        <v>8.8888891041278839E-2</v>
      </c>
      <c r="N286">
        <v>5.238095298409462E-2</v>
      </c>
      <c r="O286">
        <v>6.9841273128986359E-2</v>
      </c>
      <c r="P286">
        <v>7.9365082085132599E-2</v>
      </c>
      <c r="Q286">
        <v>7.9365082085132599E-2</v>
      </c>
      <c r="R286">
        <v>5.396825447678566E-2</v>
      </c>
      <c r="S286">
        <v>7.7777780592441559E-2</v>
      </c>
      <c r="T286">
        <v>7.1428574621677399E-2</v>
      </c>
      <c r="U286">
        <v>7.1428574621677399E-2</v>
      </c>
      <c r="V286">
        <v>5.714285746216774E-2</v>
      </c>
      <c r="W286">
        <v>8.7301589548587799E-2</v>
      </c>
      <c r="X286">
        <v>8.7301589548587799E-2</v>
      </c>
      <c r="Y286">
        <v>4.76190485060215E-2</v>
      </c>
      <c r="Z286">
        <v>0.14126984775066376</v>
      </c>
      <c r="AA286">
        <v>6.5079368650913239E-2</v>
      </c>
      <c r="AB286">
        <v>9.3650795519351959E-2</v>
      </c>
      <c r="AC286">
        <v>9.6825398504734039E-2</v>
      </c>
      <c r="AD286">
        <v>6.3492067158222198E-2</v>
      </c>
      <c r="AE286">
        <v>0.13015873730182648</v>
      </c>
      <c r="AF286">
        <v>7.1428574621677399E-2</v>
      </c>
      <c r="AG286">
        <v>6.9841273128986359E-2</v>
      </c>
      <c r="AH286">
        <v>7.1428574621677399E-2</v>
      </c>
      <c r="AI286">
        <v>6.031746044754982E-2</v>
      </c>
      <c r="AJ286">
        <v>8.8888891041278839E-2</v>
      </c>
      <c r="AK286">
        <v>7.9365082085132599E-2</v>
      </c>
      <c r="AL286">
        <v>8.8888891041278839E-2</v>
      </c>
      <c r="AM286">
        <v>0.10634920746088028</v>
      </c>
      <c r="AN286">
        <v>6.190476194024086E-2</v>
      </c>
      <c r="AO286">
        <v>6.5079368650913239E-2</v>
      </c>
      <c r="AP286">
        <v>8.4126986563205719E-2</v>
      </c>
      <c r="AQ286">
        <v>7.6190479099750519E-2</v>
      </c>
      <c r="AR286">
        <v>7.4603177607059479E-2</v>
      </c>
      <c r="AS286">
        <v>7.4603177607059479E-2</v>
      </c>
      <c r="AT286">
        <v>6.5079368650913239E-2</v>
      </c>
      <c r="AU286">
        <v>5.238095298409462E-2</v>
      </c>
      <c r="AV286">
        <v>7.7777780592441559E-2</v>
      </c>
      <c r="AW286">
        <v>5.55555559694767E-2</v>
      </c>
      <c r="AX286">
        <v>5.396825447678566E-2</v>
      </c>
      <c r="AY286">
        <v>7.4603177607059479E-2</v>
      </c>
      <c r="AZ286">
        <v>6.9841273128986359E-2</v>
      </c>
      <c r="BA286">
        <v>7.9365082085132599E-2</v>
      </c>
      <c r="BB286">
        <v>8.4126986563205719E-2</v>
      </c>
      <c r="BC286">
        <v>6.5079368650913239E-2</v>
      </c>
      <c r="BD286">
        <v>0.10000000149011612</v>
      </c>
      <c r="BE286">
        <v>8.2539685070514679E-2</v>
      </c>
      <c r="BF286">
        <v>7.1428574621677399E-2</v>
      </c>
      <c r="BG286">
        <v>8.5714288055896759E-2</v>
      </c>
      <c r="BH286">
        <v>9.3650795519351959E-2</v>
      </c>
      <c r="BI286">
        <v>6.3492067158222198E-2</v>
      </c>
      <c r="BJ286">
        <v>5.079365149140358E-2</v>
      </c>
      <c r="BK286">
        <v>8.5714288055896759E-2</v>
      </c>
      <c r="BL286">
        <v>6.3492067158222198E-2</v>
      </c>
      <c r="BM286">
        <v>6.031746044754982E-2</v>
      </c>
      <c r="BN286">
        <v>6.5079368650913239E-2</v>
      </c>
      <c r="BO286">
        <v>6.8253971636295319E-2</v>
      </c>
      <c r="BP286">
        <v>9.3650795519351959E-2</v>
      </c>
      <c r="BQ286">
        <v>8.8888891041278839E-2</v>
      </c>
      <c r="BR286">
        <v>9.0476192533969879E-2</v>
      </c>
      <c r="BS286">
        <v>6.5079368650913239E-2</v>
      </c>
      <c r="BT286">
        <v>7.3015876114368439E-2</v>
      </c>
      <c r="BU286">
        <v>9.3650795519351959E-2</v>
      </c>
      <c r="BV286">
        <v>8.8888891041278839E-2</v>
      </c>
      <c r="BW286">
        <v>6.3492067158222198E-2</v>
      </c>
      <c r="BX286">
        <v>5.873015895485878E-2</v>
      </c>
      <c r="BY286">
        <v>8.5714288055896759E-2</v>
      </c>
      <c r="BZ286">
        <v>8.5714288055896759E-2</v>
      </c>
      <c r="CA286">
        <v>7.4603177607059479E-2</v>
      </c>
      <c r="CB286">
        <v>8.7301589548587799E-2</v>
      </c>
      <c r="CC286">
        <v>7.5630255043506622E-2</v>
      </c>
      <c r="CD286">
        <v>7.5630255043506622E-2</v>
      </c>
      <c r="CE286">
        <v>5.8823529630899429E-2</v>
      </c>
      <c r="CF286">
        <v>7.7310927212238312E-2</v>
      </c>
      <c r="CG286">
        <v>8.5714288055896759E-2</v>
      </c>
      <c r="CH286">
        <v>4.8739496618509293E-2</v>
      </c>
      <c r="CI286">
        <v>8.403361588716507E-2</v>
      </c>
      <c r="CJ286">
        <v>7.0588238537311554E-2</v>
      </c>
      <c r="CK286">
        <v>8.5714288055896759E-2</v>
      </c>
      <c r="CL286">
        <v>8.235294371843338E-2</v>
      </c>
      <c r="CM286">
        <v>0.10588235408067703</v>
      </c>
      <c r="CN286">
        <v>5.714285746216774E-2</v>
      </c>
      <c r="CO286">
        <v>0.10756302624940872</v>
      </c>
      <c r="CP286">
        <v>7.8991599380970001E-2</v>
      </c>
      <c r="CQ286">
        <v>7.8991599380970001E-2</v>
      </c>
      <c r="CR286">
        <v>7.0588238537311554E-2</v>
      </c>
      <c r="CS286">
        <v>0.10084033757448196</v>
      </c>
      <c r="CT286">
        <v>6.5546222031116486E-2</v>
      </c>
      <c r="CU286">
        <v>8.235294371843338E-2</v>
      </c>
      <c r="CV286">
        <v>6.0504201799631119E-2</v>
      </c>
      <c r="CW286">
        <v>6.5546222031116486E-2</v>
      </c>
      <c r="CX286">
        <v>7.3949582874774933E-2</v>
      </c>
      <c r="CY286">
        <v>0.13613446056842804</v>
      </c>
      <c r="CZ286">
        <v>6.0504201799631119E-2</v>
      </c>
      <c r="DA286">
        <v>8.235294371843338E-2</v>
      </c>
      <c r="DB286">
        <v>9.9159665405750275E-2</v>
      </c>
      <c r="DC286">
        <v>9.0756304562091827E-2</v>
      </c>
      <c r="DD286">
        <v>6.5546222031116486E-2</v>
      </c>
      <c r="DE286">
        <v>5.714285746216774E-2</v>
      </c>
      <c r="DF286">
        <v>7.7310927212238312E-2</v>
      </c>
      <c r="DG286">
        <v>6.3865549862384796E-2</v>
      </c>
      <c r="DH286">
        <v>9.5798321068286896E-2</v>
      </c>
      <c r="DI286">
        <v>7.7310927212238312E-2</v>
      </c>
      <c r="DJ286">
        <v>7.8991599380970001E-2</v>
      </c>
      <c r="DK286">
        <v>6.3865549862384796E-2</v>
      </c>
      <c r="DL286">
        <v>8.7394960224628448E-2</v>
      </c>
      <c r="DM286">
        <v>0.10420168191194534</v>
      </c>
      <c r="DN286">
        <v>7.8991599380970001E-2</v>
      </c>
      <c r="DO286">
        <v>6.2184873968362808E-2</v>
      </c>
      <c r="DP286">
        <v>7.5630255043506622E-2</v>
      </c>
      <c r="DQ286">
        <v>6.3865549862384796E-2</v>
      </c>
      <c r="DR286">
        <v>7.7310927212238312E-2</v>
      </c>
      <c r="DS286">
        <v>8.5714288055896759E-2</v>
      </c>
      <c r="DT286">
        <v>7.8991599380970001E-2</v>
      </c>
      <c r="DU286">
        <v>7.7310927212238312E-2</v>
      </c>
      <c r="DV286">
        <v>9.2436976730823517E-2</v>
      </c>
      <c r="DW286">
        <v>4.7058824449777603E-2</v>
      </c>
      <c r="DX286">
        <v>0.10756302624940872</v>
      </c>
      <c r="DY286">
        <v>7.5630255043506622E-2</v>
      </c>
      <c r="DZ286">
        <v>8.0672271549701691E-2</v>
      </c>
      <c r="EA286">
        <v>7.8991599380970001E-2</v>
      </c>
      <c r="EB286">
        <v>6.3865549862384796E-2</v>
      </c>
      <c r="EC286">
        <v>9.2436976730823517E-2</v>
      </c>
      <c r="ED286">
        <v>0.10252100974321365</v>
      </c>
      <c r="EE286">
        <v>7.8991599380970001E-2</v>
      </c>
      <c r="EF286">
        <v>8.9075632393360138E-2</v>
      </c>
      <c r="EG286">
        <v>6.3865549862384796E-2</v>
      </c>
      <c r="EH286">
        <v>8.235294371843338E-2</v>
      </c>
      <c r="EI286">
        <v>6.5546222031116486E-2</v>
      </c>
      <c r="EJ286">
        <v>0.10756302624940872</v>
      </c>
      <c r="EK286">
        <v>0.11764705926179886</v>
      </c>
      <c r="EL286">
        <v>6.2184873968362808E-2</v>
      </c>
      <c r="EM286">
        <v>9.4117648899555206E-2</v>
      </c>
      <c r="EN286">
        <v>5.546218529343605E-2</v>
      </c>
      <c r="EO286">
        <v>0.15630252659320831</v>
      </c>
      <c r="EP286">
        <v>7.7310927212238312E-2</v>
      </c>
      <c r="EQ286">
        <v>5.8823529630899429E-2</v>
      </c>
      <c r="ER286">
        <v>6.3865549862384796E-2</v>
      </c>
      <c r="ES286">
        <v>0.10756302624940872</v>
      </c>
      <c r="ET286">
        <v>7.0588238537311554E-2</v>
      </c>
      <c r="EU286">
        <v>6.0504201799631119E-2</v>
      </c>
      <c r="EV286">
        <v>6.2184873968362808E-2</v>
      </c>
      <c r="EW286">
        <v>7.8991599380970001E-2</v>
      </c>
      <c r="EX286">
        <v>7.7310927212238312E-2</v>
      </c>
      <c r="EY286">
        <v>5.2100840955972672E-2</v>
      </c>
      <c r="EZ286">
        <v>4.5378152281045914E-2</v>
      </c>
      <c r="FA286">
        <v>6.5546222031116486E-2</v>
      </c>
      <c r="FB286">
        <v>9.7478993237018585E-2</v>
      </c>
      <c r="FC286">
        <v>7.0588238537311554E-2</v>
      </c>
      <c r="FD286">
        <v>8.403361588716507E-2</v>
      </c>
      <c r="FE286">
        <v>8.235294371843338E-2</v>
      </c>
      <c r="FF286">
        <v>6.2184873968362808E-2</v>
      </c>
      <c r="FG286">
        <v>5.0420168787240982E-2</v>
      </c>
      <c r="FH286">
        <v>7.5630255043506622E-2</v>
      </c>
      <c r="FI286">
        <v>7.2268910706043243E-2</v>
      </c>
      <c r="FJ286">
        <v>7.2268910706043243E-2</v>
      </c>
      <c r="FK286">
        <v>8.5714288055896759E-2</v>
      </c>
      <c r="FL286">
        <v>6.3865549862384796E-2</v>
      </c>
      <c r="FM286">
        <v>6.2184873968362808E-2</v>
      </c>
      <c r="FN286">
        <v>6.8907566368579865E-2</v>
      </c>
      <c r="FO286">
        <v>9.0756304562091827E-2</v>
      </c>
      <c r="FP286">
        <v>6.3865549862384796E-2</v>
      </c>
      <c r="FQ286">
        <v>7.3949582874774933E-2</v>
      </c>
      <c r="FR286">
        <v>5.714285746216774E-2</v>
      </c>
      <c r="FS286">
        <v>9.4117648899555206E-2</v>
      </c>
      <c r="FT286">
        <v>5.546218529343605E-2</v>
      </c>
      <c r="FU286">
        <v>7.5630255043506622E-2</v>
      </c>
      <c r="FV286">
        <v>8.5714288055896759E-2</v>
      </c>
      <c r="FW286">
        <v>6.8907566368579865E-2</v>
      </c>
      <c r="FX286">
        <v>7.2268910706043243E-2</v>
      </c>
      <c r="FY286">
        <v>0.10924369841814041</v>
      </c>
      <c r="FZ286">
        <v>6.5546222031116486E-2</v>
      </c>
      <c r="GA286">
        <v>8.7394960224628448E-2</v>
      </c>
      <c r="GB286">
        <v>7.0588238537311554E-2</v>
      </c>
      <c r="GC286">
        <v>6.3865549862384796E-2</v>
      </c>
      <c r="GD286">
        <v>5.0420168787240982E-2</v>
      </c>
      <c r="GE286">
        <v>0.11428571492433548</v>
      </c>
      <c r="GF286">
        <v>5.8823529630899429E-2</v>
      </c>
      <c r="GG286">
        <v>8.235294371843338E-2</v>
      </c>
      <c r="GH286">
        <v>6.8907566368579865E-2</v>
      </c>
      <c r="GI286">
        <v>7.7310927212238312E-2</v>
      </c>
      <c r="GJ286">
        <v>7.7310927212238312E-2</v>
      </c>
      <c r="GK286">
        <v>7.0588238537311554E-2</v>
      </c>
      <c r="GL286">
        <v>5.0420168787240982E-2</v>
      </c>
      <c r="GM286">
        <v>6.8907566368579865E-2</v>
      </c>
      <c r="GN286">
        <v>5.714285746216774E-2</v>
      </c>
      <c r="GO286">
        <v>7.8991599380970001E-2</v>
      </c>
      <c r="GP286">
        <v>7.2268910706043243E-2</v>
      </c>
      <c r="GQ286">
        <v>9.9159665405750275E-2</v>
      </c>
      <c r="GR286">
        <v>6.2184873968362808E-2</v>
      </c>
      <c r="GS286">
        <v>7.3949582874774933E-2</v>
      </c>
      <c r="GT286">
        <v>9.4117648899555206E-2</v>
      </c>
      <c r="GU286">
        <v>6.5546222031116486E-2</v>
      </c>
      <c r="GV286">
        <v>5.0420168787240982E-2</v>
      </c>
      <c r="GW286">
        <v>8.235294371843338E-2</v>
      </c>
      <c r="GX286">
        <v>5.8823529630899429E-2</v>
      </c>
      <c r="GY286">
        <v>7.0588238537311554E-2</v>
      </c>
      <c r="GZ286">
        <v>7.0588238537311554E-2</v>
      </c>
      <c r="HA286">
        <v>7.8991599380970001E-2</v>
      </c>
      <c r="HB286">
        <v>7.7310927212238312E-2</v>
      </c>
      <c r="HC286">
        <v>0.12268907576799393</v>
      </c>
      <c r="HD286">
        <v>5.8823529630899429E-2</v>
      </c>
      <c r="HE286">
        <v>7.3949582874774933E-2</v>
      </c>
      <c r="HF286">
        <v>6.2184873968362808E-2</v>
      </c>
      <c r="HG286">
        <v>0.11764705926179886</v>
      </c>
      <c r="HH286">
        <v>6.0504201799631119E-2</v>
      </c>
      <c r="HI286">
        <v>9.0756304562091827E-2</v>
      </c>
      <c r="HJ286">
        <v>8.0672271549701691E-2</v>
      </c>
      <c r="HK286">
        <v>6.8907566368579865E-2</v>
      </c>
      <c r="HL286">
        <v>9.0756304562091827E-2</v>
      </c>
      <c r="HM286">
        <v>4.7058824449777603E-2</v>
      </c>
      <c r="HN286">
        <v>6.8907566368579865E-2</v>
      </c>
      <c r="HO286">
        <v>0.11428571492433548</v>
      </c>
      <c r="HP286">
        <v>6.5546222031116486E-2</v>
      </c>
      <c r="HQ286">
        <v>6.8907566368579865E-2</v>
      </c>
      <c r="HR286">
        <v>6.2184873968362808E-2</v>
      </c>
      <c r="HS286">
        <v>4.8739496618509293E-2</v>
      </c>
      <c r="HT286">
        <v>8.7394960224628448E-2</v>
      </c>
      <c r="HU286">
        <v>6.0504201799631119E-2</v>
      </c>
      <c r="HV286">
        <v>7.0588238537311554E-2</v>
      </c>
      <c r="HW286">
        <v>9.5798321068286896E-2</v>
      </c>
      <c r="HX286">
        <v>0.11428571492433548</v>
      </c>
      <c r="HY286">
        <v>8.0672271549701691E-2</v>
      </c>
      <c r="HZ286">
        <v>8.5714288055896759E-2</v>
      </c>
      <c r="IA286">
        <v>0.10420168191194534</v>
      </c>
      <c r="IB286">
        <v>6.3865549862384796E-2</v>
      </c>
      <c r="IC286">
        <v>6.7226894199848175E-2</v>
      </c>
      <c r="ID286">
        <v>6.2184873968362808E-2</v>
      </c>
      <c r="IE286">
        <v>8.0672271549701691E-2</v>
      </c>
      <c r="IF286">
        <v>6.8907566368579865E-2</v>
      </c>
      <c r="IG286">
        <v>7.5630255043506622E-2</v>
      </c>
      <c r="IH286">
        <v>6.8907566368579865E-2</v>
      </c>
      <c r="II286">
        <v>0.20840336382389069</v>
      </c>
      <c r="IJ286">
        <v>6.2184873968362808E-2</v>
      </c>
      <c r="IK286">
        <v>7.0588238537311554E-2</v>
      </c>
      <c r="IL286">
        <v>8.0672271549701691E-2</v>
      </c>
      <c r="IM286">
        <v>9.0756304562091827E-2</v>
      </c>
      <c r="IN286">
        <v>7.0588238537311554E-2</v>
      </c>
      <c r="IO286">
        <v>0.13949580490589142</v>
      </c>
      <c r="IP286">
        <v>0.10756302624940872</v>
      </c>
      <c r="IQ286">
        <v>7.0588238537311554E-2</v>
      </c>
      <c r="IR286">
        <v>5.3781513124704361E-2</v>
      </c>
      <c r="IS286">
        <v>7.0588238537311554E-2</v>
      </c>
      <c r="IT286">
        <v>7.0588238537311554E-2</v>
      </c>
      <c r="IU286">
        <v>7.0588238537311554E-2</v>
      </c>
      <c r="IV286">
        <v>6.0504201799631119E-2</v>
      </c>
      <c r="IW286">
        <v>8.7394960224628448E-2</v>
      </c>
      <c r="IX286">
        <v>7.2268910706043243E-2</v>
      </c>
      <c r="IY286">
        <v>5.546218529343605E-2</v>
      </c>
      <c r="IZ286">
        <v>8.5714288055896759E-2</v>
      </c>
      <c r="JA286">
        <v>6.8907566368579865E-2</v>
      </c>
      <c r="JB286">
        <v>6.3865549862384796E-2</v>
      </c>
      <c r="JC286">
        <v>6.5546222031116486E-2</v>
      </c>
      <c r="JD286">
        <v>7.7310927212238312E-2</v>
      </c>
      <c r="JE286">
        <v>5.714285746216774E-2</v>
      </c>
      <c r="JF286">
        <v>0.12941177189350128</v>
      </c>
      <c r="JG286">
        <v>6.7226894199848175E-2</v>
      </c>
      <c r="JH286">
        <v>6.8907566368579865E-2</v>
      </c>
      <c r="JI286">
        <v>6.5546222031116486E-2</v>
      </c>
      <c r="JJ286">
        <v>7.7310927212238312E-2</v>
      </c>
      <c r="JK286">
        <v>6.8907566368579865E-2</v>
      </c>
      <c r="JL286">
        <v>9.7478993237018585E-2</v>
      </c>
      <c r="JM286">
        <v>9.4117648899555206E-2</v>
      </c>
      <c r="JN286">
        <v>8.9075632393360138E-2</v>
      </c>
    </row>
    <row r="287" spans="4:276" x14ac:dyDescent="0.25">
      <c r="D287" s="41" t="str" cm="1">
        <f t="array" ref="D287">IF(H287="","",IF(AND(E287&lt;AVERAGE(E286,E288)*($L$19/100),$D$23:D286=""),H287,""))</f>
        <v/>
      </c>
      <c r="E287" s="78">
        <f t="shared" si="4"/>
        <v>2.3455414435773481E-3</v>
      </c>
      <c r="F287" s="79"/>
      <c r="H287">
        <v>265</v>
      </c>
      <c r="I287">
        <v>7.6395541443577353E-2</v>
      </c>
      <c r="K287">
        <v>6.6666670143604279E-2</v>
      </c>
      <c r="L287">
        <v>7.1428574621677399E-2</v>
      </c>
      <c r="M287">
        <v>9.3650795519351959E-2</v>
      </c>
      <c r="N287">
        <v>5.396825447678566E-2</v>
      </c>
      <c r="O287">
        <v>7.3015876114368439E-2</v>
      </c>
      <c r="P287">
        <v>8.5714288055896759E-2</v>
      </c>
      <c r="Q287">
        <v>7.1428574621677399E-2</v>
      </c>
      <c r="R287">
        <v>5.873015895485878E-2</v>
      </c>
      <c r="S287">
        <v>6.031746044754982E-2</v>
      </c>
      <c r="T287">
        <v>8.2539685070514679E-2</v>
      </c>
      <c r="U287">
        <v>7.1428574621677399E-2</v>
      </c>
      <c r="V287">
        <v>7.1428574621677399E-2</v>
      </c>
      <c r="W287">
        <v>8.8888891041278839E-2</v>
      </c>
      <c r="X287">
        <v>5.079365149140358E-2</v>
      </c>
      <c r="Y287">
        <v>7.7777780592441559E-2</v>
      </c>
      <c r="Z287">
        <v>6.190476194024086E-2</v>
      </c>
      <c r="AA287">
        <v>9.0476192533969879E-2</v>
      </c>
      <c r="AB287">
        <v>5.873015895485878E-2</v>
      </c>
      <c r="AC287">
        <v>7.3015876114368439E-2</v>
      </c>
      <c r="AD287">
        <v>5.396825447678566E-2</v>
      </c>
      <c r="AE287">
        <v>0.12857143580913544</v>
      </c>
      <c r="AF287">
        <v>7.9365082085132599E-2</v>
      </c>
      <c r="AG287">
        <v>6.9841273128986359E-2</v>
      </c>
      <c r="AH287">
        <v>6.031746044754982E-2</v>
      </c>
      <c r="AI287">
        <v>7.6190479099750519E-2</v>
      </c>
      <c r="AJ287">
        <v>5.714285746216774E-2</v>
      </c>
      <c r="AK287">
        <v>7.1428574621677399E-2</v>
      </c>
      <c r="AL287">
        <v>7.6190479099750519E-2</v>
      </c>
      <c r="AM287">
        <v>6.190476194024086E-2</v>
      </c>
      <c r="AN287">
        <v>8.8888891041278839E-2</v>
      </c>
      <c r="AO287">
        <v>6.3492067158222198E-2</v>
      </c>
      <c r="AP287">
        <v>4.920634999871254E-2</v>
      </c>
      <c r="AQ287">
        <v>0.10000000149011612</v>
      </c>
      <c r="AR287">
        <v>7.6190479099750519E-2</v>
      </c>
      <c r="AS287">
        <v>4.920634999871254E-2</v>
      </c>
      <c r="AT287">
        <v>7.7310927212238312E-2</v>
      </c>
      <c r="AU287">
        <v>7.7310927212238312E-2</v>
      </c>
      <c r="AV287">
        <v>7.2268910706043243E-2</v>
      </c>
      <c r="AW287">
        <v>7.8991599380970001E-2</v>
      </c>
      <c r="AX287">
        <v>7.5630255043506622E-2</v>
      </c>
      <c r="AY287">
        <v>6.8907566368579865E-2</v>
      </c>
      <c r="AZ287">
        <v>0.13949580490589142</v>
      </c>
      <c r="BA287">
        <v>6.5546222031116486E-2</v>
      </c>
      <c r="BB287">
        <v>6.8907566368579865E-2</v>
      </c>
      <c r="BC287">
        <v>9.4117648899555206E-2</v>
      </c>
      <c r="BD287">
        <v>6.0504201799631119E-2</v>
      </c>
      <c r="BE287">
        <v>8.5714288055896759E-2</v>
      </c>
      <c r="BF287">
        <v>0.10420168191194534</v>
      </c>
      <c r="BG287">
        <v>7.3949582874774933E-2</v>
      </c>
      <c r="BH287">
        <v>9.7478993237018585E-2</v>
      </c>
      <c r="BI287">
        <v>7.2268910706043243E-2</v>
      </c>
      <c r="BJ287">
        <v>5.8823529630899429E-2</v>
      </c>
      <c r="BK287">
        <v>0.14957983791828156</v>
      </c>
      <c r="BL287">
        <v>7.3949582874774933E-2</v>
      </c>
      <c r="BM287">
        <v>9.0756304562091827E-2</v>
      </c>
      <c r="BN287">
        <v>0.10084033757448196</v>
      </c>
      <c r="BO287">
        <v>9.5798321068286896E-2</v>
      </c>
      <c r="BP287">
        <v>6.3865549862384796E-2</v>
      </c>
      <c r="BQ287">
        <v>0.10420168191194534</v>
      </c>
      <c r="BR287">
        <v>6.7226894199848175E-2</v>
      </c>
      <c r="BS287">
        <v>6.5546222031116486E-2</v>
      </c>
      <c r="BT287">
        <v>0.10084033757448196</v>
      </c>
      <c r="BU287">
        <v>5.714285746216774E-2</v>
      </c>
      <c r="BV287">
        <v>8.403361588716507E-2</v>
      </c>
      <c r="BW287">
        <v>6.5546222031116486E-2</v>
      </c>
      <c r="BX287">
        <v>6.7226894199848175E-2</v>
      </c>
      <c r="BY287">
        <v>7.7310927212238312E-2</v>
      </c>
      <c r="BZ287">
        <v>7.7310927212238312E-2</v>
      </c>
      <c r="CA287">
        <v>4.0336135774850845E-2</v>
      </c>
      <c r="CB287">
        <v>6.3865549862384796E-2</v>
      </c>
      <c r="CC287">
        <v>9.5798321068286896E-2</v>
      </c>
      <c r="CD287">
        <v>7.0588238537311554E-2</v>
      </c>
      <c r="CE287">
        <v>6.0504201799631119E-2</v>
      </c>
      <c r="CF287">
        <v>0.10756302624940872</v>
      </c>
      <c r="CG287">
        <v>6.0504201799631119E-2</v>
      </c>
      <c r="CH287">
        <v>7.0588238537311554E-2</v>
      </c>
      <c r="CI287">
        <v>6.0504201799631119E-2</v>
      </c>
      <c r="CJ287">
        <v>0.12436974793672562</v>
      </c>
      <c r="CK287">
        <v>7.8991599380970001E-2</v>
      </c>
      <c r="CL287">
        <v>0.11260504275560379</v>
      </c>
      <c r="CM287">
        <v>7.3949582874774933E-2</v>
      </c>
      <c r="CN287">
        <v>5.8823529630899429E-2</v>
      </c>
      <c r="CO287">
        <v>8.235294371843338E-2</v>
      </c>
      <c r="CP287">
        <v>9.2436976730823517E-2</v>
      </c>
      <c r="CQ287">
        <v>7.2268910706043243E-2</v>
      </c>
      <c r="CR287">
        <v>7.0588238537311554E-2</v>
      </c>
      <c r="CS287">
        <v>6.5546222031116486E-2</v>
      </c>
      <c r="CT287">
        <v>7.5630255043506622E-2</v>
      </c>
      <c r="CU287">
        <v>5.8823529630899429E-2</v>
      </c>
      <c r="CV287">
        <v>8.9075632393360138E-2</v>
      </c>
      <c r="CW287">
        <v>7.3949582874774933E-2</v>
      </c>
      <c r="CX287">
        <v>6.5546222031116486E-2</v>
      </c>
      <c r="CY287">
        <v>8.403361588716507E-2</v>
      </c>
      <c r="CZ287">
        <v>9.2436976730823517E-2</v>
      </c>
      <c r="DA287">
        <v>9.0756304562091827E-2</v>
      </c>
      <c r="DB287">
        <v>8.403361588716507E-2</v>
      </c>
      <c r="DC287">
        <v>6.3865549862384796E-2</v>
      </c>
      <c r="DD287">
        <v>5.3781513124704361E-2</v>
      </c>
      <c r="DE287">
        <v>6.3865549862384796E-2</v>
      </c>
      <c r="DF287">
        <v>6.8907566368579865E-2</v>
      </c>
      <c r="DG287">
        <v>8.403361588716507E-2</v>
      </c>
      <c r="DH287">
        <v>6.3865549862384796E-2</v>
      </c>
      <c r="DI287">
        <v>9.7478993237018585E-2</v>
      </c>
      <c r="DJ287">
        <v>6.8907566368579865E-2</v>
      </c>
      <c r="DK287">
        <v>7.8991599380970001E-2</v>
      </c>
      <c r="DL287">
        <v>0.10420168191194534</v>
      </c>
      <c r="DM287">
        <v>8.0672271549701691E-2</v>
      </c>
      <c r="DN287">
        <v>6.3865549862384796E-2</v>
      </c>
      <c r="DO287">
        <v>7.8991599380970001E-2</v>
      </c>
      <c r="DP287">
        <v>0.10588235408067703</v>
      </c>
      <c r="DQ287">
        <v>8.5714288055896759E-2</v>
      </c>
      <c r="DR287">
        <v>6.7226894199848175E-2</v>
      </c>
      <c r="DS287">
        <v>8.235294371843338E-2</v>
      </c>
      <c r="DT287">
        <v>7.0588238537311554E-2</v>
      </c>
      <c r="DU287">
        <v>8.9075632393360138E-2</v>
      </c>
      <c r="DV287">
        <v>7.5630255043506622E-2</v>
      </c>
      <c r="DW287">
        <v>7.0588238537311554E-2</v>
      </c>
      <c r="DX287">
        <v>6.7226894199848175E-2</v>
      </c>
      <c r="DY287">
        <v>8.235294371843338E-2</v>
      </c>
      <c r="DZ287">
        <v>7.7310927212238312E-2</v>
      </c>
      <c r="EA287">
        <v>6.2184873968362808E-2</v>
      </c>
      <c r="EB287">
        <v>4.7058824449777603E-2</v>
      </c>
      <c r="EC287">
        <v>9.5798321068286896E-2</v>
      </c>
      <c r="ED287">
        <v>7.2268910706043243E-2</v>
      </c>
      <c r="EE287">
        <v>6.3865549862384796E-2</v>
      </c>
      <c r="EF287">
        <v>8.0672271549701691E-2</v>
      </c>
      <c r="EG287">
        <v>0.10924369841814041</v>
      </c>
      <c r="EH287">
        <v>7.5630255043506622E-2</v>
      </c>
      <c r="EI287">
        <v>8.403361588716507E-2</v>
      </c>
      <c r="EJ287">
        <v>6.2184873968362808E-2</v>
      </c>
      <c r="EK287">
        <v>8.9075632393360138E-2</v>
      </c>
      <c r="EL287">
        <v>5.3781513124704361E-2</v>
      </c>
      <c r="EM287">
        <v>7.0588238537311554E-2</v>
      </c>
      <c r="EN287">
        <v>5.714285746216774E-2</v>
      </c>
      <c r="EO287">
        <v>9.2436976730823517E-2</v>
      </c>
      <c r="EP287">
        <v>0.10420168191194534</v>
      </c>
      <c r="EQ287">
        <v>6.0504201799631119E-2</v>
      </c>
      <c r="ER287">
        <v>6.5546222031116486E-2</v>
      </c>
      <c r="ES287">
        <v>7.2268910706043243E-2</v>
      </c>
      <c r="ET287">
        <v>4.8739496618509293E-2</v>
      </c>
      <c r="EU287">
        <v>0.10084033757448196</v>
      </c>
      <c r="EV287">
        <v>8.9075632393360138E-2</v>
      </c>
      <c r="EW287">
        <v>5.714285746216774E-2</v>
      </c>
      <c r="EX287">
        <v>6.2184873968362808E-2</v>
      </c>
      <c r="EY287">
        <v>6.5546222031116486E-2</v>
      </c>
      <c r="EZ287">
        <v>8.9075632393360138E-2</v>
      </c>
      <c r="FA287">
        <v>6.2184873968362808E-2</v>
      </c>
      <c r="FB287">
        <v>7.0588238537311554E-2</v>
      </c>
      <c r="FC287">
        <v>8.9075632393360138E-2</v>
      </c>
      <c r="FD287">
        <v>5.8823529630899429E-2</v>
      </c>
      <c r="FE287">
        <v>6.2184873968362808E-2</v>
      </c>
      <c r="FF287">
        <v>9.0756304562091827E-2</v>
      </c>
      <c r="FG287">
        <v>5.8823529630899429E-2</v>
      </c>
      <c r="FH287">
        <v>0.16638655960559845</v>
      </c>
      <c r="FI287">
        <v>5.546218529343605E-2</v>
      </c>
      <c r="FJ287">
        <v>7.7310927212238312E-2</v>
      </c>
      <c r="FK287">
        <v>8.403361588716507E-2</v>
      </c>
      <c r="FL287">
        <v>5.546218529343605E-2</v>
      </c>
      <c r="FM287">
        <v>4.5378152281045914E-2</v>
      </c>
      <c r="FN287">
        <v>7.2268910706043243E-2</v>
      </c>
      <c r="FO287">
        <v>5.546218529343605E-2</v>
      </c>
      <c r="FP287">
        <v>9.5798321068286896E-2</v>
      </c>
      <c r="FQ287">
        <v>5.714285746216774E-2</v>
      </c>
      <c r="FR287">
        <v>0.10084033757448196</v>
      </c>
      <c r="FS287">
        <v>6.3865549862384796E-2</v>
      </c>
      <c r="FT287">
        <v>8.0672271549701691E-2</v>
      </c>
      <c r="FU287">
        <v>7.0588238537311554E-2</v>
      </c>
      <c r="FV287">
        <v>9.0756304562091827E-2</v>
      </c>
      <c r="FW287">
        <v>0.10588235408067703</v>
      </c>
      <c r="FX287">
        <v>6.2184873968362808E-2</v>
      </c>
      <c r="FY287">
        <v>7.3949582874774933E-2</v>
      </c>
      <c r="FZ287">
        <v>9.9159665405750275E-2</v>
      </c>
      <c r="GA287">
        <v>7.3949582874774933E-2</v>
      </c>
      <c r="GB287">
        <v>6.3865549862384796E-2</v>
      </c>
      <c r="GC287">
        <v>0.11260504275560379</v>
      </c>
      <c r="GD287">
        <v>5.8823529630899429E-2</v>
      </c>
      <c r="GE287">
        <v>7.2268910706043243E-2</v>
      </c>
      <c r="GF287">
        <v>6.3865549862384796E-2</v>
      </c>
      <c r="GG287">
        <v>5.8823529630899429E-2</v>
      </c>
      <c r="GH287">
        <v>9.4117648899555206E-2</v>
      </c>
      <c r="GI287">
        <v>4.5378152281045914E-2</v>
      </c>
      <c r="GJ287">
        <v>4.7058824449777603E-2</v>
      </c>
      <c r="GK287">
        <v>9.9159665405750275E-2</v>
      </c>
      <c r="GL287">
        <v>7.2268910706043243E-2</v>
      </c>
      <c r="GM287">
        <v>8.0672271549701691E-2</v>
      </c>
      <c r="GN287">
        <v>7.7310927212238312E-2</v>
      </c>
      <c r="GO287">
        <v>7.7310927212238312E-2</v>
      </c>
      <c r="GP287">
        <v>8.5714288055896759E-2</v>
      </c>
      <c r="GQ287">
        <v>7.8991599380970001E-2</v>
      </c>
      <c r="GR287">
        <v>7.8991599380970001E-2</v>
      </c>
      <c r="GS287">
        <v>8.7394960224628448E-2</v>
      </c>
      <c r="GT287">
        <v>8.403361588716507E-2</v>
      </c>
      <c r="GU287">
        <v>4.8739496618509293E-2</v>
      </c>
      <c r="GV287">
        <v>8.403361588716507E-2</v>
      </c>
      <c r="GW287">
        <v>8.7394960224628448E-2</v>
      </c>
      <c r="GX287">
        <v>7.7310927212238312E-2</v>
      </c>
      <c r="GY287">
        <v>7.2268910706043243E-2</v>
      </c>
      <c r="GZ287">
        <v>5.0420168787240982E-2</v>
      </c>
      <c r="HA287">
        <v>8.5714288055896759E-2</v>
      </c>
      <c r="HB287">
        <v>7.0588238537311554E-2</v>
      </c>
      <c r="HC287">
        <v>5.8823529630899429E-2</v>
      </c>
      <c r="HD287">
        <v>0.10588235408067703</v>
      </c>
      <c r="HE287">
        <v>6.8907566368579865E-2</v>
      </c>
      <c r="HF287">
        <v>7.2268910706043243E-2</v>
      </c>
      <c r="HG287">
        <v>0.10420168191194534</v>
      </c>
      <c r="HH287">
        <v>9.0756304562091827E-2</v>
      </c>
      <c r="HI287">
        <v>9.0756304562091827E-2</v>
      </c>
      <c r="HJ287">
        <v>7.5630255043506622E-2</v>
      </c>
      <c r="HK287">
        <v>5.8823529630899429E-2</v>
      </c>
      <c r="HL287">
        <v>5.8823529630899429E-2</v>
      </c>
      <c r="HM287">
        <v>7.5630255043506622E-2</v>
      </c>
      <c r="HN287">
        <v>6.2184873968362808E-2</v>
      </c>
      <c r="HO287">
        <v>0.10252100974321365</v>
      </c>
      <c r="HP287">
        <v>7.8991599380970001E-2</v>
      </c>
      <c r="HQ287">
        <v>8.9075632393360138E-2</v>
      </c>
      <c r="HR287">
        <v>0.1109243705868721</v>
      </c>
      <c r="HS287">
        <v>6.2184873968362808E-2</v>
      </c>
      <c r="HT287">
        <v>0.10756302624940872</v>
      </c>
      <c r="HU287">
        <v>7.3949582874774933E-2</v>
      </c>
      <c r="HV287">
        <v>6.0504201799631119E-2</v>
      </c>
      <c r="HW287">
        <v>6.0504201799631119E-2</v>
      </c>
      <c r="HX287">
        <v>0.10084033757448196</v>
      </c>
      <c r="HY287">
        <v>8.235294371843338E-2</v>
      </c>
      <c r="HZ287">
        <v>7.0588238537311554E-2</v>
      </c>
      <c r="IA287">
        <v>7.0588238537311554E-2</v>
      </c>
      <c r="IB287">
        <v>7.5630255043506622E-2</v>
      </c>
      <c r="IC287">
        <v>0.10924369841814041</v>
      </c>
      <c r="ID287">
        <v>6.2184873968362808E-2</v>
      </c>
      <c r="IE287">
        <v>0.10924369841814041</v>
      </c>
      <c r="IF287">
        <v>7.0588238537311554E-2</v>
      </c>
      <c r="IG287">
        <v>6.7226894199848175E-2</v>
      </c>
      <c r="IH287">
        <v>6.0504201799631119E-2</v>
      </c>
      <c r="II287">
        <v>5.714285746216774E-2</v>
      </c>
      <c r="IJ287">
        <v>5.3781513124704361E-2</v>
      </c>
      <c r="IK287">
        <v>6.2184873968362808E-2</v>
      </c>
      <c r="IL287">
        <v>5.8823529630899429E-2</v>
      </c>
      <c r="IM287">
        <v>8.7394960224628448E-2</v>
      </c>
      <c r="IN287">
        <v>6.0504201799631119E-2</v>
      </c>
      <c r="IO287">
        <v>5.714285746216774E-2</v>
      </c>
      <c r="IP287">
        <v>0.12773109972476959</v>
      </c>
      <c r="IQ287">
        <v>8.0672271549701691E-2</v>
      </c>
      <c r="IR287">
        <v>9.2436976730823517E-2</v>
      </c>
      <c r="IS287">
        <v>0.10084033757448196</v>
      </c>
      <c r="IT287">
        <v>6.5546222031116486E-2</v>
      </c>
      <c r="IU287">
        <v>8.0672271549701691E-2</v>
      </c>
      <c r="IV287">
        <v>6.3865549862384796E-2</v>
      </c>
      <c r="IW287">
        <v>5.3781513124704361E-2</v>
      </c>
      <c r="IX287">
        <v>5.714285746216774E-2</v>
      </c>
      <c r="IY287">
        <v>7.3949582874774933E-2</v>
      </c>
      <c r="IZ287">
        <v>6.7226894199848175E-2</v>
      </c>
      <c r="JA287">
        <v>6.7226894199848175E-2</v>
      </c>
      <c r="JB287">
        <v>9.7478993237018585E-2</v>
      </c>
      <c r="JC287">
        <v>6.3865549862384796E-2</v>
      </c>
      <c r="JD287">
        <v>4.7058824449777603E-2</v>
      </c>
      <c r="JE287">
        <v>5.546218529343605E-2</v>
      </c>
      <c r="JF287">
        <v>0.10084033757448196</v>
      </c>
      <c r="JG287">
        <v>7.2268910706043243E-2</v>
      </c>
      <c r="JH287">
        <v>8.5714288055896759E-2</v>
      </c>
      <c r="JI287">
        <v>8.235294371843338E-2</v>
      </c>
      <c r="JJ287">
        <v>4.8739496618509293E-2</v>
      </c>
      <c r="JK287">
        <v>8.0672271549701691E-2</v>
      </c>
      <c r="JL287">
        <v>8.235294371843338E-2</v>
      </c>
      <c r="JM287">
        <v>7.7310927212238312E-2</v>
      </c>
      <c r="JN287">
        <v>7.8991599380970001E-2</v>
      </c>
      <c r="JO287">
        <v>7.2268910706043243E-2</v>
      </c>
    </row>
    <row r="288" spans="4:276" x14ac:dyDescent="0.25">
      <c r="D288" s="41" t="str" cm="1">
        <f t="array" ref="D288">IF(H288="","",IF(AND(E288&lt;AVERAGE(E287,E289)*($L$19/100),$D$23:D287=""),H288,""))</f>
        <v/>
      </c>
      <c r="E288" s="78">
        <f t="shared" si="4"/>
        <v>3.7158452664999148E-3</v>
      </c>
      <c r="F288" s="79"/>
      <c r="H288">
        <v>266</v>
      </c>
      <c r="I288">
        <v>7.7765845266499919E-2</v>
      </c>
      <c r="K288">
        <v>7.5630255043506622E-2</v>
      </c>
      <c r="L288">
        <v>6.5546222031116486E-2</v>
      </c>
      <c r="M288">
        <v>9.7478993237018585E-2</v>
      </c>
      <c r="N288">
        <v>5.546218529343605E-2</v>
      </c>
      <c r="O288">
        <v>9.0756304562091827E-2</v>
      </c>
      <c r="P288">
        <v>8.235294371843338E-2</v>
      </c>
      <c r="Q288">
        <v>5.8823529630899429E-2</v>
      </c>
      <c r="R288">
        <v>6.2184873968362808E-2</v>
      </c>
      <c r="S288">
        <v>9.2436976730823517E-2</v>
      </c>
      <c r="T288">
        <v>8.403361588716507E-2</v>
      </c>
      <c r="U288">
        <v>0.11764705926179886</v>
      </c>
      <c r="V288">
        <v>6.3865549862384796E-2</v>
      </c>
      <c r="W288">
        <v>0.12100840359926224</v>
      </c>
      <c r="X288">
        <v>7.5630255043506622E-2</v>
      </c>
      <c r="Y288">
        <v>6.5546222031116486E-2</v>
      </c>
      <c r="Z288">
        <v>7.7310927212238312E-2</v>
      </c>
      <c r="AA288">
        <v>0.12268907576799393</v>
      </c>
      <c r="AB288">
        <v>6.5546222031116486E-2</v>
      </c>
      <c r="AC288">
        <v>9.2436976730823517E-2</v>
      </c>
      <c r="AD288">
        <v>7.2268910706043243E-2</v>
      </c>
      <c r="AE288">
        <v>7.0588238537311554E-2</v>
      </c>
      <c r="AF288">
        <v>0.10084033757448196</v>
      </c>
      <c r="AG288">
        <v>6.2184873968362808E-2</v>
      </c>
      <c r="AH288">
        <v>0.10756302624940872</v>
      </c>
      <c r="AI288">
        <v>5.8823529630899429E-2</v>
      </c>
      <c r="AJ288">
        <v>9.0756304562091827E-2</v>
      </c>
      <c r="AK288">
        <v>7.0588238537311554E-2</v>
      </c>
      <c r="AL288">
        <v>6.5546222031116486E-2</v>
      </c>
      <c r="AM288">
        <v>6.7226894199848175E-2</v>
      </c>
      <c r="AN288">
        <v>0.12268907576799393</v>
      </c>
      <c r="AO288">
        <v>6.5546222031116486E-2</v>
      </c>
      <c r="AP288">
        <v>6.7226894199848175E-2</v>
      </c>
      <c r="AQ288">
        <v>0.11260504275560379</v>
      </c>
      <c r="AR288">
        <v>9.0756304562091827E-2</v>
      </c>
      <c r="AS288">
        <v>6.2184873968362808E-2</v>
      </c>
      <c r="AT288">
        <v>0.10420168191194534</v>
      </c>
      <c r="AU288">
        <v>8.235294371843338E-2</v>
      </c>
      <c r="AV288">
        <v>6.7226894199848175E-2</v>
      </c>
      <c r="AW288">
        <v>5.714285746216774E-2</v>
      </c>
      <c r="AX288">
        <v>6.2184873968362808E-2</v>
      </c>
      <c r="AY288">
        <v>6.7226894199848175E-2</v>
      </c>
      <c r="AZ288">
        <v>9.0756304562091827E-2</v>
      </c>
      <c r="BA288">
        <v>5.714285746216774E-2</v>
      </c>
      <c r="BB288">
        <v>5.714285746216774E-2</v>
      </c>
      <c r="BC288">
        <v>6.7226894199848175E-2</v>
      </c>
      <c r="BD288">
        <v>4.7058824449777603E-2</v>
      </c>
      <c r="BE288">
        <v>9.7478993237018585E-2</v>
      </c>
      <c r="BF288">
        <v>9.2436976730823517E-2</v>
      </c>
      <c r="BG288">
        <v>8.9075632393360138E-2</v>
      </c>
      <c r="BH288">
        <v>9.9159665405750275E-2</v>
      </c>
      <c r="BI288">
        <v>6.7226894199848175E-2</v>
      </c>
      <c r="BJ288">
        <v>6.2184873968362808E-2</v>
      </c>
      <c r="BK288">
        <v>0.1260504275560379</v>
      </c>
      <c r="BL288">
        <v>5.714285746216774E-2</v>
      </c>
      <c r="BM288">
        <v>6.2184873968362808E-2</v>
      </c>
      <c r="BN288">
        <v>7.2268910706043243E-2</v>
      </c>
      <c r="BO288">
        <v>6.3865549862384796E-2</v>
      </c>
      <c r="BP288">
        <v>7.0588238537311554E-2</v>
      </c>
      <c r="BQ288">
        <v>9.5798321068286896E-2</v>
      </c>
      <c r="BR288">
        <v>6.3865549862384796E-2</v>
      </c>
      <c r="BS288">
        <v>9.9159665405750275E-2</v>
      </c>
      <c r="BT288">
        <v>8.5714288055896759E-2</v>
      </c>
      <c r="BU288">
        <v>9.4117648899555206E-2</v>
      </c>
      <c r="BV288">
        <v>5.8823529630899429E-2</v>
      </c>
      <c r="BW288">
        <v>7.7310927212238312E-2</v>
      </c>
      <c r="BX288">
        <v>0.10588235408067703</v>
      </c>
      <c r="BY288">
        <v>6.2184873968362808E-2</v>
      </c>
      <c r="BZ288">
        <v>8.403361588716507E-2</v>
      </c>
      <c r="CA288">
        <v>8.403361588716507E-2</v>
      </c>
      <c r="CB288">
        <v>8.403361588716507E-2</v>
      </c>
      <c r="CC288">
        <v>0.10756302624940872</v>
      </c>
      <c r="CD288">
        <v>8.235294371843338E-2</v>
      </c>
      <c r="CE288">
        <v>8.5714288055896759E-2</v>
      </c>
      <c r="CF288">
        <v>7.3949582874774933E-2</v>
      </c>
      <c r="CG288">
        <v>7.0588238537311554E-2</v>
      </c>
      <c r="CH288">
        <v>6.5546222031116486E-2</v>
      </c>
      <c r="CI288">
        <v>8.5714288055896759E-2</v>
      </c>
      <c r="CJ288">
        <v>8.5714288055896759E-2</v>
      </c>
      <c r="CK288">
        <v>5.2100840955972672E-2</v>
      </c>
      <c r="CL288">
        <v>8.0672271549701691E-2</v>
      </c>
      <c r="CM288">
        <v>6.2184873968362808E-2</v>
      </c>
      <c r="CN288">
        <v>7.5630255043506622E-2</v>
      </c>
      <c r="CO288">
        <v>5.546218529343605E-2</v>
      </c>
      <c r="CP288">
        <v>7.7310927212238312E-2</v>
      </c>
      <c r="CQ288">
        <v>7.7310927212238312E-2</v>
      </c>
      <c r="CR288">
        <v>8.7394960224628448E-2</v>
      </c>
      <c r="CS288">
        <v>9.4117648899555206E-2</v>
      </c>
      <c r="CT288">
        <v>6.2184873968362808E-2</v>
      </c>
      <c r="CU288">
        <v>6.5546222031116486E-2</v>
      </c>
      <c r="CV288">
        <v>6.2184873968362808E-2</v>
      </c>
      <c r="CW288">
        <v>9.2436976730823517E-2</v>
      </c>
      <c r="CX288">
        <v>6.7226894199848175E-2</v>
      </c>
      <c r="CY288">
        <v>6.0504201799631119E-2</v>
      </c>
      <c r="CZ288">
        <v>7.3949582874774933E-2</v>
      </c>
      <c r="DA288">
        <v>7.7310927212238312E-2</v>
      </c>
      <c r="DB288">
        <v>0.10588235408067703</v>
      </c>
      <c r="DC288">
        <v>6.7226894199848175E-2</v>
      </c>
      <c r="DD288">
        <v>6.8907566368579865E-2</v>
      </c>
      <c r="DE288">
        <v>7.5630255043506622E-2</v>
      </c>
      <c r="DF288">
        <v>9.9159665405750275E-2</v>
      </c>
      <c r="DG288">
        <v>7.8991599380970001E-2</v>
      </c>
      <c r="DH288">
        <v>9.5798321068286896E-2</v>
      </c>
      <c r="DI288">
        <v>4.8739496618509293E-2</v>
      </c>
      <c r="DJ288">
        <v>9.7478993237018585E-2</v>
      </c>
      <c r="DK288">
        <v>6.0504201799631119E-2</v>
      </c>
      <c r="DL288">
        <v>6.3865549862384796E-2</v>
      </c>
      <c r="DM288">
        <v>9.9159665405750275E-2</v>
      </c>
      <c r="DN288">
        <v>6.8907566368579865E-2</v>
      </c>
      <c r="DO288">
        <v>8.403361588716507E-2</v>
      </c>
      <c r="DP288">
        <v>6.2184873968362808E-2</v>
      </c>
      <c r="DQ288">
        <v>7.5630255043506622E-2</v>
      </c>
      <c r="DR288">
        <v>5.8823529630899429E-2</v>
      </c>
      <c r="DS288">
        <v>6.5546222031116486E-2</v>
      </c>
      <c r="DT288">
        <v>8.0672271549701691E-2</v>
      </c>
      <c r="DU288">
        <v>0.13613446056842804</v>
      </c>
      <c r="DV288">
        <v>0.10252100974321365</v>
      </c>
      <c r="DW288">
        <v>9.2436976730823517E-2</v>
      </c>
      <c r="DX288">
        <v>0.10924369841814041</v>
      </c>
      <c r="DY288">
        <v>6.3865549862384796E-2</v>
      </c>
      <c r="DZ288">
        <v>7.7310927212238312E-2</v>
      </c>
      <c r="EA288">
        <v>6.0504201799631119E-2</v>
      </c>
      <c r="EB288">
        <v>7.7310927212238312E-2</v>
      </c>
      <c r="EC288">
        <v>6.3865549862384796E-2</v>
      </c>
      <c r="ED288">
        <v>5.2100840955972672E-2</v>
      </c>
      <c r="EE288">
        <v>9.9159665405750275E-2</v>
      </c>
      <c r="EF288">
        <v>9.4117648899555206E-2</v>
      </c>
      <c r="EG288">
        <v>6.8907566368579865E-2</v>
      </c>
      <c r="EH288">
        <v>5.714285746216774E-2</v>
      </c>
      <c r="EI288">
        <v>8.0672271549701691E-2</v>
      </c>
      <c r="EJ288">
        <v>7.0588238537311554E-2</v>
      </c>
      <c r="EK288">
        <v>7.7310927212238312E-2</v>
      </c>
      <c r="EL288">
        <v>6.7226894199848175E-2</v>
      </c>
      <c r="EM288">
        <v>7.7310927212238312E-2</v>
      </c>
      <c r="EN288">
        <v>6.3865549862384796E-2</v>
      </c>
      <c r="EO288">
        <v>8.7394960224628448E-2</v>
      </c>
      <c r="EP288">
        <v>6.7226894199848175E-2</v>
      </c>
      <c r="EQ288">
        <v>7.0588238537311554E-2</v>
      </c>
      <c r="ER288">
        <v>6.8907566368579865E-2</v>
      </c>
      <c r="ES288">
        <v>0.10924369841814041</v>
      </c>
      <c r="ET288">
        <v>7.5630255043506622E-2</v>
      </c>
      <c r="EU288">
        <v>5.8823529630899429E-2</v>
      </c>
      <c r="EV288">
        <v>6.8907566368579865E-2</v>
      </c>
      <c r="EW288">
        <v>6.5546222031116486E-2</v>
      </c>
      <c r="EX288">
        <v>6.7226894199848175E-2</v>
      </c>
      <c r="EY288">
        <v>6.7226894199848175E-2</v>
      </c>
      <c r="EZ288">
        <v>4.5378152281045914E-2</v>
      </c>
      <c r="FA288">
        <v>0.11428571492433548</v>
      </c>
      <c r="FB288">
        <v>6.7226894199848175E-2</v>
      </c>
      <c r="FC288">
        <v>0.10924369841814041</v>
      </c>
      <c r="FD288">
        <v>7.7310927212238312E-2</v>
      </c>
      <c r="FE288">
        <v>9.0756304562091827E-2</v>
      </c>
      <c r="FF288">
        <v>4.8739496618509293E-2</v>
      </c>
      <c r="FG288">
        <v>0.13613446056842804</v>
      </c>
      <c r="FH288">
        <v>5.8823529630899429E-2</v>
      </c>
      <c r="FI288">
        <v>9.0756304562091827E-2</v>
      </c>
      <c r="FJ288">
        <v>6.0504201799631119E-2</v>
      </c>
      <c r="FK288">
        <v>6.7226894199848175E-2</v>
      </c>
      <c r="FL288">
        <v>6.8907566368579865E-2</v>
      </c>
      <c r="FM288">
        <v>5.2100840955972672E-2</v>
      </c>
      <c r="FN288">
        <v>8.9075632393360138E-2</v>
      </c>
      <c r="FO288">
        <v>6.7226894199848175E-2</v>
      </c>
      <c r="FP288">
        <v>7.3949582874774933E-2</v>
      </c>
      <c r="FQ288">
        <v>5.0420168787240982E-2</v>
      </c>
      <c r="FR288">
        <v>0.11764705926179886</v>
      </c>
      <c r="FS288">
        <v>5.2100840955972672E-2</v>
      </c>
      <c r="FT288">
        <v>9.2436976730823517E-2</v>
      </c>
      <c r="FU288">
        <v>8.7394960224628448E-2</v>
      </c>
      <c r="FV288">
        <v>6.0504201799631119E-2</v>
      </c>
      <c r="FW288">
        <v>6.2184873968362808E-2</v>
      </c>
      <c r="FX288">
        <v>9.2436976730823517E-2</v>
      </c>
      <c r="FY288">
        <v>9.7478993237018585E-2</v>
      </c>
      <c r="FZ288">
        <v>8.5714288055896759E-2</v>
      </c>
      <c r="GA288">
        <v>9.9159665405750275E-2</v>
      </c>
      <c r="GB288">
        <v>9.5798321068286896E-2</v>
      </c>
      <c r="GC288">
        <v>9.0756304562091827E-2</v>
      </c>
      <c r="GD288">
        <v>7.5630255043506622E-2</v>
      </c>
      <c r="GE288">
        <v>7.5630255043506622E-2</v>
      </c>
      <c r="GF288">
        <v>5.546218529343605E-2</v>
      </c>
      <c r="GG288">
        <v>8.9075632393360138E-2</v>
      </c>
      <c r="GH288">
        <v>9.5798321068286896E-2</v>
      </c>
      <c r="GI288">
        <v>4.3697480112314224E-2</v>
      </c>
      <c r="GJ288">
        <v>7.2268910706043243E-2</v>
      </c>
      <c r="GK288">
        <v>7.8991599380970001E-2</v>
      </c>
      <c r="GL288">
        <v>6.7226894199848175E-2</v>
      </c>
      <c r="GM288">
        <v>6.2184873968362808E-2</v>
      </c>
      <c r="GN288">
        <v>6.2184873968362808E-2</v>
      </c>
      <c r="GO288">
        <v>6.0504201799631119E-2</v>
      </c>
      <c r="GP288">
        <v>7.2268910706043243E-2</v>
      </c>
      <c r="GQ288">
        <v>7.0588238537311554E-2</v>
      </c>
      <c r="GR288">
        <v>9.4117648899555206E-2</v>
      </c>
      <c r="GS288">
        <v>0.11428571492433548</v>
      </c>
      <c r="GT288">
        <v>6.0504201799631119E-2</v>
      </c>
      <c r="GU288">
        <v>7.0588238537311554E-2</v>
      </c>
      <c r="GV288">
        <v>7.8991599380970001E-2</v>
      </c>
      <c r="GW288">
        <v>8.235294371843338E-2</v>
      </c>
      <c r="GX288">
        <v>6.5546222031116486E-2</v>
      </c>
      <c r="GY288">
        <v>7.7310927212238312E-2</v>
      </c>
      <c r="GZ288">
        <v>0.10588235408067703</v>
      </c>
      <c r="HA288">
        <v>7.7310927212238312E-2</v>
      </c>
      <c r="HB288">
        <v>6.0504201799631119E-2</v>
      </c>
      <c r="HC288">
        <v>5.8823529630899429E-2</v>
      </c>
      <c r="HD288">
        <v>8.235294371843338E-2</v>
      </c>
      <c r="HE288">
        <v>7.2268910706043243E-2</v>
      </c>
      <c r="HF288">
        <v>8.235294371843338E-2</v>
      </c>
      <c r="HG288">
        <v>8.7394960224628448E-2</v>
      </c>
      <c r="HH288">
        <v>5.714285746216774E-2</v>
      </c>
      <c r="HI288">
        <v>7.7310927212238312E-2</v>
      </c>
      <c r="HJ288">
        <v>6.0504201799631119E-2</v>
      </c>
      <c r="HK288">
        <v>6.0504201799631119E-2</v>
      </c>
      <c r="HL288">
        <v>5.0420168787240982E-2</v>
      </c>
      <c r="HM288">
        <v>0.14789916574954987</v>
      </c>
      <c r="HN288">
        <v>6.7226894199848175E-2</v>
      </c>
      <c r="HO288">
        <v>7.5630255043506622E-2</v>
      </c>
      <c r="HP288">
        <v>0.10084033757448196</v>
      </c>
      <c r="HQ288">
        <v>5.714285746216774E-2</v>
      </c>
      <c r="HR288">
        <v>9.5798321068286896E-2</v>
      </c>
      <c r="HS288">
        <v>8.403361588716507E-2</v>
      </c>
      <c r="HT288">
        <v>7.0588238537311554E-2</v>
      </c>
      <c r="HU288">
        <v>6.8907566368579865E-2</v>
      </c>
      <c r="HV288">
        <v>9.5798321068286896E-2</v>
      </c>
      <c r="HW288">
        <v>0.11596638709306717</v>
      </c>
      <c r="HX288">
        <v>6.5546222031116486E-2</v>
      </c>
      <c r="HY288">
        <v>7.5630255043506622E-2</v>
      </c>
      <c r="HZ288">
        <v>7.0588238537311554E-2</v>
      </c>
      <c r="IA288">
        <v>7.8991599380970001E-2</v>
      </c>
      <c r="IB288">
        <v>0.10084033757448196</v>
      </c>
      <c r="IC288">
        <v>8.0672271549701691E-2</v>
      </c>
      <c r="ID288">
        <v>7.8991599380970001E-2</v>
      </c>
      <c r="IE288">
        <v>8.7394960224628448E-2</v>
      </c>
      <c r="IF288">
        <v>8.0672271549701691E-2</v>
      </c>
      <c r="IG288">
        <v>6.2184873968362808E-2</v>
      </c>
      <c r="IH288">
        <v>9.2436976730823517E-2</v>
      </c>
      <c r="II288">
        <v>6.7226894199848175E-2</v>
      </c>
      <c r="IJ288">
        <v>6.3865549862384796E-2</v>
      </c>
      <c r="IK288">
        <v>7.0588238537311554E-2</v>
      </c>
      <c r="IL288">
        <v>5.714285746216774E-2</v>
      </c>
      <c r="IM288">
        <v>6.0504201799631119E-2</v>
      </c>
      <c r="IN288">
        <v>6.3865549862384796E-2</v>
      </c>
      <c r="IO288">
        <v>7.0588238537311554E-2</v>
      </c>
      <c r="IP288">
        <v>6.0504201799631119E-2</v>
      </c>
      <c r="IQ288">
        <v>7.3949582874774933E-2</v>
      </c>
      <c r="IR288">
        <v>0.11932773143053055</v>
      </c>
      <c r="IS288">
        <v>6.5546222031116486E-2</v>
      </c>
      <c r="IT288">
        <v>9.9159665405750275E-2</v>
      </c>
      <c r="IU288">
        <v>7.8991599380970001E-2</v>
      </c>
      <c r="IV288">
        <v>4.7058824449777603E-2</v>
      </c>
      <c r="IW288">
        <v>7.8991599380970001E-2</v>
      </c>
      <c r="IX288">
        <v>7.5630255043506622E-2</v>
      </c>
      <c r="IY288">
        <v>8.9075632393360138E-2</v>
      </c>
      <c r="IZ288">
        <v>7.2268910706043243E-2</v>
      </c>
      <c r="JA288">
        <v>0.12436974793672562</v>
      </c>
      <c r="JB288">
        <v>9.4117648899555206E-2</v>
      </c>
      <c r="JC288">
        <v>0.14789916574954987</v>
      </c>
      <c r="JD288">
        <v>4.5378152281045914E-2</v>
      </c>
      <c r="JE288">
        <v>5.714285746216774E-2</v>
      </c>
      <c r="JF288">
        <v>7.5630255043506622E-2</v>
      </c>
      <c r="JG288">
        <v>5.714285746216774E-2</v>
      </c>
      <c r="JH288">
        <v>4.5378152281045914E-2</v>
      </c>
      <c r="JI288">
        <v>5.3781513124704361E-2</v>
      </c>
      <c r="JJ288">
        <v>8.235294371843338E-2</v>
      </c>
      <c r="JK288">
        <v>7.7310927212238312E-2</v>
      </c>
      <c r="JL288">
        <v>8.9075632393360138E-2</v>
      </c>
      <c r="JM288">
        <v>8.0672271549701691E-2</v>
      </c>
      <c r="JN288">
        <v>7.0588238537311554E-2</v>
      </c>
      <c r="JO288">
        <v>7.3949582874774933E-2</v>
      </c>
      <c r="JP288">
        <v>7.8991599380970001E-2</v>
      </c>
    </row>
    <row r="289" spans="4:292" x14ac:dyDescent="0.25">
      <c r="D289" s="41" t="str" cm="1">
        <f t="array" ref="D289">IF(H289="","",IF(AND(E289&lt;AVERAGE(E288,E290)*($L$19/100),$D$23:D288=""),H289,""))</f>
        <v/>
      </c>
      <c r="E289" s="78">
        <f t="shared" si="4"/>
        <v>3.2162912164064722E-3</v>
      </c>
      <c r="F289" s="79"/>
      <c r="H289">
        <v>267</v>
      </c>
      <c r="I289">
        <v>7.7266291216406477E-2</v>
      </c>
      <c r="K289">
        <v>7.5630255043506622E-2</v>
      </c>
      <c r="L289">
        <v>7.5630255043506622E-2</v>
      </c>
      <c r="M289">
        <v>6.2184873968362808E-2</v>
      </c>
      <c r="N289">
        <v>6.0504201799631119E-2</v>
      </c>
      <c r="O289">
        <v>6.2184873968362808E-2</v>
      </c>
      <c r="P289">
        <v>6.7226894199848175E-2</v>
      </c>
      <c r="Q289">
        <v>6.8907566368579865E-2</v>
      </c>
      <c r="R289">
        <v>0.10084033757448196</v>
      </c>
      <c r="S289">
        <v>6.0504201799631119E-2</v>
      </c>
      <c r="T289">
        <v>7.5630255043506622E-2</v>
      </c>
      <c r="U289">
        <v>7.0588238537311554E-2</v>
      </c>
      <c r="V289">
        <v>4.0336135774850845E-2</v>
      </c>
      <c r="W289">
        <v>8.403361588716507E-2</v>
      </c>
      <c r="X289">
        <v>6.0504201799631119E-2</v>
      </c>
      <c r="Y289">
        <v>6.7226894199848175E-2</v>
      </c>
      <c r="Z289">
        <v>5.714285746216774E-2</v>
      </c>
      <c r="AA289">
        <v>7.8991599380970001E-2</v>
      </c>
      <c r="AB289">
        <v>8.0672271549701691E-2</v>
      </c>
      <c r="AC289">
        <v>0.13613446056842804</v>
      </c>
      <c r="AD289">
        <v>6.7226894199848175E-2</v>
      </c>
      <c r="AE289">
        <v>8.0672271549701691E-2</v>
      </c>
      <c r="AF289">
        <v>8.7394960224628448E-2</v>
      </c>
      <c r="AG289">
        <v>6.8907566368579865E-2</v>
      </c>
      <c r="AH289">
        <v>6.8907566368579865E-2</v>
      </c>
      <c r="AI289">
        <v>6.8907566368579865E-2</v>
      </c>
      <c r="AJ289">
        <v>7.8991599380970001E-2</v>
      </c>
      <c r="AK289">
        <v>6.8907566368579865E-2</v>
      </c>
      <c r="AL289">
        <v>7.0588238537311554E-2</v>
      </c>
      <c r="AM289">
        <v>8.0672271549701691E-2</v>
      </c>
      <c r="AN289">
        <v>0.21344538033008575</v>
      </c>
      <c r="AO289">
        <v>6.3865549862384796E-2</v>
      </c>
      <c r="AP289">
        <v>5.2100840955972672E-2</v>
      </c>
      <c r="AQ289">
        <v>7.3949582874774933E-2</v>
      </c>
      <c r="AR289">
        <v>7.3949582874774933E-2</v>
      </c>
      <c r="AS289">
        <v>7.2268910706043243E-2</v>
      </c>
      <c r="AT289">
        <v>8.403361588716507E-2</v>
      </c>
      <c r="AU289">
        <v>5.2100840955972672E-2</v>
      </c>
      <c r="AV289">
        <v>0.12100840359926224</v>
      </c>
      <c r="AW289">
        <v>7.5630255043506622E-2</v>
      </c>
      <c r="AX289">
        <v>8.403361588716507E-2</v>
      </c>
      <c r="AY289">
        <v>4.7058824449777603E-2</v>
      </c>
      <c r="AZ289">
        <v>9.5798321068286896E-2</v>
      </c>
      <c r="BA289">
        <v>6.0504201799631119E-2</v>
      </c>
      <c r="BB289">
        <v>7.0588238537311554E-2</v>
      </c>
      <c r="BC289">
        <v>7.3949582874774933E-2</v>
      </c>
      <c r="BD289">
        <v>5.8823529630899429E-2</v>
      </c>
      <c r="BE289">
        <v>8.9075632393360138E-2</v>
      </c>
      <c r="BF289">
        <v>7.2268910706043243E-2</v>
      </c>
      <c r="BG289">
        <v>8.235294371843338E-2</v>
      </c>
      <c r="BH289">
        <v>7.0588238537311554E-2</v>
      </c>
      <c r="BI289">
        <v>5.2100840955972672E-2</v>
      </c>
      <c r="BJ289">
        <v>9.4117648899555206E-2</v>
      </c>
      <c r="BK289">
        <v>5.3781513124704361E-2</v>
      </c>
      <c r="BL289">
        <v>7.3949582874774933E-2</v>
      </c>
      <c r="BM289">
        <v>8.5714288055896759E-2</v>
      </c>
      <c r="BN289">
        <v>7.2268910706043243E-2</v>
      </c>
      <c r="BO289">
        <v>0.12436974793672562</v>
      </c>
      <c r="BP289">
        <v>7.3949582874774933E-2</v>
      </c>
      <c r="BQ289">
        <v>8.7394960224628448E-2</v>
      </c>
      <c r="BR289">
        <v>5.2100840955972672E-2</v>
      </c>
      <c r="BS289">
        <v>5.8823529630899429E-2</v>
      </c>
      <c r="BT289">
        <v>0.12268907576799393</v>
      </c>
      <c r="BU289">
        <v>5.3781513124704361E-2</v>
      </c>
      <c r="BV289">
        <v>6.0504201799631119E-2</v>
      </c>
      <c r="BW289">
        <v>8.0672271549701691E-2</v>
      </c>
      <c r="BX289">
        <v>9.0756304562091827E-2</v>
      </c>
      <c r="BY289">
        <v>7.3949582874774933E-2</v>
      </c>
      <c r="BZ289">
        <v>9.4117648899555206E-2</v>
      </c>
      <c r="CA289">
        <v>0.10252100974321365</v>
      </c>
      <c r="CB289">
        <v>8.235294371843338E-2</v>
      </c>
      <c r="CC289">
        <v>5.8823529630899429E-2</v>
      </c>
      <c r="CD289">
        <v>9.4117648899555206E-2</v>
      </c>
      <c r="CE289">
        <v>0.1109243705868721</v>
      </c>
      <c r="CF289">
        <v>5.0420168787240982E-2</v>
      </c>
      <c r="CG289">
        <v>7.2268910706043243E-2</v>
      </c>
      <c r="CH289">
        <v>6.2184873968362808E-2</v>
      </c>
      <c r="CI289">
        <v>7.5630255043506622E-2</v>
      </c>
      <c r="CJ289">
        <v>8.235294371843338E-2</v>
      </c>
      <c r="CK289">
        <v>9.2436976730823517E-2</v>
      </c>
      <c r="CL289">
        <v>7.2268910706043243E-2</v>
      </c>
      <c r="CM289">
        <v>7.2268910706043243E-2</v>
      </c>
      <c r="CN289">
        <v>9.0756304562091827E-2</v>
      </c>
      <c r="CO289">
        <v>0.10420168191194534</v>
      </c>
      <c r="CP289">
        <v>7.5630255043506622E-2</v>
      </c>
      <c r="CQ289">
        <v>8.7394960224628448E-2</v>
      </c>
      <c r="CR289">
        <v>5.8823529630899429E-2</v>
      </c>
      <c r="CS289">
        <v>9.0756304562091827E-2</v>
      </c>
      <c r="CT289">
        <v>4.8739496618509293E-2</v>
      </c>
      <c r="CU289">
        <v>7.8991599380970001E-2</v>
      </c>
      <c r="CV289">
        <v>7.3949582874774933E-2</v>
      </c>
      <c r="CW289">
        <v>9.5798321068286896E-2</v>
      </c>
      <c r="CX289">
        <v>6.2184873968362808E-2</v>
      </c>
      <c r="CY289">
        <v>8.0672271549701691E-2</v>
      </c>
      <c r="CZ289">
        <v>6.8907566368579865E-2</v>
      </c>
      <c r="DA289">
        <v>5.546218529343605E-2</v>
      </c>
      <c r="DB289">
        <v>0.11764705926179886</v>
      </c>
      <c r="DC289">
        <v>6.7226894199848175E-2</v>
      </c>
      <c r="DD289">
        <v>0.11428571492433548</v>
      </c>
      <c r="DE289">
        <v>7.2268910706043243E-2</v>
      </c>
      <c r="DF289">
        <v>6.3865549862384796E-2</v>
      </c>
      <c r="DG289">
        <v>0.11260504275560379</v>
      </c>
      <c r="DH289">
        <v>5.546218529343605E-2</v>
      </c>
      <c r="DI289">
        <v>6.0504201799631119E-2</v>
      </c>
      <c r="DJ289">
        <v>9.9159665405750275E-2</v>
      </c>
      <c r="DK289">
        <v>8.403361588716507E-2</v>
      </c>
      <c r="DL289">
        <v>7.7310927212238312E-2</v>
      </c>
      <c r="DM289">
        <v>4.2016807943582535E-2</v>
      </c>
      <c r="DN289">
        <v>0.10420168191194534</v>
      </c>
      <c r="DO289">
        <v>6.2184873968362808E-2</v>
      </c>
      <c r="DP289">
        <v>0.10084033757448196</v>
      </c>
      <c r="DQ289">
        <v>7.7310927212238312E-2</v>
      </c>
      <c r="DR289">
        <v>7.2268910706043243E-2</v>
      </c>
      <c r="DS289">
        <v>9.9159665405750275E-2</v>
      </c>
      <c r="DT289">
        <v>9.0756304562091827E-2</v>
      </c>
      <c r="DU289">
        <v>5.714285746216774E-2</v>
      </c>
      <c r="DV289">
        <v>7.7310927212238312E-2</v>
      </c>
      <c r="DW289">
        <v>7.3949582874774933E-2</v>
      </c>
      <c r="DX289">
        <v>7.3949582874774933E-2</v>
      </c>
      <c r="DY289">
        <v>0.10420168191194534</v>
      </c>
      <c r="DZ289">
        <v>7.5630255043506622E-2</v>
      </c>
      <c r="EA289">
        <v>5.8823529630899429E-2</v>
      </c>
      <c r="EB289">
        <v>8.9075632393360138E-2</v>
      </c>
      <c r="EC289">
        <v>0.1109243705868721</v>
      </c>
      <c r="ED289">
        <v>0.1109243705868721</v>
      </c>
      <c r="EE289">
        <v>6.0504201799631119E-2</v>
      </c>
      <c r="EF289">
        <v>9.2436976730823517E-2</v>
      </c>
      <c r="EG289">
        <v>8.0672271549701691E-2</v>
      </c>
      <c r="EH289">
        <v>7.5630255043506622E-2</v>
      </c>
      <c r="EI289">
        <v>6.3865549862384796E-2</v>
      </c>
      <c r="EJ289">
        <v>7.0588238537311554E-2</v>
      </c>
      <c r="EK289">
        <v>5.8823529630899429E-2</v>
      </c>
      <c r="EL289">
        <v>5.8823529630899429E-2</v>
      </c>
      <c r="EM289">
        <v>4.8739496618509293E-2</v>
      </c>
      <c r="EN289">
        <v>6.7226894199848175E-2</v>
      </c>
      <c r="EO289">
        <v>7.3949582874774933E-2</v>
      </c>
      <c r="EP289">
        <v>6.2184873968362808E-2</v>
      </c>
      <c r="EQ289">
        <v>8.5714288055896759E-2</v>
      </c>
      <c r="ER289">
        <v>8.9075632393360138E-2</v>
      </c>
      <c r="ES289">
        <v>5.714285746216774E-2</v>
      </c>
      <c r="ET289">
        <v>9.9159665405750275E-2</v>
      </c>
      <c r="EU289">
        <v>9.5798321068286896E-2</v>
      </c>
      <c r="EV289">
        <v>7.3949582874774933E-2</v>
      </c>
      <c r="EW289">
        <v>6.7226894199848175E-2</v>
      </c>
      <c r="EX289">
        <v>5.8823529630899429E-2</v>
      </c>
      <c r="EY289">
        <v>9.5798321068286896E-2</v>
      </c>
      <c r="EZ289">
        <v>9.0756304562091827E-2</v>
      </c>
      <c r="FA289">
        <v>5.546218529343605E-2</v>
      </c>
      <c r="FB289">
        <v>5.2100840955972672E-2</v>
      </c>
      <c r="FC289">
        <v>5.3781513124704361E-2</v>
      </c>
      <c r="FD289">
        <v>5.546218529343605E-2</v>
      </c>
      <c r="FE289">
        <v>6.2184873968362808E-2</v>
      </c>
      <c r="FF289">
        <v>7.0588238537311554E-2</v>
      </c>
      <c r="FG289">
        <v>7.3949582874774933E-2</v>
      </c>
      <c r="FH289">
        <v>0.10252100974321365</v>
      </c>
      <c r="FI289">
        <v>6.3865549862384796E-2</v>
      </c>
      <c r="FJ289">
        <v>7.3949582874774933E-2</v>
      </c>
      <c r="FK289">
        <v>6.7226894199848175E-2</v>
      </c>
      <c r="FL289">
        <v>8.403361588716507E-2</v>
      </c>
      <c r="FM289">
        <v>7.0588238537311554E-2</v>
      </c>
      <c r="FN289">
        <v>7.5630255043506622E-2</v>
      </c>
      <c r="FO289">
        <v>8.235294371843338E-2</v>
      </c>
      <c r="FP289">
        <v>6.8907566368579865E-2</v>
      </c>
      <c r="FQ289">
        <v>7.3949582874774933E-2</v>
      </c>
      <c r="FR289">
        <v>7.2268910706043243E-2</v>
      </c>
      <c r="FS289">
        <v>7.5630255043506622E-2</v>
      </c>
      <c r="FT289">
        <v>0.15126051008701324</v>
      </c>
      <c r="FU289">
        <v>6.5546222031116486E-2</v>
      </c>
      <c r="FV289">
        <v>9.0756304562091827E-2</v>
      </c>
      <c r="FW289">
        <v>8.0672271549701691E-2</v>
      </c>
      <c r="FX289">
        <v>6.0504201799631119E-2</v>
      </c>
      <c r="FY289">
        <v>8.9075632393360138E-2</v>
      </c>
      <c r="FZ289">
        <v>7.2268910706043243E-2</v>
      </c>
      <c r="GA289">
        <v>6.8907566368579865E-2</v>
      </c>
      <c r="GB289">
        <v>8.9075632393360138E-2</v>
      </c>
      <c r="GC289">
        <v>6.5546222031116486E-2</v>
      </c>
      <c r="GD289">
        <v>5.714285746216774E-2</v>
      </c>
      <c r="GE289">
        <v>8.235294371843338E-2</v>
      </c>
      <c r="GF289">
        <v>0.10924369841814041</v>
      </c>
      <c r="GG289">
        <v>5.3781513124704361E-2</v>
      </c>
      <c r="GH289">
        <v>0.1109243705868721</v>
      </c>
      <c r="GI289">
        <v>6.2184873968362808E-2</v>
      </c>
      <c r="GJ289">
        <v>6.0504201799631119E-2</v>
      </c>
      <c r="GK289">
        <v>9.0756304562091827E-2</v>
      </c>
      <c r="GL289">
        <v>5.714285746216774E-2</v>
      </c>
      <c r="GM289">
        <v>5.2100840955972672E-2</v>
      </c>
      <c r="GN289">
        <v>0.10756302624940872</v>
      </c>
      <c r="GO289">
        <v>5.0420168787240982E-2</v>
      </c>
      <c r="GP289">
        <v>0.10084033757448196</v>
      </c>
      <c r="GQ289">
        <v>7.0588238537311554E-2</v>
      </c>
      <c r="GR289">
        <v>7.8991599380970001E-2</v>
      </c>
      <c r="GS289">
        <v>0.11932773143053055</v>
      </c>
      <c r="GT289">
        <v>7.2268910706043243E-2</v>
      </c>
      <c r="GU289">
        <v>7.8991599380970001E-2</v>
      </c>
      <c r="GV289">
        <v>6.5546222031116486E-2</v>
      </c>
      <c r="GW289">
        <v>8.0672271549701691E-2</v>
      </c>
      <c r="GX289">
        <v>9.9159665405750275E-2</v>
      </c>
      <c r="GY289">
        <v>9.0756304562091827E-2</v>
      </c>
      <c r="GZ289">
        <v>5.546218529343605E-2</v>
      </c>
      <c r="HA289">
        <v>0.10084033757448196</v>
      </c>
      <c r="HB289">
        <v>9.5798321068286896E-2</v>
      </c>
      <c r="HC289">
        <v>4.8739496618509293E-2</v>
      </c>
      <c r="HD289">
        <v>8.403361588716507E-2</v>
      </c>
      <c r="HE289">
        <v>8.7394960224628448E-2</v>
      </c>
      <c r="HF289">
        <v>7.7310927212238312E-2</v>
      </c>
      <c r="HG289">
        <v>7.8991599380970001E-2</v>
      </c>
      <c r="HH289">
        <v>7.7310927212238312E-2</v>
      </c>
      <c r="HI289">
        <v>7.0588238537311554E-2</v>
      </c>
      <c r="HJ289">
        <v>8.5714288055896759E-2</v>
      </c>
      <c r="HK289">
        <v>5.2100840955972672E-2</v>
      </c>
      <c r="HL289">
        <v>7.5630255043506622E-2</v>
      </c>
      <c r="HM289">
        <v>6.0504201799631119E-2</v>
      </c>
      <c r="HN289">
        <v>6.0504201799631119E-2</v>
      </c>
      <c r="HO289">
        <v>7.7310927212238312E-2</v>
      </c>
      <c r="HP289">
        <v>7.2268910706043243E-2</v>
      </c>
      <c r="HQ289">
        <v>7.8991599380970001E-2</v>
      </c>
      <c r="HR289">
        <v>0.10420168191194534</v>
      </c>
      <c r="HS289">
        <v>6.7226894199848175E-2</v>
      </c>
      <c r="HT289">
        <v>8.9075632393360138E-2</v>
      </c>
      <c r="HU289">
        <v>6.7226894199848175E-2</v>
      </c>
      <c r="HV289">
        <v>7.0588238537311554E-2</v>
      </c>
      <c r="HW289">
        <v>9.5798321068286896E-2</v>
      </c>
      <c r="HX289">
        <v>5.714285746216774E-2</v>
      </c>
      <c r="HY289">
        <v>7.5630255043506622E-2</v>
      </c>
      <c r="HZ289">
        <v>6.7226894199848175E-2</v>
      </c>
      <c r="IA289">
        <v>6.0504201799631119E-2</v>
      </c>
      <c r="IB289">
        <v>0.1109243705868721</v>
      </c>
      <c r="IC289">
        <v>9.4117648899555206E-2</v>
      </c>
      <c r="ID289">
        <v>7.7310927212238312E-2</v>
      </c>
      <c r="IE289">
        <v>5.714285746216774E-2</v>
      </c>
      <c r="IF289">
        <v>5.714285746216774E-2</v>
      </c>
      <c r="IG289">
        <v>5.0420168787240982E-2</v>
      </c>
      <c r="IH289">
        <v>8.5714288055896759E-2</v>
      </c>
      <c r="II289">
        <v>4.2780749499797821E-2</v>
      </c>
      <c r="IJ289">
        <v>0.10873440653085709</v>
      </c>
      <c r="IK289">
        <v>5.8823529630899429E-2</v>
      </c>
      <c r="IL289">
        <v>7.8431375324726105E-2</v>
      </c>
      <c r="IM289">
        <v>6.4171120524406433E-2</v>
      </c>
      <c r="IN289">
        <v>7.8431375324726105E-2</v>
      </c>
      <c r="IO289">
        <v>8.1996433436870575E-2</v>
      </c>
      <c r="IP289">
        <v>7.6648838818073273E-2</v>
      </c>
      <c r="IQ289">
        <v>8.377896249294281E-2</v>
      </c>
      <c r="IR289">
        <v>0.12655971944332123</v>
      </c>
      <c r="IS289">
        <v>6.4171120524406433E-2</v>
      </c>
      <c r="IT289">
        <v>8.7344028055667877E-2</v>
      </c>
      <c r="IU289">
        <v>6.9518715143203735E-2</v>
      </c>
      <c r="IV289">
        <v>8.021390438079834E-2</v>
      </c>
      <c r="IW289">
        <v>7.130124419927597E-2</v>
      </c>
      <c r="IX289">
        <v>7.130124419927597E-2</v>
      </c>
      <c r="IY289">
        <v>0.11051693558692932</v>
      </c>
      <c r="IZ289">
        <v>8.377896249294281E-2</v>
      </c>
      <c r="JA289">
        <v>6.9518715143203735E-2</v>
      </c>
      <c r="JB289">
        <v>0.11051693558692932</v>
      </c>
      <c r="JC289">
        <v>7.4866309762001038E-2</v>
      </c>
      <c r="JD289">
        <v>6.77361860871315E-2</v>
      </c>
      <c r="JE289">
        <v>6.5953657031059265E-2</v>
      </c>
      <c r="JF289">
        <v>8.9126557111740112E-2</v>
      </c>
      <c r="JG289">
        <v>8.021390438079834E-2</v>
      </c>
      <c r="JH289">
        <v>5.5258467793464661E-2</v>
      </c>
      <c r="JI289">
        <v>6.0606062412261963E-2</v>
      </c>
      <c r="JJ289">
        <v>0.11586453020572662</v>
      </c>
      <c r="JK289">
        <v>7.130124419927597E-2</v>
      </c>
      <c r="JL289">
        <v>5.3475935012102127E-2</v>
      </c>
      <c r="JM289">
        <v>6.9518715143203735E-2</v>
      </c>
      <c r="JN289">
        <v>9.625668078660965E-2</v>
      </c>
      <c r="JO289">
        <v>8.1996433436870575E-2</v>
      </c>
      <c r="JP289">
        <v>7.130124419927597E-2</v>
      </c>
      <c r="JQ289">
        <v>6.0606062412261963E-2</v>
      </c>
    </row>
    <row r="290" spans="4:292" x14ac:dyDescent="0.25">
      <c r="D290" s="41" t="str" cm="1">
        <f t="array" ref="D290">IF(H290="","",IF(AND(E290&lt;AVERAGE(E289,E291)*($L$19/100),$D$23:D289=""),H290,""))</f>
        <v/>
      </c>
      <c r="E290" s="78">
        <f t="shared" si="4"/>
        <v>2.9409063993550005E-3</v>
      </c>
      <c r="F290" s="79"/>
      <c r="H290">
        <v>268</v>
      </c>
      <c r="I290">
        <v>7.6990906399355005E-2</v>
      </c>
      <c r="K290">
        <v>7.5630255043506622E-2</v>
      </c>
      <c r="L290">
        <v>5.546218529343605E-2</v>
      </c>
      <c r="M290">
        <v>5.0420168787240982E-2</v>
      </c>
      <c r="N290">
        <v>7.2268910706043243E-2</v>
      </c>
      <c r="O290">
        <v>7.3949582874774933E-2</v>
      </c>
      <c r="P290">
        <v>5.8823529630899429E-2</v>
      </c>
      <c r="Q290">
        <v>9.9159665405750275E-2</v>
      </c>
      <c r="R290">
        <v>0.1109243705868721</v>
      </c>
      <c r="S290">
        <v>8.235294371843338E-2</v>
      </c>
      <c r="T290">
        <v>6.3865549862384796E-2</v>
      </c>
      <c r="U290">
        <v>7.7310927212238312E-2</v>
      </c>
      <c r="V290">
        <v>4.8739496618509293E-2</v>
      </c>
      <c r="W290">
        <v>9.2436976730823517E-2</v>
      </c>
      <c r="X290">
        <v>6.2184873968362808E-2</v>
      </c>
      <c r="Y290">
        <v>0.10756302624940872</v>
      </c>
      <c r="Z290">
        <v>5.546218529343605E-2</v>
      </c>
      <c r="AA290">
        <v>5.714285746216774E-2</v>
      </c>
      <c r="AB290">
        <v>0.13445378839969635</v>
      </c>
      <c r="AC290">
        <v>6.5546222031116486E-2</v>
      </c>
      <c r="AD290">
        <v>9.2436976730823517E-2</v>
      </c>
      <c r="AE290">
        <v>9.4117648899555206E-2</v>
      </c>
      <c r="AF290">
        <v>9.9159665405750275E-2</v>
      </c>
      <c r="AG290">
        <v>7.2268910706043243E-2</v>
      </c>
      <c r="AH290">
        <v>6.3865549862384796E-2</v>
      </c>
      <c r="AI290">
        <v>4.5378152281045914E-2</v>
      </c>
      <c r="AJ290">
        <v>6.7226894199848175E-2</v>
      </c>
      <c r="AK290">
        <v>0.11764705926179886</v>
      </c>
      <c r="AL290">
        <v>9.7478993237018585E-2</v>
      </c>
      <c r="AM290">
        <v>6.0504201799631119E-2</v>
      </c>
      <c r="AN290">
        <v>5.3781513124704361E-2</v>
      </c>
      <c r="AO290">
        <v>5.3781513124704361E-2</v>
      </c>
      <c r="AP290">
        <v>7.3949582874774933E-2</v>
      </c>
      <c r="AQ290">
        <v>5.2100840955972672E-2</v>
      </c>
      <c r="AR290">
        <v>0.10252100974321365</v>
      </c>
      <c r="AS290">
        <v>8.0672271549701691E-2</v>
      </c>
      <c r="AT290">
        <v>8.9075632393360138E-2</v>
      </c>
      <c r="AU290">
        <v>7.0588238537311554E-2</v>
      </c>
      <c r="AV290">
        <v>8.9075632393360138E-2</v>
      </c>
      <c r="AW290">
        <v>9.2436976730823517E-2</v>
      </c>
      <c r="AX290">
        <v>5.0420168787240982E-2</v>
      </c>
      <c r="AY290">
        <v>7.7310927212238312E-2</v>
      </c>
      <c r="AZ290">
        <v>7.0588238537311554E-2</v>
      </c>
      <c r="BA290">
        <v>8.0672271549701691E-2</v>
      </c>
      <c r="BB290">
        <v>5.714285746216774E-2</v>
      </c>
      <c r="BC290">
        <v>6.2184873968362808E-2</v>
      </c>
      <c r="BD290">
        <v>7.2268910706043243E-2</v>
      </c>
      <c r="BE290">
        <v>5.546218529343605E-2</v>
      </c>
      <c r="BF290">
        <v>9.9159665405750275E-2</v>
      </c>
      <c r="BG290">
        <v>6.8907566368579865E-2</v>
      </c>
      <c r="BH290">
        <v>8.403361588716507E-2</v>
      </c>
      <c r="BI290">
        <v>7.2268910706043243E-2</v>
      </c>
      <c r="BJ290">
        <v>6.7226894199848175E-2</v>
      </c>
      <c r="BK290">
        <v>0.10084033757448196</v>
      </c>
      <c r="BL290">
        <v>6.2184873968362808E-2</v>
      </c>
      <c r="BM290">
        <v>7.7310927212238312E-2</v>
      </c>
      <c r="BN290">
        <v>7.3949582874774933E-2</v>
      </c>
      <c r="BO290">
        <v>7.3949582874774933E-2</v>
      </c>
      <c r="BP290">
        <v>7.2268910706043243E-2</v>
      </c>
      <c r="BQ290">
        <v>0.13109244406223297</v>
      </c>
      <c r="BR290">
        <v>7.3949582874774933E-2</v>
      </c>
      <c r="BS290">
        <v>7.5630255043506622E-2</v>
      </c>
      <c r="BT290">
        <v>0.11260504275560379</v>
      </c>
      <c r="BU290">
        <v>5.3781513124704361E-2</v>
      </c>
      <c r="BV290">
        <v>7.0588238537311554E-2</v>
      </c>
      <c r="BW290">
        <v>6.7226894199848175E-2</v>
      </c>
      <c r="BX290">
        <v>9.7478993237018585E-2</v>
      </c>
      <c r="BY290">
        <v>6.5546222031116486E-2</v>
      </c>
      <c r="BZ290">
        <v>7.3949582874774933E-2</v>
      </c>
      <c r="CA290">
        <v>0.10084033757448196</v>
      </c>
      <c r="CB290">
        <v>8.9075632393360138E-2</v>
      </c>
      <c r="CC290">
        <v>9.0756304562091827E-2</v>
      </c>
      <c r="CD290">
        <v>5.546218529343605E-2</v>
      </c>
      <c r="CE290">
        <v>0.10420168191194534</v>
      </c>
      <c r="CF290">
        <v>6.2184873968362808E-2</v>
      </c>
      <c r="CG290">
        <v>0.10252100974321365</v>
      </c>
      <c r="CH290">
        <v>6.7226894199848175E-2</v>
      </c>
      <c r="CI290">
        <v>7.0588238537311554E-2</v>
      </c>
      <c r="CJ290">
        <v>7.3949582874774933E-2</v>
      </c>
      <c r="CK290">
        <v>8.5714288055896759E-2</v>
      </c>
      <c r="CL290">
        <v>7.3949582874774933E-2</v>
      </c>
      <c r="CM290">
        <v>5.8823529630899429E-2</v>
      </c>
      <c r="CN290">
        <v>6.5546222031116486E-2</v>
      </c>
      <c r="CO290">
        <v>5.8823529630899429E-2</v>
      </c>
      <c r="CP290">
        <v>7.2268910706043243E-2</v>
      </c>
      <c r="CQ290">
        <v>0.10588235408067703</v>
      </c>
      <c r="CR290">
        <v>8.5714288055896759E-2</v>
      </c>
      <c r="CS290">
        <v>7.3949582874774933E-2</v>
      </c>
      <c r="CT290">
        <v>7.0588238537311554E-2</v>
      </c>
      <c r="CU290">
        <v>9.2436976730823517E-2</v>
      </c>
      <c r="CV290">
        <v>7.0588238537311554E-2</v>
      </c>
      <c r="CW290">
        <v>0.10252100974321365</v>
      </c>
      <c r="CX290">
        <v>0.10084033757448196</v>
      </c>
      <c r="CY290">
        <v>9.0756304562091827E-2</v>
      </c>
      <c r="CZ290">
        <v>7.0588238537311554E-2</v>
      </c>
      <c r="DA290">
        <v>6.5546222031116486E-2</v>
      </c>
      <c r="DB290">
        <v>8.7394960224628448E-2</v>
      </c>
      <c r="DC290">
        <v>9.2436976730823517E-2</v>
      </c>
      <c r="DD290">
        <v>5.3781513124704361E-2</v>
      </c>
      <c r="DE290">
        <v>6.5546222031116486E-2</v>
      </c>
      <c r="DF290">
        <v>5.546218529343605E-2</v>
      </c>
      <c r="DG290">
        <v>7.5630255043506622E-2</v>
      </c>
      <c r="DH290">
        <v>0.11260504275560379</v>
      </c>
      <c r="DI290">
        <v>9.9159665405750275E-2</v>
      </c>
      <c r="DJ290">
        <v>7.7310927212238312E-2</v>
      </c>
      <c r="DK290">
        <v>6.3865549862384796E-2</v>
      </c>
      <c r="DL290">
        <v>5.714285746216774E-2</v>
      </c>
      <c r="DM290">
        <v>9.4117648899555206E-2</v>
      </c>
      <c r="DN290">
        <v>5.8823529630899429E-2</v>
      </c>
      <c r="DO290">
        <v>6.8907566368579865E-2</v>
      </c>
      <c r="DP290">
        <v>9.0756304562091827E-2</v>
      </c>
      <c r="DQ290">
        <v>7.7310927212238312E-2</v>
      </c>
      <c r="DR290">
        <v>7.5630255043506622E-2</v>
      </c>
      <c r="DS290">
        <v>0.10924369841814041</v>
      </c>
      <c r="DT290">
        <v>6.5546222031116486E-2</v>
      </c>
      <c r="DU290">
        <v>7.2268910706043243E-2</v>
      </c>
      <c r="DV290">
        <v>0.11596638709306717</v>
      </c>
      <c r="DW290">
        <v>6.7226894199848175E-2</v>
      </c>
      <c r="DX290">
        <v>8.9075632393360138E-2</v>
      </c>
      <c r="DY290">
        <v>6.3865549862384796E-2</v>
      </c>
      <c r="DZ290">
        <v>7.2268910706043243E-2</v>
      </c>
      <c r="EA290">
        <v>8.5714288055896759E-2</v>
      </c>
      <c r="EB290">
        <v>5.8823529630899429E-2</v>
      </c>
      <c r="EC290">
        <v>8.0672271549701691E-2</v>
      </c>
      <c r="ED290">
        <v>4.5378152281045914E-2</v>
      </c>
      <c r="EE290">
        <v>6.3865549862384796E-2</v>
      </c>
      <c r="EF290">
        <v>9.9159665405750275E-2</v>
      </c>
      <c r="EG290">
        <v>7.0588238537311554E-2</v>
      </c>
      <c r="EH290">
        <v>8.235294371843338E-2</v>
      </c>
      <c r="EI290">
        <v>7.7310927212238312E-2</v>
      </c>
      <c r="EJ290">
        <v>6.8907566368579865E-2</v>
      </c>
      <c r="EK290">
        <v>7.5630255043506622E-2</v>
      </c>
      <c r="EL290">
        <v>4.5378152281045914E-2</v>
      </c>
      <c r="EM290">
        <v>7.5630255043506622E-2</v>
      </c>
      <c r="EN290">
        <v>6.2184873968362808E-2</v>
      </c>
      <c r="EO290">
        <v>8.5714288055896759E-2</v>
      </c>
      <c r="EP290">
        <v>6.3865549862384796E-2</v>
      </c>
      <c r="EQ290">
        <v>8.0672271549701691E-2</v>
      </c>
      <c r="ER290">
        <v>6.3865549862384796E-2</v>
      </c>
      <c r="ES290">
        <v>5.8823529630899429E-2</v>
      </c>
      <c r="ET290">
        <v>7.0588238537311554E-2</v>
      </c>
      <c r="EU290">
        <v>0.11260504275560379</v>
      </c>
      <c r="EV290">
        <v>7.7310927212238312E-2</v>
      </c>
      <c r="EW290">
        <v>6.2184873968362808E-2</v>
      </c>
      <c r="EX290">
        <v>5.546218529343605E-2</v>
      </c>
      <c r="EY290">
        <v>9.7478993237018585E-2</v>
      </c>
      <c r="EZ290">
        <v>6.7226894199848175E-2</v>
      </c>
      <c r="FA290">
        <v>7.7310927212238312E-2</v>
      </c>
      <c r="FB290">
        <v>0.10252100974321365</v>
      </c>
      <c r="FC290">
        <v>6.5546222031116486E-2</v>
      </c>
      <c r="FD290">
        <v>0.10756302624940872</v>
      </c>
      <c r="FE290">
        <v>9.9159665405750275E-2</v>
      </c>
      <c r="FF290">
        <v>5.546218529343605E-2</v>
      </c>
      <c r="FG290">
        <v>9.5798321068286896E-2</v>
      </c>
      <c r="FH290">
        <v>5.546218529343605E-2</v>
      </c>
      <c r="FI290">
        <v>5.8823529630899429E-2</v>
      </c>
      <c r="FJ290">
        <v>7.5630255043506622E-2</v>
      </c>
      <c r="FK290">
        <v>0.10924369841814041</v>
      </c>
      <c r="FL290">
        <v>6.3865549862384796E-2</v>
      </c>
      <c r="FM290">
        <v>8.0672271549701691E-2</v>
      </c>
      <c r="FN290">
        <v>0.10084033757448196</v>
      </c>
      <c r="FO290">
        <v>4.5378152281045914E-2</v>
      </c>
      <c r="FP290">
        <v>5.546218529343605E-2</v>
      </c>
      <c r="FQ290">
        <v>9.4117648899555206E-2</v>
      </c>
      <c r="FR290">
        <v>5.714285746216774E-2</v>
      </c>
      <c r="FS290">
        <v>8.7394960224628448E-2</v>
      </c>
      <c r="FT290">
        <v>8.7394960224628448E-2</v>
      </c>
      <c r="FU290">
        <v>6.8907566368579865E-2</v>
      </c>
      <c r="FV290">
        <v>6.5546222031116486E-2</v>
      </c>
      <c r="FW290">
        <v>8.7394960224628448E-2</v>
      </c>
      <c r="FX290">
        <v>6.0504201799631119E-2</v>
      </c>
      <c r="FY290">
        <v>8.235294371843338E-2</v>
      </c>
      <c r="FZ290">
        <v>7.8991599380970001E-2</v>
      </c>
      <c r="GA290">
        <v>7.3949582874774933E-2</v>
      </c>
      <c r="GB290">
        <v>0.10252100974321365</v>
      </c>
      <c r="GC290">
        <v>7.7310927212238312E-2</v>
      </c>
      <c r="GD290">
        <v>5.546218529343605E-2</v>
      </c>
      <c r="GE290">
        <v>9.2436976730823517E-2</v>
      </c>
      <c r="GF290">
        <v>9.0756304562091827E-2</v>
      </c>
      <c r="GG290">
        <v>6.7226894199848175E-2</v>
      </c>
      <c r="GH290">
        <v>7.7310927212238312E-2</v>
      </c>
      <c r="GI290">
        <v>5.546218529343605E-2</v>
      </c>
      <c r="GJ290">
        <v>8.403361588716507E-2</v>
      </c>
      <c r="GK290">
        <v>4.8739496618509293E-2</v>
      </c>
      <c r="GL290">
        <v>6.2184873968362808E-2</v>
      </c>
      <c r="GM290">
        <v>5.3781513124704361E-2</v>
      </c>
      <c r="GN290">
        <v>4.8739496618509293E-2</v>
      </c>
      <c r="GO290">
        <v>0.10588235408067703</v>
      </c>
      <c r="GP290">
        <v>4.2016807943582535E-2</v>
      </c>
      <c r="GQ290">
        <v>9.9159665405750275E-2</v>
      </c>
      <c r="GR290">
        <v>8.235294371843338E-2</v>
      </c>
      <c r="GS290">
        <v>5.714285746216774E-2</v>
      </c>
      <c r="GT290">
        <v>7.7310927212238312E-2</v>
      </c>
      <c r="GU290">
        <v>7.5630255043506622E-2</v>
      </c>
      <c r="GV290">
        <v>0.10420168191194534</v>
      </c>
      <c r="GW290">
        <v>9.4117648899555206E-2</v>
      </c>
      <c r="GX290">
        <v>9.0756304562091827E-2</v>
      </c>
      <c r="GY290">
        <v>0.1260504275560379</v>
      </c>
      <c r="GZ290">
        <v>6.7226894199848175E-2</v>
      </c>
      <c r="HA290">
        <v>0.11586453020572662</v>
      </c>
      <c r="HB290">
        <v>5.7040996849536896E-2</v>
      </c>
      <c r="HC290">
        <v>5.1693405956029892E-2</v>
      </c>
      <c r="HD290">
        <v>6.2388591468334198E-2</v>
      </c>
      <c r="HE290">
        <v>9.4474151730537415E-2</v>
      </c>
      <c r="HF290">
        <v>8.021390438079834E-2</v>
      </c>
      <c r="HG290">
        <v>6.9518715143203735E-2</v>
      </c>
      <c r="HH290">
        <v>8.1996433436870575E-2</v>
      </c>
      <c r="HI290">
        <v>8.377896249294281E-2</v>
      </c>
      <c r="HJ290">
        <v>6.9518715143203735E-2</v>
      </c>
      <c r="HK290">
        <v>7.8431375324726105E-2</v>
      </c>
      <c r="HL290">
        <v>9.4474151730537415E-2</v>
      </c>
      <c r="HM290">
        <v>6.2388591468334198E-2</v>
      </c>
      <c r="HN290">
        <v>5.1693405956029892E-2</v>
      </c>
      <c r="HO290">
        <v>9.2691622674465179E-2</v>
      </c>
      <c r="HP290">
        <v>5.1693405956029892E-2</v>
      </c>
      <c r="HQ290">
        <v>7.4866309762001038E-2</v>
      </c>
      <c r="HR290">
        <v>6.9518715143203735E-2</v>
      </c>
      <c r="HS290">
        <v>9.2691622674465179E-2</v>
      </c>
      <c r="HT290">
        <v>4.4563278555870056E-2</v>
      </c>
      <c r="HU290">
        <v>6.5953657031059265E-2</v>
      </c>
      <c r="HV290">
        <v>8.5561498999595642E-2</v>
      </c>
      <c r="HW290">
        <v>7.6648838818073273E-2</v>
      </c>
      <c r="HX290">
        <v>5.3475935012102127E-2</v>
      </c>
      <c r="HY290">
        <v>8.9126557111740112E-2</v>
      </c>
      <c r="HZ290">
        <v>0.16755792498588562</v>
      </c>
      <c r="IA290">
        <v>5.7040996849536896E-2</v>
      </c>
      <c r="IB290">
        <v>8.7344028055667877E-2</v>
      </c>
      <c r="IC290">
        <v>6.77361860871315E-2</v>
      </c>
      <c r="ID290">
        <v>8.5561498999595642E-2</v>
      </c>
      <c r="IE290">
        <v>9.9821746349334717E-2</v>
      </c>
      <c r="IF290">
        <v>6.2388591468334198E-2</v>
      </c>
      <c r="IG290">
        <v>6.77361860871315E-2</v>
      </c>
      <c r="IH290">
        <v>0.12655971944332123</v>
      </c>
      <c r="II290">
        <v>7.4866309762001038E-2</v>
      </c>
      <c r="IJ290">
        <v>6.77361860871315E-2</v>
      </c>
      <c r="IK290">
        <v>8.5561498999595642E-2</v>
      </c>
      <c r="IL290">
        <v>7.8431375324726105E-2</v>
      </c>
      <c r="IM290">
        <v>0.12299465388059616</v>
      </c>
      <c r="IN290">
        <v>6.77361860871315E-2</v>
      </c>
      <c r="IO290">
        <v>9.9821746349334717E-2</v>
      </c>
      <c r="IP290">
        <v>5.5258467793464661E-2</v>
      </c>
      <c r="IQ290">
        <v>6.77361860871315E-2</v>
      </c>
      <c r="IR290">
        <v>6.9518715143203735E-2</v>
      </c>
      <c r="IS290">
        <v>7.6648838818073273E-2</v>
      </c>
      <c r="IT290">
        <v>7.8431375324726105E-2</v>
      </c>
      <c r="IU290">
        <v>8.1996433436870575E-2</v>
      </c>
      <c r="IV290">
        <v>8.7344028055667877E-2</v>
      </c>
      <c r="IW290">
        <v>6.9518715143203735E-2</v>
      </c>
      <c r="IX290">
        <v>6.77361860871315E-2</v>
      </c>
      <c r="IY290">
        <v>5.7040996849536896E-2</v>
      </c>
      <c r="IZ290">
        <v>5.8823529630899429E-2</v>
      </c>
      <c r="JA290">
        <v>6.77361860871315E-2</v>
      </c>
      <c r="JB290">
        <v>6.4171120524406433E-2</v>
      </c>
      <c r="JC290">
        <v>7.3083780705928802E-2</v>
      </c>
      <c r="JD290">
        <v>7.8431375324726105E-2</v>
      </c>
      <c r="JE290">
        <v>7.6648838818073273E-2</v>
      </c>
      <c r="JF290">
        <v>8.9126557111740112E-2</v>
      </c>
      <c r="JG290">
        <v>8.021390438079834E-2</v>
      </c>
      <c r="JH290">
        <v>7.130124419927597E-2</v>
      </c>
      <c r="JI290">
        <v>6.4171120524406433E-2</v>
      </c>
      <c r="JJ290">
        <v>6.4171120524406433E-2</v>
      </c>
      <c r="JK290">
        <v>0.1408199667930603</v>
      </c>
      <c r="JL290">
        <v>4.0998216718435287E-2</v>
      </c>
      <c r="JM290">
        <v>6.77361860871315E-2</v>
      </c>
      <c r="JN290">
        <v>6.9518715143203735E-2</v>
      </c>
      <c r="JO290">
        <v>7.3083780705928802E-2</v>
      </c>
      <c r="JP290">
        <v>7.3083780705928802E-2</v>
      </c>
      <c r="JQ290">
        <v>8.021390438079834E-2</v>
      </c>
      <c r="JR290">
        <v>6.77361860871315E-2</v>
      </c>
    </row>
    <row r="291" spans="4:292" x14ac:dyDescent="0.25">
      <c r="D291" s="41" t="str" cm="1">
        <f t="array" ref="D291">IF(H291="","",IF(AND(E291&lt;AVERAGE(E290,E292)*($L$19/100),$D$23:D290=""),H291,""))</f>
        <v/>
      </c>
      <c r="E291" s="78">
        <f t="shared" si="4"/>
        <v>4.6379143113318838E-3</v>
      </c>
      <c r="F291" s="79"/>
      <c r="H291">
        <v>269</v>
      </c>
      <c r="I291">
        <v>7.8687914311331889E-2</v>
      </c>
      <c r="K291">
        <v>8.403361588716507E-2</v>
      </c>
      <c r="L291">
        <v>8.235294371843338E-2</v>
      </c>
      <c r="M291">
        <v>7.7310927212238312E-2</v>
      </c>
      <c r="N291">
        <v>7.7310927212238312E-2</v>
      </c>
      <c r="O291">
        <v>9.0756304562091827E-2</v>
      </c>
      <c r="P291">
        <v>4.7058824449777603E-2</v>
      </c>
      <c r="Q291">
        <v>8.5714288055896759E-2</v>
      </c>
      <c r="R291">
        <v>8.9075632393360138E-2</v>
      </c>
      <c r="S291">
        <v>8.403361588716507E-2</v>
      </c>
      <c r="T291">
        <v>7.7310927212238312E-2</v>
      </c>
      <c r="U291">
        <v>0.11932773143053055</v>
      </c>
      <c r="V291">
        <v>5.546218529343605E-2</v>
      </c>
      <c r="W291">
        <v>0.10588235408067703</v>
      </c>
      <c r="X291">
        <v>0.13781513273715973</v>
      </c>
      <c r="Y291">
        <v>5.8823529630899429E-2</v>
      </c>
      <c r="Z291">
        <v>6.2184873968362808E-2</v>
      </c>
      <c r="AA291">
        <v>7.5630255043506622E-2</v>
      </c>
      <c r="AB291">
        <v>7.3949582874774933E-2</v>
      </c>
      <c r="AC291">
        <v>8.235294371843338E-2</v>
      </c>
      <c r="AD291">
        <v>9.9159665405750275E-2</v>
      </c>
      <c r="AE291">
        <v>7.2268910706043243E-2</v>
      </c>
      <c r="AF291">
        <v>8.5714288055896759E-2</v>
      </c>
      <c r="AG291">
        <v>6.2184873968362808E-2</v>
      </c>
      <c r="AH291">
        <v>8.7394960224628448E-2</v>
      </c>
      <c r="AI291">
        <v>5.2100840955972672E-2</v>
      </c>
      <c r="AJ291">
        <v>7.8991599380970001E-2</v>
      </c>
      <c r="AK291">
        <v>0.10756302624940872</v>
      </c>
      <c r="AL291">
        <v>7.5630255043506622E-2</v>
      </c>
      <c r="AM291">
        <v>0.10084033757448196</v>
      </c>
      <c r="AN291">
        <v>6.8907566368579865E-2</v>
      </c>
      <c r="AO291">
        <v>0.11260504275560379</v>
      </c>
      <c r="AP291">
        <v>6.0504201799631119E-2</v>
      </c>
      <c r="AQ291">
        <v>0.1109243705868721</v>
      </c>
      <c r="AR291">
        <v>5.546218529343605E-2</v>
      </c>
      <c r="AS291">
        <v>0.10252100974321365</v>
      </c>
      <c r="AT291">
        <v>7.5630255043506622E-2</v>
      </c>
      <c r="AU291">
        <v>0.10756302624940872</v>
      </c>
      <c r="AV291">
        <v>0.12268907576799393</v>
      </c>
      <c r="AW291">
        <v>7.3949582874774933E-2</v>
      </c>
      <c r="AX291">
        <v>7.2268910706043243E-2</v>
      </c>
      <c r="AY291">
        <v>6.8907566368579865E-2</v>
      </c>
      <c r="AZ291">
        <v>5.3781513124704361E-2</v>
      </c>
      <c r="BA291">
        <v>6.7226894199848175E-2</v>
      </c>
      <c r="BB291">
        <v>6.7226894199848175E-2</v>
      </c>
      <c r="BC291">
        <v>8.0672271549701691E-2</v>
      </c>
      <c r="BD291">
        <v>7.5630255043506622E-2</v>
      </c>
      <c r="BE291">
        <v>9.2436976730823517E-2</v>
      </c>
      <c r="BF291">
        <v>0.11932773143053055</v>
      </c>
      <c r="BG291">
        <v>5.3781513124704361E-2</v>
      </c>
      <c r="BH291">
        <v>7.0588238537311554E-2</v>
      </c>
      <c r="BI291">
        <v>0.11428571492433548</v>
      </c>
      <c r="BJ291">
        <v>7.7310927212238312E-2</v>
      </c>
      <c r="BK291">
        <v>9.0756304562091827E-2</v>
      </c>
      <c r="BL291">
        <v>6.5546222031116486E-2</v>
      </c>
      <c r="BM291">
        <v>5.3781513124704361E-2</v>
      </c>
      <c r="BN291">
        <v>9.2436976730823517E-2</v>
      </c>
      <c r="BO291">
        <v>6.5546222031116486E-2</v>
      </c>
      <c r="BP291">
        <v>7.5630255043506622E-2</v>
      </c>
      <c r="BQ291">
        <v>8.5714288055896759E-2</v>
      </c>
      <c r="BR291">
        <v>7.3949582874774933E-2</v>
      </c>
      <c r="BS291">
        <v>5.3781513124704361E-2</v>
      </c>
      <c r="BT291">
        <v>7.0588238537311554E-2</v>
      </c>
      <c r="BU291">
        <v>9.0756304562091827E-2</v>
      </c>
      <c r="BV291">
        <v>6.7226894199848175E-2</v>
      </c>
      <c r="BW291">
        <v>0.11260504275560379</v>
      </c>
      <c r="BX291">
        <v>7.0588238537311554E-2</v>
      </c>
      <c r="BY291">
        <v>6.7226894199848175E-2</v>
      </c>
      <c r="BZ291">
        <v>0.17142857611179352</v>
      </c>
      <c r="CA291">
        <v>7.3949582874774933E-2</v>
      </c>
      <c r="CB291">
        <v>6.8907566368579865E-2</v>
      </c>
      <c r="CC291">
        <v>5.714285746216774E-2</v>
      </c>
      <c r="CD291">
        <v>0.12100840359926224</v>
      </c>
      <c r="CE291">
        <v>6.0504201799631119E-2</v>
      </c>
      <c r="CF291">
        <v>5.8823529630899429E-2</v>
      </c>
      <c r="CG291">
        <v>9.4117648899555206E-2</v>
      </c>
      <c r="CH291">
        <v>7.3949582874774933E-2</v>
      </c>
      <c r="CI291">
        <v>9.4117648899555206E-2</v>
      </c>
      <c r="CJ291">
        <v>7.3949582874774933E-2</v>
      </c>
      <c r="CK291">
        <v>8.7394960224628448E-2</v>
      </c>
      <c r="CL291">
        <v>7.8991599380970001E-2</v>
      </c>
      <c r="CM291">
        <v>5.546218529343605E-2</v>
      </c>
      <c r="CN291">
        <v>6.3865549862384796E-2</v>
      </c>
      <c r="CO291">
        <v>6.0504201799631119E-2</v>
      </c>
      <c r="CP291">
        <v>8.0672271549701691E-2</v>
      </c>
      <c r="CQ291">
        <v>5.8823529630899429E-2</v>
      </c>
      <c r="CR291">
        <v>9.4117648899555206E-2</v>
      </c>
      <c r="CS291">
        <v>7.3949582874774933E-2</v>
      </c>
      <c r="CT291">
        <v>7.3949582874774933E-2</v>
      </c>
      <c r="CU291">
        <v>6.0504201799631119E-2</v>
      </c>
      <c r="CV291">
        <v>9.0756304562091827E-2</v>
      </c>
      <c r="CW291">
        <v>7.2268910706043243E-2</v>
      </c>
      <c r="CX291">
        <v>0.11932773143053055</v>
      </c>
      <c r="CY291">
        <v>7.5630255043506622E-2</v>
      </c>
      <c r="CZ291">
        <v>6.0504201799631119E-2</v>
      </c>
      <c r="DA291">
        <v>7.8991599380970001E-2</v>
      </c>
      <c r="DB291">
        <v>6.3865549862384796E-2</v>
      </c>
      <c r="DC291">
        <v>5.8823529630899429E-2</v>
      </c>
      <c r="DD291">
        <v>0.10924369841814041</v>
      </c>
      <c r="DE291">
        <v>8.0672271549701691E-2</v>
      </c>
      <c r="DF291">
        <v>7.8991599380970001E-2</v>
      </c>
      <c r="DG291">
        <v>7.3949582874774933E-2</v>
      </c>
      <c r="DH291">
        <v>7.8991599380970001E-2</v>
      </c>
      <c r="DI291">
        <v>5.2100840955972672E-2</v>
      </c>
      <c r="DJ291">
        <v>5.714285746216774E-2</v>
      </c>
      <c r="DK291">
        <v>7.0588238537311554E-2</v>
      </c>
      <c r="DL291">
        <v>7.0588238537311554E-2</v>
      </c>
      <c r="DM291">
        <v>8.235294371843338E-2</v>
      </c>
      <c r="DN291">
        <v>7.7310927212238312E-2</v>
      </c>
      <c r="DO291">
        <v>0.12773109972476959</v>
      </c>
      <c r="DP291">
        <v>9.7478993237018585E-2</v>
      </c>
      <c r="DQ291">
        <v>9.4117648899555206E-2</v>
      </c>
      <c r="DR291">
        <v>5.3781513124704361E-2</v>
      </c>
      <c r="DS291">
        <v>7.7310927212238312E-2</v>
      </c>
      <c r="DT291">
        <v>7.7310927212238312E-2</v>
      </c>
      <c r="DU291">
        <v>5.546218529343605E-2</v>
      </c>
      <c r="DV291">
        <v>6.0504201799631119E-2</v>
      </c>
      <c r="DW291">
        <v>8.235294371843338E-2</v>
      </c>
      <c r="DX291">
        <v>6.8907566368579865E-2</v>
      </c>
      <c r="DY291">
        <v>8.403361588716507E-2</v>
      </c>
      <c r="DZ291">
        <v>8.403361588716507E-2</v>
      </c>
      <c r="EA291">
        <v>5.714285746216774E-2</v>
      </c>
      <c r="EB291">
        <v>8.0672271549701691E-2</v>
      </c>
      <c r="EC291">
        <v>9.5798321068286896E-2</v>
      </c>
      <c r="ED291">
        <v>6.3865549862384796E-2</v>
      </c>
      <c r="EE291">
        <v>0.11260504275560379</v>
      </c>
      <c r="EF291">
        <v>9.7478993237018585E-2</v>
      </c>
      <c r="EG291">
        <v>7.3949582874774933E-2</v>
      </c>
      <c r="EH291">
        <v>6.8907566368579865E-2</v>
      </c>
      <c r="EI291">
        <v>4.8739496618509293E-2</v>
      </c>
      <c r="EJ291">
        <v>7.5630255043506622E-2</v>
      </c>
      <c r="EK291">
        <v>0.10084033757448196</v>
      </c>
      <c r="EL291">
        <v>4.7058824449777603E-2</v>
      </c>
      <c r="EM291">
        <v>7.7310927212238312E-2</v>
      </c>
      <c r="EN291">
        <v>6.5546222031116486E-2</v>
      </c>
      <c r="EO291">
        <v>7.8991599380970001E-2</v>
      </c>
      <c r="EP291">
        <v>9.4117648899555206E-2</v>
      </c>
      <c r="EQ291">
        <v>7.5630255043506622E-2</v>
      </c>
      <c r="ER291">
        <v>7.5630255043506622E-2</v>
      </c>
      <c r="ES291">
        <v>9.0756304562091827E-2</v>
      </c>
      <c r="ET291">
        <v>8.403361588716507E-2</v>
      </c>
      <c r="EU291">
        <v>6.3865549862384796E-2</v>
      </c>
      <c r="EV291">
        <v>8.5714288055896759E-2</v>
      </c>
      <c r="EW291">
        <v>8.9075632393360138E-2</v>
      </c>
      <c r="EX291">
        <v>5.2100840955972672E-2</v>
      </c>
      <c r="EY291">
        <v>5.546218529343605E-2</v>
      </c>
      <c r="EZ291">
        <v>5.8823529630899429E-2</v>
      </c>
      <c r="FA291">
        <v>8.235294371843338E-2</v>
      </c>
      <c r="FB291">
        <v>7.5630255043506622E-2</v>
      </c>
      <c r="FC291">
        <v>6.0504201799631119E-2</v>
      </c>
      <c r="FD291">
        <v>9.0756304562091827E-2</v>
      </c>
      <c r="FE291">
        <v>4.2016807943582535E-2</v>
      </c>
      <c r="FF291">
        <v>8.5714288055896759E-2</v>
      </c>
      <c r="FG291">
        <v>7.8991599380970001E-2</v>
      </c>
      <c r="FH291">
        <v>9.9159665405750275E-2</v>
      </c>
      <c r="FI291">
        <v>7.0588238537311554E-2</v>
      </c>
      <c r="FJ291">
        <v>4.8739496618509293E-2</v>
      </c>
      <c r="FK291">
        <v>9.5798321068286896E-2</v>
      </c>
      <c r="FL291">
        <v>7.0588238537311554E-2</v>
      </c>
      <c r="FM291">
        <v>6.0504201799631119E-2</v>
      </c>
      <c r="FN291">
        <v>0.10588235408067703</v>
      </c>
      <c r="FO291">
        <v>8.7394960224628448E-2</v>
      </c>
      <c r="FP291">
        <v>7.0588238537311554E-2</v>
      </c>
      <c r="FQ291">
        <v>0.10084033757448196</v>
      </c>
      <c r="FR291">
        <v>7.3949582874774933E-2</v>
      </c>
      <c r="FS291">
        <v>6.77361860871315E-2</v>
      </c>
      <c r="FT291">
        <v>6.77361860871315E-2</v>
      </c>
      <c r="FU291">
        <v>5.5258467793464661E-2</v>
      </c>
      <c r="FV291">
        <v>6.5953657031059265E-2</v>
      </c>
      <c r="FW291">
        <v>7.6648838818073273E-2</v>
      </c>
      <c r="FX291">
        <v>8.9126557111740112E-2</v>
      </c>
      <c r="FY291">
        <v>8.7344028055667877E-2</v>
      </c>
      <c r="FZ291">
        <v>5.3475935012102127E-2</v>
      </c>
      <c r="GA291">
        <v>0.11764705926179886</v>
      </c>
      <c r="GB291">
        <v>6.9518715143203735E-2</v>
      </c>
      <c r="GC291">
        <v>6.5953657031059265E-2</v>
      </c>
      <c r="GD291">
        <v>8.7344028055667877E-2</v>
      </c>
      <c r="GE291">
        <v>6.2388591468334198E-2</v>
      </c>
      <c r="GF291">
        <v>0.1247771829366684</v>
      </c>
      <c r="GG291">
        <v>8.9126557111740112E-2</v>
      </c>
      <c r="GH291">
        <v>6.5953657031059265E-2</v>
      </c>
      <c r="GI291">
        <v>0.10516934096813202</v>
      </c>
      <c r="GJ291">
        <v>6.4171120524406433E-2</v>
      </c>
      <c r="GK291">
        <v>0.10338681191205978</v>
      </c>
      <c r="GL291">
        <v>0.15151515603065491</v>
      </c>
      <c r="GM291">
        <v>5.3475935012102127E-2</v>
      </c>
      <c r="GN291">
        <v>6.2388591468334198E-2</v>
      </c>
      <c r="GO291">
        <v>7.6648838818073273E-2</v>
      </c>
      <c r="GP291">
        <v>0.15329767763614655</v>
      </c>
      <c r="GQ291">
        <v>8.377896249294281E-2</v>
      </c>
      <c r="GR291">
        <v>8.021390438079834E-2</v>
      </c>
      <c r="GS291">
        <v>9.625668078660965E-2</v>
      </c>
      <c r="GT291">
        <v>5.8823529630899429E-2</v>
      </c>
      <c r="GU291">
        <v>5.1693405956029892E-2</v>
      </c>
      <c r="GV291">
        <v>5.8823529630899429E-2</v>
      </c>
      <c r="GW291">
        <v>7.6648838818073273E-2</v>
      </c>
      <c r="GX291">
        <v>0.1247771829366684</v>
      </c>
      <c r="GY291">
        <v>7.4866309762001038E-2</v>
      </c>
      <c r="GZ291">
        <v>9.625668078660965E-2</v>
      </c>
      <c r="HA291">
        <v>6.5953657031059265E-2</v>
      </c>
      <c r="HB291">
        <v>6.77361860871315E-2</v>
      </c>
      <c r="HC291">
        <v>6.4171120524406433E-2</v>
      </c>
      <c r="HD291">
        <v>7.4866309762001038E-2</v>
      </c>
      <c r="HE291">
        <v>7.4866309762001038E-2</v>
      </c>
      <c r="HF291">
        <v>5.1693405956029892E-2</v>
      </c>
      <c r="HG291">
        <v>6.4171120524406433E-2</v>
      </c>
      <c r="HH291">
        <v>0.10695187002420425</v>
      </c>
      <c r="HI291">
        <v>6.2388591468334198E-2</v>
      </c>
      <c r="HJ291">
        <v>8.021390438079834E-2</v>
      </c>
      <c r="HK291">
        <v>4.9910873174667358E-2</v>
      </c>
      <c r="HL291">
        <v>9.2691622674465179E-2</v>
      </c>
      <c r="HM291">
        <v>7.6648838818073273E-2</v>
      </c>
      <c r="HN291">
        <v>9.0909093618392944E-2</v>
      </c>
      <c r="HO291">
        <v>8.021390438079834E-2</v>
      </c>
      <c r="HP291">
        <v>7.130124419927597E-2</v>
      </c>
      <c r="HQ291">
        <v>8.9126557111740112E-2</v>
      </c>
      <c r="HR291">
        <v>6.0606062412261963E-2</v>
      </c>
      <c r="HS291">
        <v>7.6648838818073273E-2</v>
      </c>
      <c r="HT291">
        <v>5.7040996849536896E-2</v>
      </c>
      <c r="HU291">
        <v>4.9910873174667358E-2</v>
      </c>
      <c r="HV291">
        <v>0.13190731406211853</v>
      </c>
      <c r="HW291">
        <v>6.0606062412261963E-2</v>
      </c>
      <c r="HX291">
        <v>7.8431375324726105E-2</v>
      </c>
      <c r="HY291">
        <v>0.10516934096813202</v>
      </c>
      <c r="HZ291">
        <v>5.7040996849536896E-2</v>
      </c>
      <c r="IA291">
        <v>8.5561498999595642E-2</v>
      </c>
      <c r="IB291">
        <v>7.4866309762001038E-2</v>
      </c>
      <c r="IC291">
        <v>0.13368983566761017</v>
      </c>
      <c r="ID291">
        <v>6.2388591468334198E-2</v>
      </c>
      <c r="IE291">
        <v>8.377896249294281E-2</v>
      </c>
      <c r="IF291">
        <v>7.8431375324726105E-2</v>
      </c>
      <c r="IG291">
        <v>7.130124419927597E-2</v>
      </c>
      <c r="IH291">
        <v>7.3083780705928802E-2</v>
      </c>
      <c r="II291">
        <v>7.6648838818073273E-2</v>
      </c>
      <c r="IJ291">
        <v>6.2388591468334198E-2</v>
      </c>
      <c r="IK291">
        <v>5.8823529630899429E-2</v>
      </c>
      <c r="IL291">
        <v>0.10873440653085709</v>
      </c>
      <c r="IM291">
        <v>5.7040996849536896E-2</v>
      </c>
      <c r="IN291">
        <v>8.9126557111740112E-2</v>
      </c>
      <c r="IO291">
        <v>6.77361860871315E-2</v>
      </c>
      <c r="IP291">
        <v>8.021390438079834E-2</v>
      </c>
      <c r="IQ291">
        <v>8.377896249294281E-2</v>
      </c>
      <c r="IR291">
        <v>8.1996433436870575E-2</v>
      </c>
      <c r="IS291">
        <v>7.4866309762001038E-2</v>
      </c>
      <c r="IT291">
        <v>6.5953657031059265E-2</v>
      </c>
      <c r="IU291">
        <v>8.5561498999595642E-2</v>
      </c>
      <c r="IV291">
        <v>9.0909093618392944E-2</v>
      </c>
      <c r="IW291">
        <v>9.4474151730537415E-2</v>
      </c>
      <c r="IX291">
        <v>6.4171120524406433E-2</v>
      </c>
      <c r="IY291">
        <v>6.0606062412261963E-2</v>
      </c>
      <c r="IZ291">
        <v>6.9518715143203735E-2</v>
      </c>
      <c r="JA291">
        <v>6.5953657031059265E-2</v>
      </c>
      <c r="JB291">
        <v>8.5561498999595642E-2</v>
      </c>
      <c r="JC291">
        <v>7.130124419927597E-2</v>
      </c>
      <c r="JD291">
        <v>8.1996433436870575E-2</v>
      </c>
      <c r="JE291">
        <v>5.5258467793464661E-2</v>
      </c>
      <c r="JF291">
        <v>5.7040996849536896E-2</v>
      </c>
      <c r="JG291">
        <v>8.7344028055667877E-2</v>
      </c>
      <c r="JH291">
        <v>6.4171120524406433E-2</v>
      </c>
      <c r="JI291">
        <v>7.6648838818073273E-2</v>
      </c>
      <c r="JJ291">
        <v>6.5953657031059265E-2</v>
      </c>
      <c r="JK291">
        <v>4.4563278555870056E-2</v>
      </c>
      <c r="JL291">
        <v>6.5953657031059265E-2</v>
      </c>
      <c r="JM291">
        <v>0.10160427540540695</v>
      </c>
      <c r="JN291">
        <v>4.9910873174667358E-2</v>
      </c>
      <c r="JO291">
        <v>9.9821746349334717E-2</v>
      </c>
      <c r="JP291">
        <v>6.5953657031059265E-2</v>
      </c>
      <c r="JQ291">
        <v>9.2691622674465179E-2</v>
      </c>
      <c r="JR291">
        <v>0.12299465388059616</v>
      </c>
      <c r="JS291">
        <v>6.77361860871315E-2</v>
      </c>
    </row>
    <row r="292" spans="4:292" x14ac:dyDescent="0.25">
      <c r="D292" s="41" t="str" cm="1">
        <f t="array" ref="D292">IF(H292="","",IF(AND(E292&lt;AVERAGE(E291,E293)*($L$19/100),$D$23:D291=""),H292,""))</f>
        <v/>
      </c>
      <c r="E292" s="78">
        <f t="shared" si="4"/>
        <v>2.7918084968019397E-3</v>
      </c>
      <c r="F292" s="79"/>
      <c r="H292">
        <v>270</v>
      </c>
      <c r="I292">
        <v>7.6841808496801944E-2</v>
      </c>
      <c r="K292">
        <v>6.0504201799631119E-2</v>
      </c>
      <c r="L292">
        <v>0.10084033757448196</v>
      </c>
      <c r="M292">
        <v>6.8907566368579865E-2</v>
      </c>
      <c r="N292">
        <v>8.7394960224628448E-2</v>
      </c>
      <c r="O292">
        <v>8.235294371843338E-2</v>
      </c>
      <c r="P292">
        <v>5.8823529630899429E-2</v>
      </c>
      <c r="Q292">
        <v>7.0588238537311554E-2</v>
      </c>
      <c r="R292">
        <v>7.8991599380970001E-2</v>
      </c>
      <c r="S292">
        <v>6.7226894199848175E-2</v>
      </c>
      <c r="T292">
        <v>7.7310927212238312E-2</v>
      </c>
      <c r="U292">
        <v>7.5630255043506622E-2</v>
      </c>
      <c r="V292">
        <v>7.7310927212238312E-2</v>
      </c>
      <c r="W292">
        <v>6.0504201799631119E-2</v>
      </c>
      <c r="X292">
        <v>8.403361588716507E-2</v>
      </c>
      <c r="Y292">
        <v>0.10420168191194534</v>
      </c>
      <c r="Z292">
        <v>7.3949582874774933E-2</v>
      </c>
      <c r="AA292">
        <v>6.8907566368579865E-2</v>
      </c>
      <c r="AB292">
        <v>7.0588238537311554E-2</v>
      </c>
      <c r="AC292">
        <v>7.0588238537311554E-2</v>
      </c>
      <c r="AD292">
        <v>7.8991599380970001E-2</v>
      </c>
      <c r="AE292">
        <v>0.15966387093067169</v>
      </c>
      <c r="AF292">
        <v>8.0672271549701691E-2</v>
      </c>
      <c r="AG292">
        <v>5.8823529630899429E-2</v>
      </c>
      <c r="AH292">
        <v>7.8991599380970001E-2</v>
      </c>
      <c r="AI292">
        <v>9.4117648899555206E-2</v>
      </c>
      <c r="AJ292">
        <v>6.8907566368579865E-2</v>
      </c>
      <c r="AK292">
        <v>6.3865549862384796E-2</v>
      </c>
      <c r="AL292">
        <v>8.0672271549701691E-2</v>
      </c>
      <c r="AM292">
        <v>0.10756302624940872</v>
      </c>
      <c r="AN292">
        <v>9.0756304562091827E-2</v>
      </c>
      <c r="AO292">
        <v>6.2184873968362808E-2</v>
      </c>
      <c r="AP292">
        <v>6.2184873968362808E-2</v>
      </c>
      <c r="AQ292">
        <v>7.8991599380970001E-2</v>
      </c>
      <c r="AR292">
        <v>8.403361588716507E-2</v>
      </c>
      <c r="AS292">
        <v>6.5546222031116486E-2</v>
      </c>
      <c r="AT292">
        <v>9.0756304562091827E-2</v>
      </c>
      <c r="AU292">
        <v>8.0672271549701691E-2</v>
      </c>
      <c r="AV292">
        <v>7.3949582874774933E-2</v>
      </c>
      <c r="AW292">
        <v>9.0756304562091827E-2</v>
      </c>
      <c r="AX292">
        <v>7.8991599380970001E-2</v>
      </c>
      <c r="AY292">
        <v>0.12773109972476959</v>
      </c>
      <c r="AZ292">
        <v>6.3865549862384796E-2</v>
      </c>
      <c r="BA292">
        <v>5.8823529630899429E-2</v>
      </c>
      <c r="BB292">
        <v>9.0756304562091827E-2</v>
      </c>
      <c r="BC292">
        <v>5.0420168787240982E-2</v>
      </c>
      <c r="BD292">
        <v>0.13109244406223297</v>
      </c>
      <c r="BE292">
        <v>8.9075632393360138E-2</v>
      </c>
      <c r="BF292">
        <v>7.2268910706043243E-2</v>
      </c>
      <c r="BG292">
        <v>9.2436976730823517E-2</v>
      </c>
      <c r="BH292">
        <v>6.0504201799631119E-2</v>
      </c>
      <c r="BI292">
        <v>7.5630255043506622E-2</v>
      </c>
      <c r="BJ292">
        <v>7.7310927212238312E-2</v>
      </c>
      <c r="BK292">
        <v>6.8907566368579865E-2</v>
      </c>
      <c r="BL292">
        <v>9.2436976730823517E-2</v>
      </c>
      <c r="BM292">
        <v>7.0588238537311554E-2</v>
      </c>
      <c r="BN292">
        <v>6.3865549862384796E-2</v>
      </c>
      <c r="BO292">
        <v>8.5714288055896759E-2</v>
      </c>
      <c r="BP292">
        <v>7.2268910706043243E-2</v>
      </c>
      <c r="BQ292">
        <v>0.11260504275560379</v>
      </c>
      <c r="BR292">
        <v>6.7226894199848175E-2</v>
      </c>
      <c r="BS292">
        <v>7.2268910706043243E-2</v>
      </c>
      <c r="BT292">
        <v>7.5630255043506622E-2</v>
      </c>
      <c r="BU292">
        <v>7.0588238537311554E-2</v>
      </c>
      <c r="BV292">
        <v>7.7310927212238312E-2</v>
      </c>
      <c r="BW292">
        <v>6.0504201799631119E-2</v>
      </c>
      <c r="BX292">
        <v>9.0756304562091827E-2</v>
      </c>
      <c r="BY292">
        <v>8.403361588716507E-2</v>
      </c>
      <c r="BZ292">
        <v>8.235294371843338E-2</v>
      </c>
      <c r="CA292">
        <v>7.3949582874774933E-2</v>
      </c>
      <c r="CB292">
        <v>6.2184873968362808E-2</v>
      </c>
      <c r="CC292">
        <v>5.8823529630899429E-2</v>
      </c>
      <c r="CD292">
        <v>7.2268910706043243E-2</v>
      </c>
      <c r="CE292">
        <v>7.2268910706043243E-2</v>
      </c>
      <c r="CF292">
        <v>5.3781513124704361E-2</v>
      </c>
      <c r="CG292">
        <v>7.8991599380970001E-2</v>
      </c>
      <c r="CH292">
        <v>5.714285746216774E-2</v>
      </c>
      <c r="CI292">
        <v>5.714285746216774E-2</v>
      </c>
      <c r="CJ292">
        <v>9.9159665405750275E-2</v>
      </c>
      <c r="CK292">
        <v>6.7226894199848175E-2</v>
      </c>
      <c r="CL292">
        <v>0.13277311623096466</v>
      </c>
      <c r="CM292">
        <v>7.5630255043506622E-2</v>
      </c>
      <c r="CN292">
        <v>5.714285746216774E-2</v>
      </c>
      <c r="CO292">
        <v>6.7226894199848175E-2</v>
      </c>
      <c r="CP292">
        <v>7.2268910706043243E-2</v>
      </c>
      <c r="CQ292">
        <v>0.11596638709306717</v>
      </c>
      <c r="CR292">
        <v>7.5630255043506622E-2</v>
      </c>
      <c r="CS292">
        <v>6.8907566368579865E-2</v>
      </c>
      <c r="CT292">
        <v>7.5630255043506622E-2</v>
      </c>
      <c r="CU292">
        <v>7.8991599380970001E-2</v>
      </c>
      <c r="CV292">
        <v>7.2268910706043243E-2</v>
      </c>
      <c r="CW292">
        <v>7.2268910706043243E-2</v>
      </c>
      <c r="CX292">
        <v>7.7310927212238312E-2</v>
      </c>
      <c r="CY292">
        <v>9.5798321068286896E-2</v>
      </c>
      <c r="CZ292">
        <v>6.2184873968362808E-2</v>
      </c>
      <c r="DA292">
        <v>0.11428571492433548</v>
      </c>
      <c r="DB292">
        <v>8.0672271549701691E-2</v>
      </c>
      <c r="DC292">
        <v>8.0672271549701691E-2</v>
      </c>
      <c r="DD292">
        <v>6.3865549862384796E-2</v>
      </c>
      <c r="DE292">
        <v>7.0588238537311554E-2</v>
      </c>
      <c r="DF292">
        <v>7.5630255043506622E-2</v>
      </c>
      <c r="DG292">
        <v>5.8823529630899429E-2</v>
      </c>
      <c r="DH292">
        <v>0.13277311623096466</v>
      </c>
      <c r="DI292">
        <v>6.3865549862384796E-2</v>
      </c>
      <c r="DJ292">
        <v>6.8907566368579865E-2</v>
      </c>
      <c r="DK292">
        <v>6.2184873968362808E-2</v>
      </c>
      <c r="DL292">
        <v>9.4117648899555206E-2</v>
      </c>
      <c r="DM292">
        <v>0.10756302624940872</v>
      </c>
      <c r="DN292">
        <v>5.546218529343605E-2</v>
      </c>
      <c r="DO292">
        <v>9.0756304562091827E-2</v>
      </c>
      <c r="DP292">
        <v>9.9159665405750275E-2</v>
      </c>
      <c r="DQ292">
        <v>6.7226894199848175E-2</v>
      </c>
      <c r="DR292">
        <v>0.11260504275560379</v>
      </c>
      <c r="DS292">
        <v>6.8907566368579865E-2</v>
      </c>
      <c r="DT292">
        <v>5.714285746216774E-2</v>
      </c>
      <c r="DU292">
        <v>7.3949582874774933E-2</v>
      </c>
      <c r="DV292">
        <v>8.0672271549701691E-2</v>
      </c>
      <c r="DW292">
        <v>7.5630255043506622E-2</v>
      </c>
      <c r="DX292">
        <v>8.235294371843338E-2</v>
      </c>
      <c r="DY292">
        <v>5.546218529343605E-2</v>
      </c>
      <c r="DZ292">
        <v>8.235294371843338E-2</v>
      </c>
      <c r="EA292">
        <v>9.9159665405750275E-2</v>
      </c>
      <c r="EB292">
        <v>4.8739496618509293E-2</v>
      </c>
      <c r="EC292">
        <v>0.1109243705868721</v>
      </c>
      <c r="ED292">
        <v>5.8823529630899429E-2</v>
      </c>
      <c r="EE292">
        <v>6.2184873968362808E-2</v>
      </c>
      <c r="EF292">
        <v>6.8907566368579865E-2</v>
      </c>
      <c r="EG292">
        <v>8.235294371843338E-2</v>
      </c>
      <c r="EH292">
        <v>8.0672271549701691E-2</v>
      </c>
      <c r="EI292">
        <v>5.546218529343605E-2</v>
      </c>
      <c r="EJ292">
        <v>6.7226894199848175E-2</v>
      </c>
      <c r="EK292">
        <v>0.10873440653085709</v>
      </c>
      <c r="EL292">
        <v>7.130124419927597E-2</v>
      </c>
      <c r="EM292">
        <v>4.4563278555870056E-2</v>
      </c>
      <c r="EN292">
        <v>0.10695187002420425</v>
      </c>
      <c r="EO292">
        <v>8.021390438079834E-2</v>
      </c>
      <c r="EP292">
        <v>5.1693405956029892E-2</v>
      </c>
      <c r="EQ292">
        <v>7.3083780705928802E-2</v>
      </c>
      <c r="ER292">
        <v>6.2388591468334198E-2</v>
      </c>
      <c r="ES292">
        <v>7.4866309762001038E-2</v>
      </c>
      <c r="ET292">
        <v>8.5561498999595642E-2</v>
      </c>
      <c r="EU292">
        <v>4.2780749499797821E-2</v>
      </c>
      <c r="EV292">
        <v>6.4171120524406433E-2</v>
      </c>
      <c r="EW292">
        <v>7.8431375324726105E-2</v>
      </c>
      <c r="EX292">
        <v>7.3083780705928802E-2</v>
      </c>
      <c r="EY292">
        <v>6.9518715143203735E-2</v>
      </c>
      <c r="EZ292">
        <v>6.4171120524406433E-2</v>
      </c>
      <c r="FA292">
        <v>8.7344028055667877E-2</v>
      </c>
      <c r="FB292">
        <v>4.2780749499797821E-2</v>
      </c>
      <c r="FC292">
        <v>8.5561498999595642E-2</v>
      </c>
      <c r="FD292">
        <v>6.4171120524406433E-2</v>
      </c>
      <c r="FE292">
        <v>9.0909093618392944E-2</v>
      </c>
      <c r="FF292">
        <v>8.021390438079834E-2</v>
      </c>
      <c r="FG292">
        <v>6.0606062412261963E-2</v>
      </c>
      <c r="FH292">
        <v>8.5561498999595642E-2</v>
      </c>
      <c r="FI292">
        <v>5.7040996849536896E-2</v>
      </c>
      <c r="FJ292">
        <v>9.625668078660965E-2</v>
      </c>
      <c r="FK292">
        <v>7.8431375324726105E-2</v>
      </c>
      <c r="FL292">
        <v>8.1996433436870575E-2</v>
      </c>
      <c r="FM292">
        <v>6.2388591468334198E-2</v>
      </c>
      <c r="FN292">
        <v>0.11408199369907379</v>
      </c>
      <c r="FO292">
        <v>6.9518715143203735E-2</v>
      </c>
      <c r="FP292">
        <v>7.6648838818073273E-2</v>
      </c>
      <c r="FQ292">
        <v>9.9821746349334717E-2</v>
      </c>
      <c r="FR292">
        <v>6.0606062412261963E-2</v>
      </c>
      <c r="FS292">
        <v>7.6648838818073273E-2</v>
      </c>
      <c r="FT292">
        <v>7.3083780705928802E-2</v>
      </c>
      <c r="FU292">
        <v>0.11586453020572662</v>
      </c>
      <c r="FV292">
        <v>8.7344028055667877E-2</v>
      </c>
      <c r="FW292">
        <v>8.7344028055667877E-2</v>
      </c>
      <c r="FX292">
        <v>9.2691622674465179E-2</v>
      </c>
      <c r="FY292">
        <v>6.77361860871315E-2</v>
      </c>
      <c r="FZ292">
        <v>5.3475935012102127E-2</v>
      </c>
      <c r="GA292">
        <v>6.9518715143203735E-2</v>
      </c>
      <c r="GB292">
        <v>6.5953657031059265E-2</v>
      </c>
      <c r="GC292">
        <v>7.130124419927597E-2</v>
      </c>
      <c r="GD292">
        <v>7.6648838818073273E-2</v>
      </c>
      <c r="GE292">
        <v>7.130124419927597E-2</v>
      </c>
      <c r="GF292">
        <v>5.8823529630899429E-2</v>
      </c>
      <c r="GG292">
        <v>6.5953657031059265E-2</v>
      </c>
      <c r="GH292">
        <v>9.2691622674465179E-2</v>
      </c>
      <c r="GI292">
        <v>6.2388591468334198E-2</v>
      </c>
      <c r="GJ292">
        <v>5.7040996849536896E-2</v>
      </c>
      <c r="GK292">
        <v>7.8431375324726105E-2</v>
      </c>
      <c r="GL292">
        <v>7.3083780705928802E-2</v>
      </c>
      <c r="GM292">
        <v>6.9518715143203735E-2</v>
      </c>
      <c r="GN292">
        <v>9.9821746349334717E-2</v>
      </c>
      <c r="GO292">
        <v>8.021390438079834E-2</v>
      </c>
      <c r="GP292">
        <v>6.0606062412261963E-2</v>
      </c>
      <c r="GQ292">
        <v>6.9518715143203735E-2</v>
      </c>
      <c r="GR292">
        <v>4.9910873174667358E-2</v>
      </c>
      <c r="GS292">
        <v>7.6648838818073273E-2</v>
      </c>
      <c r="GT292">
        <v>6.2388591468334198E-2</v>
      </c>
      <c r="GU292">
        <v>6.2388591468334198E-2</v>
      </c>
      <c r="GV292">
        <v>5.1693405956029892E-2</v>
      </c>
      <c r="GW292">
        <v>9.9821746349334717E-2</v>
      </c>
      <c r="GX292">
        <v>6.9518715143203735E-2</v>
      </c>
      <c r="GY292">
        <v>7.130124419927597E-2</v>
      </c>
      <c r="GZ292">
        <v>7.130124419927597E-2</v>
      </c>
      <c r="HA292">
        <v>9.9821746349334717E-2</v>
      </c>
      <c r="HB292">
        <v>6.77361860871315E-2</v>
      </c>
      <c r="HC292">
        <v>0.11942958831787109</v>
      </c>
      <c r="HD292">
        <v>6.4171120524406433E-2</v>
      </c>
      <c r="HE292">
        <v>9.0909093618392944E-2</v>
      </c>
      <c r="HF292">
        <v>6.0606062412261963E-2</v>
      </c>
      <c r="HG292">
        <v>7.8431375324726105E-2</v>
      </c>
      <c r="HH292">
        <v>7.8431375324726105E-2</v>
      </c>
      <c r="HI292">
        <v>9.625668078660965E-2</v>
      </c>
      <c r="HJ292">
        <v>7.3083780705928802E-2</v>
      </c>
      <c r="HK292">
        <v>8.377896249294281E-2</v>
      </c>
      <c r="HL292">
        <v>6.5953657031059265E-2</v>
      </c>
      <c r="HM292">
        <v>7.130124419927597E-2</v>
      </c>
      <c r="HN292">
        <v>6.0606062412261963E-2</v>
      </c>
      <c r="HO292">
        <v>8.7344028055667877E-2</v>
      </c>
      <c r="HP292">
        <v>7.8431375324726105E-2</v>
      </c>
      <c r="HQ292">
        <v>5.1693405956029892E-2</v>
      </c>
      <c r="HR292">
        <v>0.10160427540540695</v>
      </c>
      <c r="HS292">
        <v>7.3083780705928802E-2</v>
      </c>
      <c r="HT292">
        <v>7.3083780705928802E-2</v>
      </c>
      <c r="HU292">
        <v>7.3083780705928802E-2</v>
      </c>
      <c r="HV292">
        <v>0.11586453020572662</v>
      </c>
      <c r="HW292">
        <v>6.77361860871315E-2</v>
      </c>
      <c r="HX292">
        <v>6.5953657031059265E-2</v>
      </c>
      <c r="HY292">
        <v>6.0606062412261963E-2</v>
      </c>
      <c r="HZ292">
        <v>7.6648838818073273E-2</v>
      </c>
      <c r="IA292">
        <v>8.1996433436870575E-2</v>
      </c>
      <c r="IB292">
        <v>7.6648838818073273E-2</v>
      </c>
      <c r="IC292">
        <v>8.1996433436870575E-2</v>
      </c>
      <c r="ID292">
        <v>7.4866309762001038E-2</v>
      </c>
      <c r="IE292">
        <v>9.2691622674465179E-2</v>
      </c>
      <c r="IF292">
        <v>5.5258467793464661E-2</v>
      </c>
      <c r="IG292">
        <v>5.7040996849536896E-2</v>
      </c>
      <c r="IH292">
        <v>0.11051693558692932</v>
      </c>
      <c r="II292">
        <v>7.4866309762001038E-2</v>
      </c>
      <c r="IJ292">
        <v>6.9518715143203735E-2</v>
      </c>
      <c r="IK292">
        <v>9.9821746349334717E-2</v>
      </c>
      <c r="IL292">
        <v>6.4171120524406433E-2</v>
      </c>
      <c r="IM292">
        <v>6.0606062412261963E-2</v>
      </c>
      <c r="IN292">
        <v>9.625668078660965E-2</v>
      </c>
      <c r="IO292">
        <v>5.8823529630899429E-2</v>
      </c>
      <c r="IP292">
        <v>9.4474151730537415E-2</v>
      </c>
      <c r="IQ292">
        <v>6.5953657031059265E-2</v>
      </c>
      <c r="IR292">
        <v>5.5258467793464661E-2</v>
      </c>
      <c r="IS292">
        <v>6.4171120524406433E-2</v>
      </c>
      <c r="IT292">
        <v>8.021390438079834E-2</v>
      </c>
      <c r="IU292">
        <v>6.77361860871315E-2</v>
      </c>
      <c r="IV292">
        <v>6.0606062412261963E-2</v>
      </c>
      <c r="IW292">
        <v>8.5561498999595642E-2</v>
      </c>
      <c r="IX292">
        <v>7.4866309762001038E-2</v>
      </c>
      <c r="IY292">
        <v>9.9821746349334717E-2</v>
      </c>
      <c r="IZ292">
        <v>6.4171120524406433E-2</v>
      </c>
      <c r="JA292">
        <v>6.9518715143203735E-2</v>
      </c>
      <c r="JB292">
        <v>0.11408199369907379</v>
      </c>
      <c r="JC292">
        <v>6.5953657031059265E-2</v>
      </c>
      <c r="JD292">
        <v>9.2691622674465179E-2</v>
      </c>
      <c r="JE292">
        <v>6.77361860871315E-2</v>
      </c>
      <c r="JF292">
        <v>0.12121212482452393</v>
      </c>
      <c r="JG292">
        <v>6.5953657031059265E-2</v>
      </c>
      <c r="JH292">
        <v>4.9910873174667358E-2</v>
      </c>
      <c r="JI292">
        <v>0.10516934096813202</v>
      </c>
      <c r="JJ292">
        <v>5.3475935012102127E-2</v>
      </c>
      <c r="JK292">
        <v>8.5561498999595642E-2</v>
      </c>
      <c r="JL292">
        <v>5.7040996849536896E-2</v>
      </c>
      <c r="JM292">
        <v>5.8823529630899429E-2</v>
      </c>
      <c r="JN292">
        <v>6.2388591468334198E-2</v>
      </c>
      <c r="JO292">
        <v>5.7040996849536896E-2</v>
      </c>
      <c r="JP292">
        <v>7.4866309762001038E-2</v>
      </c>
      <c r="JQ292">
        <v>0.11408199369907379</v>
      </c>
      <c r="JR292">
        <v>6.2388591468334198E-2</v>
      </c>
      <c r="JS292">
        <v>8.377896249294281E-2</v>
      </c>
      <c r="JT292">
        <v>7.4866309762001038E-2</v>
      </c>
    </row>
    <row r="293" spans="4:292" x14ac:dyDescent="0.25">
      <c r="D293" s="41" t="str" cm="1">
        <f t="array" ref="D293">IF(H293="","",IF(AND(E293&lt;AVERAGE(E292,E294)*($L$19/100),$D$23:D292=""),H293,""))</f>
        <v/>
      </c>
      <c r="E293" s="78">
        <f t="shared" si="4"/>
        <v>3.0692348393786817E-3</v>
      </c>
      <c r="F293" s="79"/>
      <c r="H293">
        <v>271</v>
      </c>
      <c r="I293">
        <v>7.7119234839378686E-2</v>
      </c>
      <c r="K293">
        <v>0.10420168191194534</v>
      </c>
      <c r="L293">
        <v>8.235294371843338E-2</v>
      </c>
      <c r="M293">
        <v>8.5714288055896759E-2</v>
      </c>
      <c r="N293">
        <v>7.3949582874774933E-2</v>
      </c>
      <c r="O293">
        <v>6.7226894199848175E-2</v>
      </c>
      <c r="P293">
        <v>7.3949582874774933E-2</v>
      </c>
      <c r="Q293">
        <v>9.0756304562091827E-2</v>
      </c>
      <c r="R293">
        <v>7.0588238537311554E-2</v>
      </c>
      <c r="S293">
        <v>6.0504201799631119E-2</v>
      </c>
      <c r="T293">
        <v>9.2436976730823517E-2</v>
      </c>
      <c r="U293">
        <v>8.0672271549701691E-2</v>
      </c>
      <c r="V293">
        <v>9.2436976730823517E-2</v>
      </c>
      <c r="W293">
        <v>0.14621849358081818</v>
      </c>
      <c r="X293">
        <v>7.7310927212238312E-2</v>
      </c>
      <c r="Y293">
        <v>8.5714288055896759E-2</v>
      </c>
      <c r="Z293">
        <v>6.8907566368579865E-2</v>
      </c>
      <c r="AA293">
        <v>6.8907566368579865E-2</v>
      </c>
      <c r="AB293">
        <v>7.7310927212238312E-2</v>
      </c>
      <c r="AC293">
        <v>7.3949582874774933E-2</v>
      </c>
      <c r="AD293">
        <v>8.403361588716507E-2</v>
      </c>
      <c r="AE293">
        <v>7.8991599380970001E-2</v>
      </c>
      <c r="AF293">
        <v>5.3781513124704361E-2</v>
      </c>
      <c r="AG293">
        <v>8.5714288055896759E-2</v>
      </c>
      <c r="AH293">
        <v>6.0504201799631119E-2</v>
      </c>
      <c r="AI293">
        <v>6.7226894199848175E-2</v>
      </c>
      <c r="AJ293">
        <v>0.10252100974321365</v>
      </c>
      <c r="AK293">
        <v>8.5714288055896759E-2</v>
      </c>
      <c r="AL293">
        <v>7.2268910706043243E-2</v>
      </c>
      <c r="AM293">
        <v>4.7058824449777603E-2</v>
      </c>
      <c r="AN293">
        <v>0.12100840359926224</v>
      </c>
      <c r="AO293">
        <v>6.7226894199848175E-2</v>
      </c>
      <c r="AP293">
        <v>0.13613446056842804</v>
      </c>
      <c r="AQ293">
        <v>6.3865549862384796E-2</v>
      </c>
      <c r="AR293">
        <v>0.10924369841814041</v>
      </c>
      <c r="AS293">
        <v>6.8907566368579865E-2</v>
      </c>
      <c r="AT293">
        <v>8.5714288055896759E-2</v>
      </c>
      <c r="AU293">
        <v>9.4117648899555206E-2</v>
      </c>
      <c r="AV293">
        <v>7.3949582874774933E-2</v>
      </c>
      <c r="AW293">
        <v>5.8823529630899429E-2</v>
      </c>
      <c r="AX293">
        <v>7.3949582874774933E-2</v>
      </c>
      <c r="AY293">
        <v>9.7478993237018585E-2</v>
      </c>
      <c r="AZ293">
        <v>7.3949582874774933E-2</v>
      </c>
      <c r="BA293">
        <v>5.2100840955972672E-2</v>
      </c>
      <c r="BB293">
        <v>6.0504201799631119E-2</v>
      </c>
      <c r="BC293">
        <v>5.546218529343605E-2</v>
      </c>
      <c r="BD293">
        <v>9.5798321068286896E-2</v>
      </c>
      <c r="BE293">
        <v>7.5630255043506622E-2</v>
      </c>
      <c r="BF293">
        <v>7.7310927212238312E-2</v>
      </c>
      <c r="BG293">
        <v>6.8907566368579865E-2</v>
      </c>
      <c r="BH293">
        <v>8.9075632393360138E-2</v>
      </c>
      <c r="BI293">
        <v>7.8991599380970001E-2</v>
      </c>
      <c r="BJ293">
        <v>5.2100840955972672E-2</v>
      </c>
      <c r="BK293">
        <v>8.235294371843338E-2</v>
      </c>
      <c r="BL293">
        <v>9.5798321068286896E-2</v>
      </c>
      <c r="BM293">
        <v>4.5378152281045914E-2</v>
      </c>
      <c r="BN293">
        <v>8.0672271549701691E-2</v>
      </c>
      <c r="BO293">
        <v>9.5798321068286896E-2</v>
      </c>
      <c r="BP293">
        <v>6.8907566368579865E-2</v>
      </c>
      <c r="BQ293">
        <v>7.8991599380970001E-2</v>
      </c>
      <c r="BR293">
        <v>7.7310927212238312E-2</v>
      </c>
      <c r="BS293">
        <v>8.235294371843338E-2</v>
      </c>
      <c r="BT293">
        <v>5.0420168787240982E-2</v>
      </c>
      <c r="BU293">
        <v>6.7226894199848175E-2</v>
      </c>
      <c r="BV293">
        <v>9.4117648899555206E-2</v>
      </c>
      <c r="BW293">
        <v>0.10924369841814041</v>
      </c>
      <c r="BX293">
        <v>6.7226894199848175E-2</v>
      </c>
      <c r="BY293">
        <v>7.2268910706043243E-2</v>
      </c>
      <c r="BZ293">
        <v>4.8739496618509293E-2</v>
      </c>
      <c r="CA293">
        <v>6.7226894199848175E-2</v>
      </c>
      <c r="CB293">
        <v>9.9159665405750275E-2</v>
      </c>
      <c r="CC293">
        <v>8.7394960224628448E-2</v>
      </c>
      <c r="CD293">
        <v>0.13109244406223297</v>
      </c>
      <c r="CE293">
        <v>6.7226894199848175E-2</v>
      </c>
      <c r="CF293">
        <v>6.2184873968362808E-2</v>
      </c>
      <c r="CG293">
        <v>0.10252100974321365</v>
      </c>
      <c r="CH293">
        <v>6.8907566368579865E-2</v>
      </c>
      <c r="CI293">
        <v>5.0420168787240982E-2</v>
      </c>
      <c r="CJ293">
        <v>0.11428571492433548</v>
      </c>
      <c r="CK293">
        <v>7.3949582874774933E-2</v>
      </c>
      <c r="CL293">
        <v>6.3865549862384796E-2</v>
      </c>
      <c r="CM293">
        <v>7.0588238537311554E-2</v>
      </c>
      <c r="CN293">
        <v>0.12773109972476959</v>
      </c>
      <c r="CO293">
        <v>7.2268910706043243E-2</v>
      </c>
      <c r="CP293">
        <v>6.2184873968362808E-2</v>
      </c>
      <c r="CQ293">
        <v>9.7478993237018585E-2</v>
      </c>
      <c r="CR293">
        <v>6.2184873968362808E-2</v>
      </c>
      <c r="CS293">
        <v>5.0420168787240982E-2</v>
      </c>
      <c r="CT293">
        <v>7.2268910706043243E-2</v>
      </c>
      <c r="CU293">
        <v>6.2184873968362808E-2</v>
      </c>
      <c r="CV293">
        <v>6.7226894199848175E-2</v>
      </c>
      <c r="CW293">
        <v>7.5630255043506622E-2</v>
      </c>
      <c r="CX293">
        <v>7.7310927212238312E-2</v>
      </c>
      <c r="CY293">
        <v>6.2184873968362808E-2</v>
      </c>
      <c r="CZ293">
        <v>5.8823529630899429E-2</v>
      </c>
      <c r="DA293">
        <v>7.8991599380970001E-2</v>
      </c>
      <c r="DB293">
        <v>7.0588238537311554E-2</v>
      </c>
      <c r="DC293">
        <v>7.4866309762001038E-2</v>
      </c>
      <c r="DD293">
        <v>5.1693405956029892E-2</v>
      </c>
      <c r="DE293">
        <v>8.377896249294281E-2</v>
      </c>
      <c r="DF293">
        <v>9.9821746349334717E-2</v>
      </c>
      <c r="DG293">
        <v>7.4866309762001038E-2</v>
      </c>
      <c r="DH293">
        <v>6.5953657031059265E-2</v>
      </c>
      <c r="DI293">
        <v>8.1996433436870575E-2</v>
      </c>
      <c r="DJ293">
        <v>6.0606062412261963E-2</v>
      </c>
      <c r="DK293">
        <v>8.9126557111740112E-2</v>
      </c>
      <c r="DL293">
        <v>8.1996433436870575E-2</v>
      </c>
      <c r="DM293">
        <v>0.10160427540540695</v>
      </c>
      <c r="DN293">
        <v>7.4866309762001038E-2</v>
      </c>
      <c r="DO293">
        <v>8.1996433436870575E-2</v>
      </c>
      <c r="DP293">
        <v>0.10516934096813202</v>
      </c>
      <c r="DQ293">
        <v>5.1693405956029892E-2</v>
      </c>
      <c r="DR293">
        <v>0.1301247775554657</v>
      </c>
      <c r="DS293">
        <v>5.1693405956029892E-2</v>
      </c>
      <c r="DT293">
        <v>6.2388591468334198E-2</v>
      </c>
      <c r="DU293">
        <v>0.11229946464300156</v>
      </c>
      <c r="DV293">
        <v>6.77361860871315E-2</v>
      </c>
      <c r="DW293">
        <v>0.10338681191205978</v>
      </c>
      <c r="DX293">
        <v>7.130124419927597E-2</v>
      </c>
      <c r="DY293">
        <v>0.11229946464300156</v>
      </c>
      <c r="DZ293">
        <v>6.5953657031059265E-2</v>
      </c>
      <c r="EA293">
        <v>8.021390438079834E-2</v>
      </c>
      <c r="EB293">
        <v>7.6648838818073273E-2</v>
      </c>
      <c r="EC293">
        <v>8.377896249294281E-2</v>
      </c>
      <c r="ED293">
        <v>8.1996433436870575E-2</v>
      </c>
      <c r="EE293">
        <v>4.9910873174667358E-2</v>
      </c>
      <c r="EF293">
        <v>8.021390438079834E-2</v>
      </c>
      <c r="EG293">
        <v>6.0606062412261963E-2</v>
      </c>
      <c r="EH293">
        <v>7.4866309762001038E-2</v>
      </c>
      <c r="EI293">
        <v>7.4866309762001038E-2</v>
      </c>
      <c r="EJ293">
        <v>9.2691622674465179E-2</v>
      </c>
      <c r="EK293">
        <v>5.8823529630899429E-2</v>
      </c>
      <c r="EL293">
        <v>9.4474151730537415E-2</v>
      </c>
      <c r="EM293">
        <v>7.4866309762001038E-2</v>
      </c>
      <c r="EN293">
        <v>6.5953657031059265E-2</v>
      </c>
      <c r="EO293">
        <v>9.9821746349334717E-2</v>
      </c>
      <c r="EP293">
        <v>9.0909093618392944E-2</v>
      </c>
      <c r="EQ293">
        <v>6.0606062412261963E-2</v>
      </c>
      <c r="ER293">
        <v>6.2388591468334198E-2</v>
      </c>
      <c r="ES293">
        <v>0.10338681191205978</v>
      </c>
      <c r="ET293">
        <v>6.9518715143203735E-2</v>
      </c>
      <c r="EU293">
        <v>9.625668078660965E-2</v>
      </c>
      <c r="EV293">
        <v>6.77361860871315E-2</v>
      </c>
      <c r="EW293">
        <v>5.7040996849536896E-2</v>
      </c>
      <c r="EX293">
        <v>8.021390438079834E-2</v>
      </c>
      <c r="EY293">
        <v>5.7040996849536896E-2</v>
      </c>
      <c r="EZ293">
        <v>9.2691622674465179E-2</v>
      </c>
      <c r="FA293">
        <v>6.9518715143203735E-2</v>
      </c>
      <c r="FB293">
        <v>0.135472372174263</v>
      </c>
      <c r="FC293">
        <v>6.2388591468334198E-2</v>
      </c>
      <c r="FD293">
        <v>7.8431375324726105E-2</v>
      </c>
      <c r="FE293">
        <v>6.77361860871315E-2</v>
      </c>
      <c r="FF293">
        <v>5.5258467793464661E-2</v>
      </c>
      <c r="FG293">
        <v>9.2691622674465179E-2</v>
      </c>
      <c r="FH293">
        <v>0.10695187002420425</v>
      </c>
      <c r="FI293">
        <v>6.0606062412261963E-2</v>
      </c>
      <c r="FJ293">
        <v>8.7344028055667877E-2</v>
      </c>
      <c r="FK293">
        <v>8.021390438079834E-2</v>
      </c>
      <c r="FL293">
        <v>6.9518715143203735E-2</v>
      </c>
      <c r="FM293">
        <v>8.7344028055667877E-2</v>
      </c>
      <c r="FN293">
        <v>9.4474151730537415E-2</v>
      </c>
      <c r="FO293">
        <v>7.130124419927597E-2</v>
      </c>
      <c r="FP293">
        <v>8.9126557111740112E-2</v>
      </c>
      <c r="FQ293">
        <v>6.77361860871315E-2</v>
      </c>
      <c r="FR293">
        <v>6.5953657031059265E-2</v>
      </c>
      <c r="FS293">
        <v>7.3083780705928802E-2</v>
      </c>
      <c r="FT293">
        <v>5.7040996849536896E-2</v>
      </c>
      <c r="FU293">
        <v>7.8431375324726105E-2</v>
      </c>
      <c r="FV293">
        <v>6.77361860871315E-2</v>
      </c>
      <c r="FW293">
        <v>7.6648838818073273E-2</v>
      </c>
      <c r="FX293">
        <v>5.8823529630899429E-2</v>
      </c>
      <c r="FY293">
        <v>8.377896249294281E-2</v>
      </c>
      <c r="FZ293">
        <v>7.6648838818073273E-2</v>
      </c>
      <c r="GA293">
        <v>5.8823529630899429E-2</v>
      </c>
      <c r="GB293">
        <v>6.2388591468334198E-2</v>
      </c>
      <c r="GC293">
        <v>0.11229946464300156</v>
      </c>
      <c r="GD293">
        <v>7.3083780705928802E-2</v>
      </c>
      <c r="GE293">
        <v>8.7344028055667877E-2</v>
      </c>
      <c r="GF293">
        <v>8.021390438079834E-2</v>
      </c>
      <c r="GG293">
        <v>6.5953657031059265E-2</v>
      </c>
      <c r="GH293">
        <v>7.3083780705928802E-2</v>
      </c>
      <c r="GI293">
        <v>6.9518715143203735E-2</v>
      </c>
      <c r="GJ293">
        <v>9.0909093618392944E-2</v>
      </c>
      <c r="GK293">
        <v>5.3475935012102127E-2</v>
      </c>
      <c r="GL293">
        <v>7.8431375324726105E-2</v>
      </c>
      <c r="GM293">
        <v>8.1996433436870575E-2</v>
      </c>
      <c r="GN293">
        <v>6.5953657031059265E-2</v>
      </c>
      <c r="GO293">
        <v>7.6648838818073273E-2</v>
      </c>
      <c r="GP293">
        <v>6.9518715143203735E-2</v>
      </c>
      <c r="GQ293">
        <v>7.8431375324726105E-2</v>
      </c>
      <c r="GR293">
        <v>7.130124419927597E-2</v>
      </c>
      <c r="GS293">
        <v>0.11051693558692932</v>
      </c>
      <c r="GT293">
        <v>9.0909093618392944E-2</v>
      </c>
      <c r="GU293">
        <v>6.5953657031059265E-2</v>
      </c>
      <c r="GV293">
        <v>9.2691622674465179E-2</v>
      </c>
      <c r="GW293">
        <v>6.5953657031059265E-2</v>
      </c>
      <c r="GX293">
        <v>0.11586453020572662</v>
      </c>
      <c r="GY293">
        <v>9.2691622674465179E-2</v>
      </c>
      <c r="GZ293">
        <v>7.4866309762001038E-2</v>
      </c>
      <c r="HA293">
        <v>6.9518715143203735E-2</v>
      </c>
      <c r="HB293">
        <v>4.9910873174667358E-2</v>
      </c>
      <c r="HC293">
        <v>9.2691622674465179E-2</v>
      </c>
      <c r="HD293">
        <v>7.8431375324726105E-2</v>
      </c>
      <c r="HE293">
        <v>6.77361860871315E-2</v>
      </c>
      <c r="HF293">
        <v>7.130124419927597E-2</v>
      </c>
      <c r="HG293">
        <v>9.4474151730537415E-2</v>
      </c>
      <c r="HH293">
        <v>6.0606062412261963E-2</v>
      </c>
      <c r="HI293">
        <v>5.3475935012102127E-2</v>
      </c>
      <c r="HJ293">
        <v>4.9910873174667358E-2</v>
      </c>
      <c r="HK293">
        <v>9.2691622674465179E-2</v>
      </c>
      <c r="HL293">
        <v>9.0909093618392944E-2</v>
      </c>
      <c r="HM293">
        <v>4.9910873174667358E-2</v>
      </c>
      <c r="HN293">
        <v>5.3475935012102127E-2</v>
      </c>
      <c r="HO293">
        <v>0.14795008301734924</v>
      </c>
      <c r="HP293">
        <v>7.3083780705928802E-2</v>
      </c>
      <c r="HQ293">
        <v>8.9126557111740112E-2</v>
      </c>
      <c r="HR293">
        <v>9.4474151730537415E-2</v>
      </c>
      <c r="HS293">
        <v>8.7344028055667877E-2</v>
      </c>
      <c r="HT293">
        <v>4.4563278555870056E-2</v>
      </c>
      <c r="HU293">
        <v>6.5953657031059265E-2</v>
      </c>
      <c r="HV293">
        <v>6.77361860871315E-2</v>
      </c>
      <c r="HW293">
        <v>6.4171120524406433E-2</v>
      </c>
      <c r="HX293">
        <v>8.377896249294281E-2</v>
      </c>
      <c r="HY293">
        <v>5.1693405956029892E-2</v>
      </c>
      <c r="HZ293">
        <v>6.77361860871315E-2</v>
      </c>
      <c r="IA293">
        <v>8.021390438079834E-2</v>
      </c>
      <c r="IB293">
        <v>6.9518715143203735E-2</v>
      </c>
      <c r="IC293">
        <v>6.2388591468334198E-2</v>
      </c>
      <c r="ID293">
        <v>7.6648838818073273E-2</v>
      </c>
      <c r="IE293">
        <v>5.8823529630899429E-2</v>
      </c>
      <c r="IF293">
        <v>5.1693405956029892E-2</v>
      </c>
      <c r="IG293">
        <v>8.021390438079834E-2</v>
      </c>
      <c r="IH293">
        <v>7.6648838818073273E-2</v>
      </c>
      <c r="II293">
        <v>9.4474151730537415E-2</v>
      </c>
      <c r="IJ293">
        <v>5.5258467793464661E-2</v>
      </c>
      <c r="IK293">
        <v>5.3475935012102127E-2</v>
      </c>
      <c r="IL293">
        <v>5.3475935012102127E-2</v>
      </c>
      <c r="IM293">
        <v>9.9821746349334717E-2</v>
      </c>
      <c r="IN293">
        <v>8.9126557111740112E-2</v>
      </c>
      <c r="IO293">
        <v>6.5953657031059265E-2</v>
      </c>
      <c r="IP293">
        <v>8.377896249294281E-2</v>
      </c>
      <c r="IQ293">
        <v>6.0606062412261963E-2</v>
      </c>
      <c r="IR293">
        <v>6.4171120524406433E-2</v>
      </c>
      <c r="IS293">
        <v>7.130124419927597E-2</v>
      </c>
      <c r="IT293">
        <v>4.8128340393304825E-2</v>
      </c>
      <c r="IU293">
        <v>7.6648838818073273E-2</v>
      </c>
      <c r="IV293">
        <v>8.1996433436870575E-2</v>
      </c>
      <c r="IW293">
        <v>8.021390438079834E-2</v>
      </c>
      <c r="IX293">
        <v>8.1996433436870575E-2</v>
      </c>
      <c r="IY293">
        <v>6.2388591468334198E-2</v>
      </c>
      <c r="IZ293">
        <v>0.11229946464300156</v>
      </c>
      <c r="JA293">
        <v>5.8823529630899429E-2</v>
      </c>
      <c r="JB293">
        <v>6.9518715143203735E-2</v>
      </c>
      <c r="JC293">
        <v>8.021390438079834E-2</v>
      </c>
      <c r="JD293">
        <v>9.8039217293262482E-2</v>
      </c>
      <c r="JE293">
        <v>4.9910873174667358E-2</v>
      </c>
      <c r="JF293">
        <v>5.8823529630899429E-2</v>
      </c>
      <c r="JG293">
        <v>8.1996433436870575E-2</v>
      </c>
      <c r="JH293">
        <v>6.2388591468334198E-2</v>
      </c>
      <c r="JI293">
        <v>8.021390438079834E-2</v>
      </c>
      <c r="JJ293">
        <v>8.1996433436870575E-2</v>
      </c>
      <c r="JK293">
        <v>7.130124419927597E-2</v>
      </c>
      <c r="JL293">
        <v>5.8823529630899429E-2</v>
      </c>
      <c r="JM293">
        <v>6.9518715143203735E-2</v>
      </c>
      <c r="JN293">
        <v>8.9126557111740112E-2</v>
      </c>
      <c r="JO293">
        <v>8.5561498999595642E-2</v>
      </c>
      <c r="JP293">
        <v>0.10873440653085709</v>
      </c>
      <c r="JQ293">
        <v>5.3475935012102127E-2</v>
      </c>
      <c r="JR293">
        <v>8.7344028055667877E-2</v>
      </c>
      <c r="JS293">
        <v>7.3083780705928802E-2</v>
      </c>
      <c r="JT293">
        <v>8.021390438079834E-2</v>
      </c>
      <c r="JU293">
        <v>6.4171120524406433E-2</v>
      </c>
    </row>
    <row r="294" spans="4:292" x14ac:dyDescent="0.25">
      <c r="D294" s="41" t="str" cm="1">
        <f t="array" ref="D294">IF(H294="","",IF(AND(E294&lt;AVERAGE(E293,E295)*($L$19/100),$D$23:D293=""),H294,""))</f>
        <v/>
      </c>
      <c r="E294" s="78">
        <f t="shared" si="4"/>
        <v>2.8197857445872859E-3</v>
      </c>
      <c r="F294" s="79"/>
      <c r="H294">
        <v>272</v>
      </c>
      <c r="I294">
        <v>7.6869785744587291E-2</v>
      </c>
      <c r="K294">
        <v>0.11764705926179886</v>
      </c>
      <c r="L294">
        <v>6.0504201799631119E-2</v>
      </c>
      <c r="M294">
        <v>7.2268910706043243E-2</v>
      </c>
      <c r="N294">
        <v>7.5630255043506622E-2</v>
      </c>
      <c r="O294">
        <v>7.7310927212238312E-2</v>
      </c>
      <c r="P294">
        <v>8.235294371843338E-2</v>
      </c>
      <c r="Q294">
        <v>7.2268910706043243E-2</v>
      </c>
      <c r="R294">
        <v>7.2268910706043243E-2</v>
      </c>
      <c r="S294">
        <v>8.403361588716507E-2</v>
      </c>
      <c r="T294">
        <v>6.5546222031116486E-2</v>
      </c>
      <c r="U294">
        <v>6.8907566368579865E-2</v>
      </c>
      <c r="V294">
        <v>9.5798321068286896E-2</v>
      </c>
      <c r="W294">
        <v>7.0588238537311554E-2</v>
      </c>
      <c r="X294">
        <v>9.5798321068286896E-2</v>
      </c>
      <c r="Y294">
        <v>6.3865549862384796E-2</v>
      </c>
      <c r="Z294">
        <v>7.3949582874774933E-2</v>
      </c>
      <c r="AA294">
        <v>6.8907566368579865E-2</v>
      </c>
      <c r="AB294">
        <v>8.5714288055896759E-2</v>
      </c>
      <c r="AC294">
        <v>6.3865549862384796E-2</v>
      </c>
      <c r="AD294">
        <v>7.2268910706043243E-2</v>
      </c>
      <c r="AE294">
        <v>9.4117648899555206E-2</v>
      </c>
      <c r="AF294">
        <v>6.5546222031116486E-2</v>
      </c>
      <c r="AG294">
        <v>6.3865549862384796E-2</v>
      </c>
      <c r="AH294">
        <v>8.7394960224628448E-2</v>
      </c>
      <c r="AI294">
        <v>6.3865549862384796E-2</v>
      </c>
      <c r="AJ294">
        <v>9.0756304562091827E-2</v>
      </c>
      <c r="AK294">
        <v>7.0588238537311554E-2</v>
      </c>
      <c r="AL294">
        <v>7.8991599380970001E-2</v>
      </c>
      <c r="AM294">
        <v>0.11428571492433548</v>
      </c>
      <c r="AN294">
        <v>0.10252100974321365</v>
      </c>
      <c r="AO294">
        <v>7.0588238537311554E-2</v>
      </c>
      <c r="AP294">
        <v>5.8823529630899429E-2</v>
      </c>
      <c r="AQ294">
        <v>6.8907566368579865E-2</v>
      </c>
      <c r="AR294">
        <v>7.7310927212238312E-2</v>
      </c>
      <c r="AS294">
        <v>7.0588238537311554E-2</v>
      </c>
      <c r="AT294">
        <v>9.4117648899555206E-2</v>
      </c>
      <c r="AU294">
        <v>8.9075632393360138E-2</v>
      </c>
      <c r="AV294">
        <v>7.8991599380970001E-2</v>
      </c>
      <c r="AW294">
        <v>7.7310927212238312E-2</v>
      </c>
      <c r="AX294">
        <v>4.8739496618509293E-2</v>
      </c>
      <c r="AY294">
        <v>0.11428571492433548</v>
      </c>
      <c r="AZ294">
        <v>6.2184873968362808E-2</v>
      </c>
      <c r="BA294">
        <v>9.0756304562091827E-2</v>
      </c>
      <c r="BB294">
        <v>7.3949582874774933E-2</v>
      </c>
      <c r="BC294">
        <v>9.5798321068286896E-2</v>
      </c>
      <c r="BD294">
        <v>6.8907566368579865E-2</v>
      </c>
      <c r="BE294">
        <v>9.0756304562091827E-2</v>
      </c>
      <c r="BF294">
        <v>9.7478993237018585E-2</v>
      </c>
      <c r="BG294">
        <v>5.0420168787240982E-2</v>
      </c>
      <c r="BH294">
        <v>6.3865549862384796E-2</v>
      </c>
      <c r="BI294">
        <v>8.403361588716507E-2</v>
      </c>
      <c r="BJ294">
        <v>5.714285746216774E-2</v>
      </c>
      <c r="BK294">
        <v>0.10252100974321365</v>
      </c>
      <c r="BL294">
        <v>6.7226894199848175E-2</v>
      </c>
      <c r="BM294">
        <v>9.7478993237018585E-2</v>
      </c>
      <c r="BN294">
        <v>9.9159665405750275E-2</v>
      </c>
      <c r="BO294">
        <v>7.8991599380970001E-2</v>
      </c>
      <c r="BP294">
        <v>8.0672271549701691E-2</v>
      </c>
      <c r="BQ294">
        <v>0.10588235408067703</v>
      </c>
      <c r="BR294">
        <v>6.8907566368579865E-2</v>
      </c>
      <c r="BS294">
        <v>8.403361588716507E-2</v>
      </c>
      <c r="BT294">
        <v>5.0420168787240982E-2</v>
      </c>
      <c r="BU294">
        <v>6.4171120524406433E-2</v>
      </c>
      <c r="BV294">
        <v>4.4563278555870056E-2</v>
      </c>
      <c r="BW294">
        <v>7.4866309762001038E-2</v>
      </c>
      <c r="BX294">
        <v>7.4866309762001038E-2</v>
      </c>
      <c r="BY294">
        <v>6.5953657031059265E-2</v>
      </c>
      <c r="BZ294">
        <v>9.2691622674465179E-2</v>
      </c>
      <c r="CA294">
        <v>5.8823529630899429E-2</v>
      </c>
      <c r="CB294">
        <v>7.130124419927597E-2</v>
      </c>
      <c r="CC294">
        <v>6.5953657031059265E-2</v>
      </c>
      <c r="CD294">
        <v>7.3083780705928802E-2</v>
      </c>
      <c r="CE294">
        <v>5.7040996849536896E-2</v>
      </c>
      <c r="CF294">
        <v>6.77361860871315E-2</v>
      </c>
      <c r="CG294">
        <v>9.8039217293262482E-2</v>
      </c>
      <c r="CH294">
        <v>4.9910873174667358E-2</v>
      </c>
      <c r="CI294">
        <v>7.6648838818073273E-2</v>
      </c>
      <c r="CJ294">
        <v>7.8431375324726105E-2</v>
      </c>
      <c r="CK294">
        <v>5.8823529630899429E-2</v>
      </c>
      <c r="CL294">
        <v>6.4171120524406433E-2</v>
      </c>
      <c r="CM294">
        <v>5.8823529630899429E-2</v>
      </c>
      <c r="CN294">
        <v>7.8431375324726105E-2</v>
      </c>
      <c r="CO294">
        <v>7.6648838818073273E-2</v>
      </c>
      <c r="CP294">
        <v>9.0909093618392944E-2</v>
      </c>
      <c r="CQ294">
        <v>9.2691622674465179E-2</v>
      </c>
      <c r="CR294">
        <v>0.14973261952400208</v>
      </c>
      <c r="CS294">
        <v>6.0606062412261963E-2</v>
      </c>
      <c r="CT294">
        <v>7.3083780705928802E-2</v>
      </c>
      <c r="CU294">
        <v>6.77361860871315E-2</v>
      </c>
      <c r="CV294">
        <v>5.5258467793464661E-2</v>
      </c>
      <c r="CW294">
        <v>9.2691622674465179E-2</v>
      </c>
      <c r="CX294">
        <v>6.2388591468334198E-2</v>
      </c>
      <c r="CY294">
        <v>8.377896249294281E-2</v>
      </c>
      <c r="CZ294">
        <v>8.7344028055667877E-2</v>
      </c>
      <c r="DA294">
        <v>6.2388591468334198E-2</v>
      </c>
      <c r="DB294">
        <v>5.5258467793464661E-2</v>
      </c>
      <c r="DC294">
        <v>9.4474151730537415E-2</v>
      </c>
      <c r="DD294">
        <v>0.10338681191205978</v>
      </c>
      <c r="DE294">
        <v>7.130124419927597E-2</v>
      </c>
      <c r="DF294">
        <v>6.77361860871315E-2</v>
      </c>
      <c r="DG294">
        <v>0.12121212482452393</v>
      </c>
      <c r="DH294">
        <v>5.5258467793464661E-2</v>
      </c>
      <c r="DI294">
        <v>0.11229946464300156</v>
      </c>
      <c r="DJ294">
        <v>6.2388591468334198E-2</v>
      </c>
      <c r="DK294">
        <v>7.8431375324726105E-2</v>
      </c>
      <c r="DL294">
        <v>6.4171120524406433E-2</v>
      </c>
      <c r="DM294">
        <v>8.5561498999595642E-2</v>
      </c>
      <c r="DN294">
        <v>6.0606062412261963E-2</v>
      </c>
      <c r="DO294">
        <v>5.1693405956029892E-2</v>
      </c>
      <c r="DP294">
        <v>7.4866309762001038E-2</v>
      </c>
      <c r="DQ294">
        <v>5.5258467793464661E-2</v>
      </c>
      <c r="DR294">
        <v>6.4171120524406433E-2</v>
      </c>
      <c r="DS294">
        <v>0.10338681191205978</v>
      </c>
      <c r="DT294">
        <v>5.7040996849536896E-2</v>
      </c>
      <c r="DU294">
        <v>8.021390438079834E-2</v>
      </c>
      <c r="DV294">
        <v>6.4171120524406433E-2</v>
      </c>
      <c r="DW294">
        <v>5.7040996849536896E-2</v>
      </c>
      <c r="DX294">
        <v>6.0606062412261963E-2</v>
      </c>
      <c r="DY294">
        <v>7.3083780705928802E-2</v>
      </c>
      <c r="DZ294">
        <v>6.4171120524406433E-2</v>
      </c>
      <c r="EA294">
        <v>0.10160427540540695</v>
      </c>
      <c r="EB294">
        <v>6.77361860871315E-2</v>
      </c>
      <c r="EC294">
        <v>8.377896249294281E-2</v>
      </c>
      <c r="ED294">
        <v>6.9518715143203735E-2</v>
      </c>
      <c r="EE294">
        <v>9.4474151730537415E-2</v>
      </c>
      <c r="EF294">
        <v>0.11408199369907379</v>
      </c>
      <c r="EG294">
        <v>7.8431375324726105E-2</v>
      </c>
      <c r="EH294">
        <v>6.77361860871315E-2</v>
      </c>
      <c r="EI294">
        <v>4.8128340393304825E-2</v>
      </c>
      <c r="EJ294">
        <v>8.1996433436870575E-2</v>
      </c>
      <c r="EK294">
        <v>5.8823529630899429E-2</v>
      </c>
      <c r="EL294">
        <v>6.5953657031059265E-2</v>
      </c>
      <c r="EM294">
        <v>7.130124419927597E-2</v>
      </c>
      <c r="EN294">
        <v>6.77361860871315E-2</v>
      </c>
      <c r="EO294">
        <v>7.6648838818073273E-2</v>
      </c>
      <c r="EP294">
        <v>0.11408199369907379</v>
      </c>
      <c r="EQ294">
        <v>9.2691622674465179E-2</v>
      </c>
      <c r="ER294">
        <v>4.8128340393304825E-2</v>
      </c>
      <c r="ES294">
        <v>7.6648838818073273E-2</v>
      </c>
      <c r="ET294">
        <v>6.0606062412261963E-2</v>
      </c>
      <c r="EU294">
        <v>6.77361860871315E-2</v>
      </c>
      <c r="EV294">
        <v>8.9126557111740112E-2</v>
      </c>
      <c r="EW294">
        <v>0.10516934096813202</v>
      </c>
      <c r="EX294">
        <v>7.130124419927597E-2</v>
      </c>
      <c r="EY294">
        <v>8.5561498999595642E-2</v>
      </c>
      <c r="EZ294">
        <v>8.1996433436870575E-2</v>
      </c>
      <c r="FA294">
        <v>8.7344028055667877E-2</v>
      </c>
      <c r="FB294">
        <v>6.0606062412261963E-2</v>
      </c>
      <c r="FC294">
        <v>8.1996433436870575E-2</v>
      </c>
      <c r="FD294">
        <v>6.9518715143203735E-2</v>
      </c>
      <c r="FE294">
        <v>6.4171120524406433E-2</v>
      </c>
      <c r="FF294">
        <v>7.6648838818073273E-2</v>
      </c>
      <c r="FG294">
        <v>8.377896249294281E-2</v>
      </c>
      <c r="FH294">
        <v>8.1996433436870575E-2</v>
      </c>
      <c r="FI294">
        <v>7.130124419927597E-2</v>
      </c>
      <c r="FJ294">
        <v>7.6648838818073273E-2</v>
      </c>
      <c r="FK294">
        <v>7.8431375324726105E-2</v>
      </c>
      <c r="FL294">
        <v>6.77361860871315E-2</v>
      </c>
      <c r="FM294">
        <v>6.4171120524406433E-2</v>
      </c>
      <c r="FN294">
        <v>9.4474151730537415E-2</v>
      </c>
      <c r="FO294">
        <v>8.5561498999595642E-2</v>
      </c>
      <c r="FP294">
        <v>4.9910873174667358E-2</v>
      </c>
      <c r="FQ294">
        <v>4.9910873174667358E-2</v>
      </c>
      <c r="FR294">
        <v>7.3083780705928802E-2</v>
      </c>
      <c r="FS294">
        <v>7.6648838818073273E-2</v>
      </c>
      <c r="FT294">
        <v>0.16221034526824951</v>
      </c>
      <c r="FU294">
        <v>6.9518715143203735E-2</v>
      </c>
      <c r="FV294">
        <v>7.8431375324726105E-2</v>
      </c>
      <c r="FW294">
        <v>9.625668078660965E-2</v>
      </c>
      <c r="FX294">
        <v>8.377896249294281E-2</v>
      </c>
      <c r="FY294">
        <v>9.2691622674465179E-2</v>
      </c>
      <c r="FZ294">
        <v>8.9126557111740112E-2</v>
      </c>
      <c r="GA294">
        <v>6.0606062412261963E-2</v>
      </c>
      <c r="GB294">
        <v>5.7040996849536896E-2</v>
      </c>
      <c r="GC294">
        <v>7.6648838818073273E-2</v>
      </c>
      <c r="GD294">
        <v>6.5953657031059265E-2</v>
      </c>
      <c r="GE294">
        <v>4.9910873174667358E-2</v>
      </c>
      <c r="GF294">
        <v>9.8039217293262482E-2</v>
      </c>
      <c r="GG294">
        <v>5.3475935012102127E-2</v>
      </c>
      <c r="GH294">
        <v>6.77361860871315E-2</v>
      </c>
      <c r="GI294">
        <v>0.1408199667930603</v>
      </c>
      <c r="GJ294">
        <v>6.4171120524406433E-2</v>
      </c>
      <c r="GK294">
        <v>7.4866309762001038E-2</v>
      </c>
      <c r="GL294">
        <v>6.4171120524406433E-2</v>
      </c>
      <c r="GM294">
        <v>6.77361860871315E-2</v>
      </c>
      <c r="GN294">
        <v>5.8823529630899429E-2</v>
      </c>
      <c r="GO294">
        <v>8.9126557111740112E-2</v>
      </c>
      <c r="GP294">
        <v>8.021390438079834E-2</v>
      </c>
      <c r="GQ294">
        <v>0.14795008301734924</v>
      </c>
      <c r="GR294">
        <v>6.4171120524406433E-2</v>
      </c>
      <c r="GS294">
        <v>0.10695187002420425</v>
      </c>
      <c r="GT294">
        <v>6.77361860871315E-2</v>
      </c>
      <c r="GU294">
        <v>8.377896249294281E-2</v>
      </c>
      <c r="GV294">
        <v>5.1693405956029892E-2</v>
      </c>
      <c r="GW294">
        <v>8.5561498999595642E-2</v>
      </c>
      <c r="GX294">
        <v>7.3083780705928802E-2</v>
      </c>
      <c r="GY294">
        <v>4.9910873174667358E-2</v>
      </c>
      <c r="GZ294">
        <v>4.8128340393304825E-2</v>
      </c>
      <c r="HA294">
        <v>9.4474151730537415E-2</v>
      </c>
      <c r="HB294">
        <v>6.2388591468334198E-2</v>
      </c>
      <c r="HC294">
        <v>6.0606062412261963E-2</v>
      </c>
      <c r="HD294">
        <v>8.9126557111740112E-2</v>
      </c>
      <c r="HE294">
        <v>7.8431375324726105E-2</v>
      </c>
      <c r="HF294">
        <v>6.0606062412261963E-2</v>
      </c>
      <c r="HG294">
        <v>0.11408199369907379</v>
      </c>
      <c r="HH294">
        <v>8.021390438079834E-2</v>
      </c>
      <c r="HI294">
        <v>7.8431375324726105E-2</v>
      </c>
      <c r="HJ294">
        <v>8.021390438079834E-2</v>
      </c>
      <c r="HK294">
        <v>7.6648838818073273E-2</v>
      </c>
      <c r="HL294">
        <v>7.6648838818073273E-2</v>
      </c>
      <c r="HM294">
        <v>7.6648838818073273E-2</v>
      </c>
      <c r="HN294">
        <v>9.2691622674465179E-2</v>
      </c>
      <c r="HO294">
        <v>6.0606062412261963E-2</v>
      </c>
      <c r="HP294">
        <v>6.5953657031059265E-2</v>
      </c>
      <c r="HQ294">
        <v>6.9518715143203735E-2</v>
      </c>
      <c r="HR294">
        <v>7.130124419927597E-2</v>
      </c>
      <c r="HS294">
        <v>6.77361860871315E-2</v>
      </c>
      <c r="HT294">
        <v>8.5561498999595642E-2</v>
      </c>
      <c r="HU294">
        <v>9.4474151730537415E-2</v>
      </c>
      <c r="HV294">
        <v>6.9518715143203735E-2</v>
      </c>
      <c r="HW294">
        <v>8.1996433436870575E-2</v>
      </c>
      <c r="HX294">
        <v>7.4866309762001038E-2</v>
      </c>
      <c r="HY294">
        <v>6.5953657031059265E-2</v>
      </c>
      <c r="HZ294">
        <v>9.8039217293262482E-2</v>
      </c>
      <c r="IA294">
        <v>6.5953657031059265E-2</v>
      </c>
      <c r="IB294">
        <v>6.77361860871315E-2</v>
      </c>
      <c r="IC294">
        <v>7.4866309762001038E-2</v>
      </c>
      <c r="ID294">
        <v>6.0606062412261963E-2</v>
      </c>
      <c r="IE294">
        <v>6.9518715143203735E-2</v>
      </c>
      <c r="IF294">
        <v>0.10873440653085709</v>
      </c>
      <c r="IG294">
        <v>7.4866309762001038E-2</v>
      </c>
      <c r="IH294">
        <v>8.021390438079834E-2</v>
      </c>
      <c r="II294">
        <v>6.0606062412261963E-2</v>
      </c>
      <c r="IJ294">
        <v>6.2388591468334198E-2</v>
      </c>
      <c r="IK294">
        <v>9.8039217293262482E-2</v>
      </c>
      <c r="IL294">
        <v>9.4474151730537415E-2</v>
      </c>
      <c r="IM294">
        <v>6.9518715143203735E-2</v>
      </c>
      <c r="IN294">
        <v>8.5561498999595642E-2</v>
      </c>
      <c r="IO294">
        <v>9.625668078660965E-2</v>
      </c>
      <c r="IP294">
        <v>6.2388591468334198E-2</v>
      </c>
      <c r="IQ294">
        <v>0.13368983566761017</v>
      </c>
      <c r="IR294">
        <v>4.2780749499797821E-2</v>
      </c>
      <c r="IS294">
        <v>6.0606062412261963E-2</v>
      </c>
      <c r="IT294">
        <v>0.10160427540540695</v>
      </c>
      <c r="IU294">
        <v>6.77361860871315E-2</v>
      </c>
      <c r="IV294">
        <v>5.1693405956029892E-2</v>
      </c>
      <c r="IW294">
        <v>9.0909093618392944E-2</v>
      </c>
      <c r="IX294">
        <v>6.2388591468334198E-2</v>
      </c>
      <c r="IY294">
        <v>7.3083780705928802E-2</v>
      </c>
      <c r="IZ294">
        <v>0.10516934096813202</v>
      </c>
      <c r="JA294">
        <v>6.4171120524406433E-2</v>
      </c>
      <c r="JB294">
        <v>0.13190731406211853</v>
      </c>
      <c r="JC294">
        <v>9.2691622674465179E-2</v>
      </c>
      <c r="JD294">
        <v>6.77361860871315E-2</v>
      </c>
      <c r="JE294">
        <v>6.9518715143203735E-2</v>
      </c>
      <c r="JF294">
        <v>8.1996433436870575E-2</v>
      </c>
      <c r="JG294">
        <v>6.2388591468334198E-2</v>
      </c>
      <c r="JH294">
        <v>8.021390438079834E-2</v>
      </c>
      <c r="JI294">
        <v>5.1693405956029892E-2</v>
      </c>
      <c r="JJ294">
        <v>8.5561498999595642E-2</v>
      </c>
      <c r="JK294">
        <v>6.0606062412261963E-2</v>
      </c>
      <c r="JL294">
        <v>6.2388591468334198E-2</v>
      </c>
      <c r="JM294">
        <v>5.3475935012102127E-2</v>
      </c>
      <c r="JN294">
        <v>8.021390438079834E-2</v>
      </c>
      <c r="JO294">
        <v>0.10338681191205978</v>
      </c>
      <c r="JP294">
        <v>7.6648838818073273E-2</v>
      </c>
      <c r="JQ294">
        <v>6.4171120524406433E-2</v>
      </c>
      <c r="JR294">
        <v>6.5953657031059265E-2</v>
      </c>
      <c r="JS294">
        <v>8.021390438079834E-2</v>
      </c>
      <c r="JT294">
        <v>6.5953657031059265E-2</v>
      </c>
      <c r="JU294">
        <v>8.9126557111740112E-2</v>
      </c>
      <c r="JV294">
        <v>5.7040996849536896E-2</v>
      </c>
    </row>
    <row r="295" spans="4:292" x14ac:dyDescent="0.25">
      <c r="D295" s="41" t="str" cm="1">
        <f t="array" ref="D295">IF(H295="","",IF(AND(E295&lt;AVERAGE(E294,E296)*($L$19/100),$D$23:D294=""),H295,""))</f>
        <v/>
      </c>
      <c r="E295" s="78">
        <f t="shared" si="4"/>
        <v>1.8278106407586397E-3</v>
      </c>
      <c r="F295" s="79"/>
      <c r="H295">
        <v>273</v>
      </c>
      <c r="I295">
        <v>7.5877810640758644E-2</v>
      </c>
      <c r="K295">
        <v>8.7394960224628448E-2</v>
      </c>
      <c r="L295">
        <v>6.8907566368579865E-2</v>
      </c>
      <c r="M295">
        <v>9.5798321068286896E-2</v>
      </c>
      <c r="N295">
        <v>8.403361588716507E-2</v>
      </c>
      <c r="O295">
        <v>5.2100840955972672E-2</v>
      </c>
      <c r="P295">
        <v>8.7394960224628448E-2</v>
      </c>
      <c r="Q295">
        <v>6.7226894199848175E-2</v>
      </c>
      <c r="R295">
        <v>5.3781513124704361E-2</v>
      </c>
      <c r="S295">
        <v>6.5546222031116486E-2</v>
      </c>
      <c r="T295">
        <v>8.0672271549701691E-2</v>
      </c>
      <c r="U295">
        <v>8.5714288055896759E-2</v>
      </c>
      <c r="V295">
        <v>7.2268910706043243E-2</v>
      </c>
      <c r="W295">
        <v>9.2436976730823517E-2</v>
      </c>
      <c r="X295">
        <v>5.3781513124704361E-2</v>
      </c>
      <c r="Y295">
        <v>7.7310927212238312E-2</v>
      </c>
      <c r="Z295">
        <v>4.8739496618509293E-2</v>
      </c>
      <c r="AA295">
        <v>0.10588235408067703</v>
      </c>
      <c r="AB295">
        <v>9.0756304562091827E-2</v>
      </c>
      <c r="AC295">
        <v>4.8739496618509293E-2</v>
      </c>
      <c r="AD295">
        <v>6.2184873968362808E-2</v>
      </c>
      <c r="AE295">
        <v>0.10252100974321365</v>
      </c>
      <c r="AF295">
        <v>7.5630255043506622E-2</v>
      </c>
      <c r="AG295">
        <v>8.0672271549701691E-2</v>
      </c>
      <c r="AH295">
        <v>9.2436976730823517E-2</v>
      </c>
      <c r="AI295">
        <v>5.8823529630899429E-2</v>
      </c>
      <c r="AJ295">
        <v>0.1260504275560379</v>
      </c>
      <c r="AK295">
        <v>7.3949582874774933E-2</v>
      </c>
      <c r="AL295">
        <v>5.8823529630899429E-2</v>
      </c>
      <c r="AM295">
        <v>5.3475935012102127E-2</v>
      </c>
      <c r="AN295">
        <v>9.4474151730537415E-2</v>
      </c>
      <c r="AO295">
        <v>8.021390438079834E-2</v>
      </c>
      <c r="AP295">
        <v>6.4171120524406433E-2</v>
      </c>
      <c r="AQ295">
        <v>0.10516934096813202</v>
      </c>
      <c r="AR295">
        <v>7.4866309762001038E-2</v>
      </c>
      <c r="AS295">
        <v>5.5258467793464661E-2</v>
      </c>
      <c r="AT295">
        <v>6.5953657031059265E-2</v>
      </c>
      <c r="AU295">
        <v>5.8823529630899429E-2</v>
      </c>
      <c r="AV295">
        <v>6.77361860871315E-2</v>
      </c>
      <c r="AW295">
        <v>7.3083780705928802E-2</v>
      </c>
      <c r="AX295">
        <v>6.4171120524406433E-2</v>
      </c>
      <c r="AY295">
        <v>0.11051693558692932</v>
      </c>
      <c r="AZ295">
        <v>8.7344028055667877E-2</v>
      </c>
      <c r="BA295">
        <v>6.5953657031059265E-2</v>
      </c>
      <c r="BB295">
        <v>6.77361860871315E-2</v>
      </c>
      <c r="BC295">
        <v>7.4866309762001038E-2</v>
      </c>
      <c r="BD295">
        <v>6.5953657031059265E-2</v>
      </c>
      <c r="BE295">
        <v>6.0606062412261963E-2</v>
      </c>
      <c r="BF295">
        <v>7.4866309762001038E-2</v>
      </c>
      <c r="BG295">
        <v>5.8823529630899429E-2</v>
      </c>
      <c r="BH295">
        <v>8.1996433436870575E-2</v>
      </c>
      <c r="BI295">
        <v>7.4866309762001038E-2</v>
      </c>
      <c r="BJ295">
        <v>7.4866309762001038E-2</v>
      </c>
      <c r="BK295">
        <v>8.5561498999595642E-2</v>
      </c>
      <c r="BL295">
        <v>7.3083780705928802E-2</v>
      </c>
      <c r="BM295">
        <v>7.3083780705928802E-2</v>
      </c>
      <c r="BN295">
        <v>7.3083780705928802E-2</v>
      </c>
      <c r="BO295">
        <v>5.7040996849536896E-2</v>
      </c>
      <c r="BP295">
        <v>6.77361860871315E-2</v>
      </c>
      <c r="BQ295">
        <v>9.0909093618392944E-2</v>
      </c>
      <c r="BR295">
        <v>7.3083780705928802E-2</v>
      </c>
      <c r="BS295">
        <v>5.3475935012102127E-2</v>
      </c>
      <c r="BT295">
        <v>9.625668078660965E-2</v>
      </c>
      <c r="BU295">
        <v>5.5258467793464661E-2</v>
      </c>
      <c r="BV295">
        <v>8.5561498999595642E-2</v>
      </c>
      <c r="BW295">
        <v>6.77361860871315E-2</v>
      </c>
      <c r="BX295">
        <v>5.1693405956029892E-2</v>
      </c>
      <c r="BY295">
        <v>6.9518715143203735E-2</v>
      </c>
      <c r="BZ295">
        <v>8.7344028055667877E-2</v>
      </c>
      <c r="CA295">
        <v>7.6648838818073273E-2</v>
      </c>
      <c r="CB295">
        <v>7.6648838818073273E-2</v>
      </c>
      <c r="CC295">
        <v>9.8039217293262482E-2</v>
      </c>
      <c r="CD295">
        <v>0.10873440653085709</v>
      </c>
      <c r="CE295">
        <v>0.10160427540540695</v>
      </c>
      <c r="CF295">
        <v>0.10160427540540695</v>
      </c>
      <c r="CG295">
        <v>5.8823529630899429E-2</v>
      </c>
      <c r="CH295">
        <v>9.2691622674465179E-2</v>
      </c>
      <c r="CI295">
        <v>8.021390438079834E-2</v>
      </c>
      <c r="CJ295">
        <v>0.10695187002420425</v>
      </c>
      <c r="CK295">
        <v>9.0909093618392944E-2</v>
      </c>
      <c r="CL295">
        <v>9.0909093618392944E-2</v>
      </c>
      <c r="CM295">
        <v>5.3475935012102127E-2</v>
      </c>
      <c r="CN295">
        <v>7.3083780705928802E-2</v>
      </c>
      <c r="CO295">
        <v>9.2691622674465179E-2</v>
      </c>
      <c r="CP295">
        <v>5.8823529630899429E-2</v>
      </c>
      <c r="CQ295">
        <v>8.021390438079834E-2</v>
      </c>
      <c r="CR295">
        <v>8.021390438079834E-2</v>
      </c>
      <c r="CS295">
        <v>7.8431375324726105E-2</v>
      </c>
      <c r="CT295">
        <v>0.10160427540540695</v>
      </c>
      <c r="CU295">
        <v>4.9910873174667358E-2</v>
      </c>
      <c r="CV295">
        <v>9.2691622674465179E-2</v>
      </c>
      <c r="CW295">
        <v>5.5258467793464661E-2</v>
      </c>
      <c r="CX295">
        <v>9.0909093618392944E-2</v>
      </c>
      <c r="CY295">
        <v>5.8823529630899429E-2</v>
      </c>
      <c r="CZ295">
        <v>6.77361860871315E-2</v>
      </c>
      <c r="DA295">
        <v>8.377896249294281E-2</v>
      </c>
      <c r="DB295">
        <v>5.8823529630899429E-2</v>
      </c>
      <c r="DC295">
        <v>6.77361860871315E-2</v>
      </c>
      <c r="DD295">
        <v>8.5561498999595642E-2</v>
      </c>
      <c r="DE295">
        <v>6.5953657031059265E-2</v>
      </c>
      <c r="DF295">
        <v>8.5561498999595642E-2</v>
      </c>
      <c r="DG295">
        <v>7.6648838818073273E-2</v>
      </c>
      <c r="DH295">
        <v>4.8128340393304825E-2</v>
      </c>
      <c r="DI295">
        <v>5.7040996849536896E-2</v>
      </c>
      <c r="DJ295">
        <v>9.4474151730537415E-2</v>
      </c>
      <c r="DK295">
        <v>6.4171120524406433E-2</v>
      </c>
      <c r="DL295">
        <v>6.0606062412261963E-2</v>
      </c>
      <c r="DM295">
        <v>6.5953657031059265E-2</v>
      </c>
      <c r="DN295">
        <v>7.8431375324726105E-2</v>
      </c>
      <c r="DO295">
        <v>7.3083780705928802E-2</v>
      </c>
      <c r="DP295">
        <v>6.0606062412261963E-2</v>
      </c>
      <c r="DQ295">
        <v>8.7344028055667877E-2</v>
      </c>
      <c r="DR295">
        <v>8.377896249294281E-2</v>
      </c>
      <c r="DS295">
        <v>5.7040996849536896E-2</v>
      </c>
      <c r="DT295">
        <v>7.8431375324726105E-2</v>
      </c>
      <c r="DU295">
        <v>7.4866309762001038E-2</v>
      </c>
      <c r="DV295">
        <v>7.6648838818073273E-2</v>
      </c>
      <c r="DW295">
        <v>4.9910873174667358E-2</v>
      </c>
      <c r="DX295">
        <v>9.625668078660965E-2</v>
      </c>
      <c r="DY295">
        <v>8.9126557111740112E-2</v>
      </c>
      <c r="DZ295">
        <v>8.7344028055667877E-2</v>
      </c>
      <c r="EA295">
        <v>8.1996433436870575E-2</v>
      </c>
      <c r="EB295">
        <v>7.8431375324726105E-2</v>
      </c>
      <c r="EC295">
        <v>9.4474151730537415E-2</v>
      </c>
      <c r="ED295">
        <v>6.5953657031059265E-2</v>
      </c>
      <c r="EE295">
        <v>6.9518715143203735E-2</v>
      </c>
      <c r="EF295">
        <v>7.4866309762001038E-2</v>
      </c>
      <c r="EG295">
        <v>6.5953657031059265E-2</v>
      </c>
      <c r="EH295">
        <v>7.6648838818073273E-2</v>
      </c>
      <c r="EI295">
        <v>8.021390438079834E-2</v>
      </c>
      <c r="EJ295">
        <v>7.4866309762001038E-2</v>
      </c>
      <c r="EK295">
        <v>6.5953657031059265E-2</v>
      </c>
      <c r="EL295">
        <v>4.9910873174667358E-2</v>
      </c>
      <c r="EM295">
        <v>4.9910873174667358E-2</v>
      </c>
      <c r="EN295">
        <v>8.021390438079834E-2</v>
      </c>
      <c r="EO295">
        <v>6.4171120524406433E-2</v>
      </c>
      <c r="EP295">
        <v>7.6648838818073273E-2</v>
      </c>
      <c r="EQ295">
        <v>7.4866309762001038E-2</v>
      </c>
      <c r="ER295">
        <v>0.11586453020572662</v>
      </c>
      <c r="ES295">
        <v>7.130124419927597E-2</v>
      </c>
      <c r="ET295">
        <v>6.0606062412261963E-2</v>
      </c>
      <c r="EU295">
        <v>7.130124419927597E-2</v>
      </c>
      <c r="EV295">
        <v>0.11586453020572662</v>
      </c>
      <c r="EW295">
        <v>7.4866309762001038E-2</v>
      </c>
      <c r="EX295">
        <v>0.10873440653085709</v>
      </c>
      <c r="EY295">
        <v>5.7040996849536896E-2</v>
      </c>
      <c r="EZ295">
        <v>4.4563278555870056E-2</v>
      </c>
      <c r="FA295">
        <v>8.7344028055667877E-2</v>
      </c>
      <c r="FB295">
        <v>7.8431375324726105E-2</v>
      </c>
      <c r="FC295">
        <v>7.8431375324726105E-2</v>
      </c>
      <c r="FD295">
        <v>6.5953657031059265E-2</v>
      </c>
      <c r="FE295">
        <v>6.5953657031059265E-2</v>
      </c>
      <c r="FF295">
        <v>6.2388591468334198E-2</v>
      </c>
      <c r="FG295">
        <v>7.8431375324726105E-2</v>
      </c>
      <c r="FH295">
        <v>6.4171120524406433E-2</v>
      </c>
      <c r="FI295">
        <v>7.8431375324726105E-2</v>
      </c>
      <c r="FJ295">
        <v>7.4866309762001038E-2</v>
      </c>
      <c r="FK295">
        <v>8.1996433436870575E-2</v>
      </c>
      <c r="FL295">
        <v>5.5258467793464661E-2</v>
      </c>
      <c r="FM295">
        <v>9.2691622674465179E-2</v>
      </c>
      <c r="FN295">
        <v>6.5953657031059265E-2</v>
      </c>
      <c r="FO295">
        <v>5.8823529630899429E-2</v>
      </c>
      <c r="FP295">
        <v>0.10160427540540695</v>
      </c>
      <c r="FQ295">
        <v>5.7040996849536896E-2</v>
      </c>
      <c r="FR295">
        <v>8.021390438079834E-2</v>
      </c>
      <c r="FS295">
        <v>8.021390438079834E-2</v>
      </c>
      <c r="FT295">
        <v>6.9518715143203735E-2</v>
      </c>
      <c r="FU295">
        <v>6.9518715143203735E-2</v>
      </c>
      <c r="FV295">
        <v>5.3475935012102127E-2</v>
      </c>
      <c r="FW295">
        <v>4.4563278555870056E-2</v>
      </c>
      <c r="FX295">
        <v>6.77361860871315E-2</v>
      </c>
      <c r="FY295">
        <v>7.4866309762001038E-2</v>
      </c>
      <c r="FZ295">
        <v>8.5561498999595642E-2</v>
      </c>
      <c r="GA295">
        <v>6.0606062412261963E-2</v>
      </c>
      <c r="GB295">
        <v>8.377896249294281E-2</v>
      </c>
      <c r="GC295">
        <v>5.8823529630899429E-2</v>
      </c>
      <c r="GD295">
        <v>6.2388591468334198E-2</v>
      </c>
      <c r="GE295">
        <v>0.10338681191205978</v>
      </c>
      <c r="GF295">
        <v>7.130124419927597E-2</v>
      </c>
      <c r="GG295">
        <v>6.9518715143203735E-2</v>
      </c>
      <c r="GH295">
        <v>4.4563278555870056E-2</v>
      </c>
      <c r="GI295">
        <v>0.1408199667930603</v>
      </c>
      <c r="GJ295">
        <v>9.8039217293262482E-2</v>
      </c>
      <c r="GK295">
        <v>9.2691622674465179E-2</v>
      </c>
      <c r="GL295">
        <v>0.10695187002420425</v>
      </c>
      <c r="GM295">
        <v>7.3083780705928802E-2</v>
      </c>
      <c r="GN295">
        <v>0.11051693558692932</v>
      </c>
      <c r="GO295">
        <v>6.5953657031059265E-2</v>
      </c>
      <c r="GP295">
        <v>5.8823529630899429E-2</v>
      </c>
      <c r="GQ295">
        <v>8.377896249294281E-2</v>
      </c>
      <c r="GR295">
        <v>6.77361860871315E-2</v>
      </c>
      <c r="GS295">
        <v>5.7040996849536896E-2</v>
      </c>
      <c r="GT295">
        <v>9.4474151730537415E-2</v>
      </c>
      <c r="GU295">
        <v>9.9821746349334717E-2</v>
      </c>
      <c r="GV295">
        <v>6.5953657031059265E-2</v>
      </c>
      <c r="GW295">
        <v>8.1996433436870575E-2</v>
      </c>
      <c r="GX295">
        <v>8.377896249294281E-2</v>
      </c>
      <c r="GY295">
        <v>5.5258467793464661E-2</v>
      </c>
      <c r="GZ295">
        <v>6.0606062412261963E-2</v>
      </c>
      <c r="HA295">
        <v>7.3083780705928802E-2</v>
      </c>
      <c r="HB295">
        <v>8.5561498999595642E-2</v>
      </c>
      <c r="HC295">
        <v>6.2388591468334198E-2</v>
      </c>
      <c r="HD295">
        <v>8.377896249294281E-2</v>
      </c>
      <c r="HE295">
        <v>8.1996433436870575E-2</v>
      </c>
      <c r="HF295">
        <v>6.77361860871315E-2</v>
      </c>
      <c r="HG295">
        <v>7.6648838818073273E-2</v>
      </c>
      <c r="HH295">
        <v>7.3083780705928802E-2</v>
      </c>
      <c r="HI295">
        <v>6.0606062412261963E-2</v>
      </c>
      <c r="HJ295">
        <v>6.9518715143203735E-2</v>
      </c>
      <c r="HK295">
        <v>9.4474151730537415E-2</v>
      </c>
      <c r="HL295">
        <v>6.2388591468334198E-2</v>
      </c>
      <c r="HM295">
        <v>7.3083780705928802E-2</v>
      </c>
      <c r="HN295">
        <v>5.5258467793464661E-2</v>
      </c>
      <c r="HO295">
        <v>8.021390438079834E-2</v>
      </c>
      <c r="HP295">
        <v>8.021390438079834E-2</v>
      </c>
      <c r="HQ295">
        <v>7.3083780705928802E-2</v>
      </c>
      <c r="HR295">
        <v>8.021390438079834E-2</v>
      </c>
      <c r="HS295">
        <v>6.0606062412261963E-2</v>
      </c>
      <c r="HT295">
        <v>4.9910873174667358E-2</v>
      </c>
      <c r="HU295">
        <v>9.4474151730537415E-2</v>
      </c>
      <c r="HV295">
        <v>7.8431375324726105E-2</v>
      </c>
      <c r="HW295">
        <v>7.4866309762001038E-2</v>
      </c>
      <c r="HX295">
        <v>6.5953657031059265E-2</v>
      </c>
      <c r="HY295">
        <v>6.4171120524406433E-2</v>
      </c>
      <c r="HZ295">
        <v>9.2691622674465179E-2</v>
      </c>
      <c r="IA295">
        <v>7.4866309762001038E-2</v>
      </c>
      <c r="IB295">
        <v>9.9821746349334717E-2</v>
      </c>
      <c r="IC295">
        <v>9.4474151730537415E-2</v>
      </c>
      <c r="ID295">
        <v>5.7040996849536896E-2</v>
      </c>
      <c r="IE295">
        <v>7.3083780705928802E-2</v>
      </c>
      <c r="IF295">
        <v>8.5561498999595642E-2</v>
      </c>
      <c r="IG295">
        <v>6.9518715143203735E-2</v>
      </c>
      <c r="IH295">
        <v>7.4866309762001038E-2</v>
      </c>
      <c r="II295">
        <v>0.10516934096813202</v>
      </c>
      <c r="IJ295">
        <v>6.4171120524406433E-2</v>
      </c>
      <c r="IK295">
        <v>8.1996433436870575E-2</v>
      </c>
      <c r="IL295">
        <v>0.15864527225494385</v>
      </c>
      <c r="IM295">
        <v>6.0606062412261963E-2</v>
      </c>
      <c r="IN295">
        <v>6.77361860871315E-2</v>
      </c>
      <c r="IO295">
        <v>0.11586453020572662</v>
      </c>
      <c r="IP295">
        <v>6.4171120524406433E-2</v>
      </c>
      <c r="IQ295">
        <v>8.9126557111740112E-2</v>
      </c>
      <c r="IR295">
        <v>5.8823529630899429E-2</v>
      </c>
      <c r="IS295">
        <v>7.6648838818073273E-2</v>
      </c>
      <c r="IT295">
        <v>8.7344028055667877E-2</v>
      </c>
      <c r="IU295">
        <v>6.77361860871315E-2</v>
      </c>
      <c r="IV295">
        <v>0.10695187002420425</v>
      </c>
      <c r="IW295">
        <v>6.9518715143203735E-2</v>
      </c>
      <c r="IX295">
        <v>7.4866309762001038E-2</v>
      </c>
      <c r="IY295">
        <v>5.8823529630899429E-2</v>
      </c>
      <c r="IZ295">
        <v>6.77361860871315E-2</v>
      </c>
      <c r="JA295">
        <v>9.8039217293262482E-2</v>
      </c>
      <c r="JB295">
        <v>6.0606062412261963E-2</v>
      </c>
      <c r="JC295">
        <v>8.021390438079834E-2</v>
      </c>
      <c r="JD295">
        <v>0.13725490868091583</v>
      </c>
      <c r="JE295">
        <v>6.0606062412261963E-2</v>
      </c>
      <c r="JF295">
        <v>5.3475935012102127E-2</v>
      </c>
      <c r="JG295">
        <v>6.2388591468334198E-2</v>
      </c>
      <c r="JH295">
        <v>9.0909093618392944E-2</v>
      </c>
      <c r="JI295">
        <v>0.10338681191205978</v>
      </c>
      <c r="JJ295">
        <v>8.021390438079834E-2</v>
      </c>
      <c r="JK295">
        <v>6.5953657031059265E-2</v>
      </c>
      <c r="JL295">
        <v>9.8039217293262482E-2</v>
      </c>
      <c r="JM295">
        <v>6.0606062412261963E-2</v>
      </c>
      <c r="JN295">
        <v>4.9910873174667358E-2</v>
      </c>
      <c r="JO295">
        <v>7.6648838818073273E-2</v>
      </c>
      <c r="JP295">
        <v>6.0606062412261963E-2</v>
      </c>
      <c r="JQ295">
        <v>4.8128340393304825E-2</v>
      </c>
      <c r="JR295">
        <v>0.10695187002420425</v>
      </c>
      <c r="JS295">
        <v>6.4171120524406433E-2</v>
      </c>
      <c r="JT295">
        <v>8.021390438079834E-2</v>
      </c>
      <c r="JU295">
        <v>6.2388591468334198E-2</v>
      </c>
      <c r="JV295">
        <v>7.130124419927597E-2</v>
      </c>
      <c r="JW295">
        <v>6.2388591468334198E-2</v>
      </c>
    </row>
    <row r="296" spans="4:292" x14ac:dyDescent="0.25">
      <c r="D296" s="41" t="str" cm="1">
        <f t="array" ref="D296">IF(H296="","",IF(AND(E296&lt;AVERAGE(E295,E297)*($L$19/100),$D$23:D295=""),H296,""))</f>
        <v/>
      </c>
      <c r="E296" s="78">
        <f t="shared" si="4"/>
        <v>3.0635842685934334E-3</v>
      </c>
      <c r="F296" s="79"/>
      <c r="H296">
        <v>274</v>
      </c>
      <c r="I296">
        <v>7.7113584268593438E-2</v>
      </c>
      <c r="K296">
        <v>9.2691622674465179E-2</v>
      </c>
      <c r="L296">
        <v>8.021390438079834E-2</v>
      </c>
      <c r="M296">
        <v>9.8039217293262482E-2</v>
      </c>
      <c r="N296">
        <v>7.4866309762001038E-2</v>
      </c>
      <c r="O296">
        <v>5.1693405956029892E-2</v>
      </c>
      <c r="P296">
        <v>7.130124419927597E-2</v>
      </c>
      <c r="Q296">
        <v>6.0606062412261963E-2</v>
      </c>
      <c r="R296">
        <v>7.130124419927597E-2</v>
      </c>
      <c r="S296">
        <v>5.8823529630899429E-2</v>
      </c>
      <c r="T296">
        <v>0.10338681191205978</v>
      </c>
      <c r="U296">
        <v>7.8431375324726105E-2</v>
      </c>
      <c r="V296">
        <v>8.021390438079834E-2</v>
      </c>
      <c r="W296">
        <v>7.6648838818073273E-2</v>
      </c>
      <c r="X296">
        <v>9.0909093618392944E-2</v>
      </c>
      <c r="Y296">
        <v>5.8823529630899429E-2</v>
      </c>
      <c r="Z296">
        <v>6.4171120524406433E-2</v>
      </c>
      <c r="AA296">
        <v>6.9518715143203735E-2</v>
      </c>
      <c r="AB296">
        <v>0.12655971944332123</v>
      </c>
      <c r="AC296">
        <v>8.5561498999595642E-2</v>
      </c>
      <c r="AD296">
        <v>6.77361860871315E-2</v>
      </c>
      <c r="AE296">
        <v>8.377896249294281E-2</v>
      </c>
      <c r="AF296">
        <v>6.9518715143203735E-2</v>
      </c>
      <c r="AG296">
        <v>5.7040996849536896E-2</v>
      </c>
      <c r="AH296">
        <v>8.1996433436870575E-2</v>
      </c>
      <c r="AI296">
        <v>7.4866309762001038E-2</v>
      </c>
      <c r="AJ296">
        <v>9.625668078660965E-2</v>
      </c>
      <c r="AK296">
        <v>6.0606062412261963E-2</v>
      </c>
      <c r="AL296">
        <v>8.5561498999595642E-2</v>
      </c>
      <c r="AM296">
        <v>8.5561498999595642E-2</v>
      </c>
      <c r="AN296">
        <v>9.8039217293262482E-2</v>
      </c>
      <c r="AO296">
        <v>7.3083780705928802E-2</v>
      </c>
      <c r="AP296">
        <v>6.77361860871315E-2</v>
      </c>
      <c r="AQ296">
        <v>6.0606062412261963E-2</v>
      </c>
      <c r="AR296">
        <v>7.130124419927597E-2</v>
      </c>
      <c r="AS296">
        <v>8.377896249294281E-2</v>
      </c>
      <c r="AT296">
        <v>8.5561498999595642E-2</v>
      </c>
      <c r="AU296">
        <v>0.11408199369907379</v>
      </c>
      <c r="AV296">
        <v>5.8823529630899429E-2</v>
      </c>
      <c r="AW296">
        <v>7.3083780705928802E-2</v>
      </c>
      <c r="AX296">
        <v>9.2691622674465179E-2</v>
      </c>
      <c r="AY296">
        <v>6.0606062412261963E-2</v>
      </c>
      <c r="AZ296">
        <v>6.4171120524406433E-2</v>
      </c>
      <c r="BA296">
        <v>0.11764705926179886</v>
      </c>
      <c r="BB296">
        <v>6.0606062412261963E-2</v>
      </c>
      <c r="BC296">
        <v>8.5561498999595642E-2</v>
      </c>
      <c r="BD296">
        <v>8.021390438079834E-2</v>
      </c>
      <c r="BE296">
        <v>0.10873440653085709</v>
      </c>
      <c r="BF296">
        <v>5.5258467793464661E-2</v>
      </c>
      <c r="BG296">
        <v>9.4474151730537415E-2</v>
      </c>
      <c r="BH296">
        <v>6.77361860871315E-2</v>
      </c>
      <c r="BI296">
        <v>0.10516934096813202</v>
      </c>
      <c r="BJ296">
        <v>7.4866309762001038E-2</v>
      </c>
      <c r="BK296">
        <v>6.77361860871315E-2</v>
      </c>
      <c r="BL296">
        <v>7.8431375324726105E-2</v>
      </c>
      <c r="BM296">
        <v>7.8431375324726105E-2</v>
      </c>
      <c r="BN296">
        <v>4.634581133723259E-2</v>
      </c>
      <c r="BO296">
        <v>5.5258467793464661E-2</v>
      </c>
      <c r="BP296">
        <v>7.130124419927597E-2</v>
      </c>
      <c r="BQ296">
        <v>7.130124419927597E-2</v>
      </c>
      <c r="BR296">
        <v>7.4866309762001038E-2</v>
      </c>
      <c r="BS296">
        <v>8.9126557111740112E-2</v>
      </c>
      <c r="BT296">
        <v>8.377896249294281E-2</v>
      </c>
      <c r="BU296">
        <v>0.10695187002420425</v>
      </c>
      <c r="BV296">
        <v>7.4866309762001038E-2</v>
      </c>
      <c r="BW296">
        <v>7.4866309762001038E-2</v>
      </c>
      <c r="BX296">
        <v>6.5953657031059265E-2</v>
      </c>
      <c r="BY296">
        <v>6.2388591468334198E-2</v>
      </c>
      <c r="BZ296">
        <v>6.5953657031059265E-2</v>
      </c>
      <c r="CA296">
        <v>8.7344028055667877E-2</v>
      </c>
      <c r="CB296">
        <v>7.4866309762001038E-2</v>
      </c>
      <c r="CC296">
        <v>7.3083780705928802E-2</v>
      </c>
      <c r="CD296">
        <v>8.9126557111740112E-2</v>
      </c>
      <c r="CE296">
        <v>7.130124419927597E-2</v>
      </c>
      <c r="CF296">
        <v>6.9518715143203735E-2</v>
      </c>
      <c r="CG296">
        <v>8.1996433436870575E-2</v>
      </c>
      <c r="CH296">
        <v>9.8039217293262482E-2</v>
      </c>
      <c r="CI296">
        <v>6.77361860871315E-2</v>
      </c>
      <c r="CJ296">
        <v>8.5561498999595642E-2</v>
      </c>
      <c r="CK296">
        <v>7.3083780705928802E-2</v>
      </c>
      <c r="CL296">
        <v>0.10873440653085709</v>
      </c>
      <c r="CM296">
        <v>6.4171120524406433E-2</v>
      </c>
      <c r="CN296">
        <v>8.377896249294281E-2</v>
      </c>
      <c r="CO296">
        <v>8.5561498999595642E-2</v>
      </c>
      <c r="CP296">
        <v>9.4474151730537415E-2</v>
      </c>
      <c r="CQ296">
        <v>6.5953657031059265E-2</v>
      </c>
      <c r="CR296">
        <v>5.8823529630899429E-2</v>
      </c>
      <c r="CS296">
        <v>6.77361860871315E-2</v>
      </c>
      <c r="CT296">
        <v>5.5258467793464661E-2</v>
      </c>
      <c r="CU296">
        <v>5.3475935012102127E-2</v>
      </c>
      <c r="CV296">
        <v>0.10160427540540695</v>
      </c>
      <c r="CW296">
        <v>6.0606062412261963E-2</v>
      </c>
      <c r="CX296">
        <v>8.5561498999595642E-2</v>
      </c>
      <c r="CY296">
        <v>6.9518715143203735E-2</v>
      </c>
      <c r="CZ296">
        <v>6.4171120524406433E-2</v>
      </c>
      <c r="DA296">
        <v>6.0606062412261963E-2</v>
      </c>
      <c r="DB296">
        <v>6.5953657031059265E-2</v>
      </c>
      <c r="DC296">
        <v>6.5953657031059265E-2</v>
      </c>
      <c r="DD296">
        <v>7.130124419927597E-2</v>
      </c>
      <c r="DE296">
        <v>7.4866309762001038E-2</v>
      </c>
      <c r="DF296">
        <v>0.10338681191205978</v>
      </c>
      <c r="DG296">
        <v>6.4171120524406433E-2</v>
      </c>
      <c r="DH296">
        <v>7.8431375324726105E-2</v>
      </c>
      <c r="DI296">
        <v>8.9126557111740112E-2</v>
      </c>
      <c r="DJ296">
        <v>6.0606062412261963E-2</v>
      </c>
      <c r="DK296">
        <v>7.3083780705928802E-2</v>
      </c>
      <c r="DL296">
        <v>8.1996433436870575E-2</v>
      </c>
      <c r="DM296">
        <v>8.1996433436870575E-2</v>
      </c>
      <c r="DN296">
        <v>8.1996433436870575E-2</v>
      </c>
      <c r="DO296">
        <v>6.77361860871315E-2</v>
      </c>
      <c r="DP296">
        <v>9.8039217293262482E-2</v>
      </c>
      <c r="DQ296">
        <v>6.9518715143203735E-2</v>
      </c>
      <c r="DR296">
        <v>8.7344028055667877E-2</v>
      </c>
      <c r="DS296">
        <v>8.1996433436870575E-2</v>
      </c>
      <c r="DT296">
        <v>6.77361860871315E-2</v>
      </c>
      <c r="DU296">
        <v>6.77361860871315E-2</v>
      </c>
      <c r="DV296">
        <v>8.021390438079834E-2</v>
      </c>
      <c r="DW296">
        <v>5.8823529630899429E-2</v>
      </c>
      <c r="DX296">
        <v>9.0909093618392944E-2</v>
      </c>
      <c r="DY296">
        <v>6.4171120524406433E-2</v>
      </c>
      <c r="DZ296">
        <v>8.021390438079834E-2</v>
      </c>
      <c r="EA296">
        <v>5.3475935012102127E-2</v>
      </c>
      <c r="EB296">
        <v>5.3475935012102127E-2</v>
      </c>
      <c r="EC296">
        <v>0.10695187002420425</v>
      </c>
      <c r="ED296">
        <v>7.4866309762001038E-2</v>
      </c>
      <c r="EE296">
        <v>7.8431375324726105E-2</v>
      </c>
      <c r="EF296">
        <v>5.8823529630899429E-2</v>
      </c>
      <c r="EG296">
        <v>8.5561498999595642E-2</v>
      </c>
      <c r="EH296">
        <v>4.9910873174667358E-2</v>
      </c>
      <c r="EI296">
        <v>7.130124419927597E-2</v>
      </c>
      <c r="EJ296">
        <v>4.9910873174667358E-2</v>
      </c>
      <c r="EK296">
        <v>6.77361860871315E-2</v>
      </c>
      <c r="EL296">
        <v>0.13725490868091583</v>
      </c>
      <c r="EM296">
        <v>8.5561498999595642E-2</v>
      </c>
      <c r="EN296">
        <v>8.021390438079834E-2</v>
      </c>
      <c r="EO296">
        <v>8.377896249294281E-2</v>
      </c>
      <c r="EP296">
        <v>5.8823529630899429E-2</v>
      </c>
      <c r="EQ296">
        <v>5.7040996849536896E-2</v>
      </c>
      <c r="ER296">
        <v>4.8128340393304825E-2</v>
      </c>
      <c r="ES296">
        <v>6.2388591468334198E-2</v>
      </c>
      <c r="ET296">
        <v>7.3083780705928802E-2</v>
      </c>
      <c r="EU296">
        <v>8.1996433436870575E-2</v>
      </c>
      <c r="EV296">
        <v>6.5953657031059265E-2</v>
      </c>
      <c r="EW296">
        <v>0.11051693558692932</v>
      </c>
      <c r="EX296">
        <v>7.3083780705928802E-2</v>
      </c>
      <c r="EY296">
        <v>5.1693405956029892E-2</v>
      </c>
      <c r="EZ296">
        <v>6.5953657031059265E-2</v>
      </c>
      <c r="FA296">
        <v>8.377896249294281E-2</v>
      </c>
      <c r="FB296">
        <v>9.8039217293262482E-2</v>
      </c>
      <c r="FC296">
        <v>9.4474151730537415E-2</v>
      </c>
      <c r="FD296">
        <v>9.0909093618392944E-2</v>
      </c>
      <c r="FE296">
        <v>0.11408199369907379</v>
      </c>
      <c r="FF296">
        <v>6.77361860871315E-2</v>
      </c>
      <c r="FG296">
        <v>8.9126557111740112E-2</v>
      </c>
      <c r="FH296">
        <v>5.7040996849536896E-2</v>
      </c>
      <c r="FI296">
        <v>7.6648838818073273E-2</v>
      </c>
      <c r="FJ296">
        <v>6.9518715143203735E-2</v>
      </c>
      <c r="FK296">
        <v>8.7344028055667877E-2</v>
      </c>
      <c r="FL296">
        <v>4.9910873174667358E-2</v>
      </c>
      <c r="FM296">
        <v>6.0606062412261963E-2</v>
      </c>
      <c r="FN296">
        <v>8.377896249294281E-2</v>
      </c>
      <c r="FO296">
        <v>5.7040996849536896E-2</v>
      </c>
      <c r="FP296">
        <v>5.3475935012102127E-2</v>
      </c>
      <c r="FQ296">
        <v>0.10160427540540695</v>
      </c>
      <c r="FR296">
        <v>5.8823529630899429E-2</v>
      </c>
      <c r="FS296">
        <v>9.4474151730537415E-2</v>
      </c>
      <c r="FT296">
        <v>5.7040996849536896E-2</v>
      </c>
      <c r="FU296">
        <v>6.77361860871315E-2</v>
      </c>
      <c r="FV296">
        <v>7.130124419927597E-2</v>
      </c>
      <c r="FW296">
        <v>0.15329767763614655</v>
      </c>
      <c r="FX296">
        <v>7.130124419927597E-2</v>
      </c>
      <c r="FY296">
        <v>0.11586453020572662</v>
      </c>
      <c r="FZ296">
        <v>0.10338681191205978</v>
      </c>
      <c r="GA296">
        <v>0.10516934096813202</v>
      </c>
      <c r="GB296">
        <v>5.5258467793464661E-2</v>
      </c>
      <c r="GC296">
        <v>8.021390438079834E-2</v>
      </c>
      <c r="GD296">
        <v>8.5561498999595642E-2</v>
      </c>
      <c r="GE296">
        <v>8.5561498999595642E-2</v>
      </c>
      <c r="GF296">
        <v>6.2388591468334198E-2</v>
      </c>
      <c r="GG296">
        <v>9.0909093618392944E-2</v>
      </c>
      <c r="GH296">
        <v>6.5953657031059265E-2</v>
      </c>
      <c r="GI296">
        <v>4.9910873174667358E-2</v>
      </c>
      <c r="GJ296">
        <v>9.2691622674465179E-2</v>
      </c>
      <c r="GK296">
        <v>0.10516934096813202</v>
      </c>
      <c r="GL296">
        <v>7.6648838818073273E-2</v>
      </c>
      <c r="GM296">
        <v>7.3083780705928802E-2</v>
      </c>
      <c r="GN296">
        <v>9.4474151730537415E-2</v>
      </c>
      <c r="GO296">
        <v>6.0606062412261963E-2</v>
      </c>
      <c r="GP296">
        <v>5.5258467793464661E-2</v>
      </c>
      <c r="GQ296">
        <v>0.1247771829366684</v>
      </c>
      <c r="GR296">
        <v>6.4171120524406433E-2</v>
      </c>
      <c r="GS296">
        <v>0.11764705926179886</v>
      </c>
      <c r="GT296">
        <v>9.8039217293262482E-2</v>
      </c>
      <c r="GU296">
        <v>7.8431375324726105E-2</v>
      </c>
      <c r="GV296">
        <v>5.1693405956029892E-2</v>
      </c>
      <c r="GW296">
        <v>9.4474151730537415E-2</v>
      </c>
      <c r="GX296">
        <v>0.10873440653085709</v>
      </c>
      <c r="GY296">
        <v>5.7040996849536896E-2</v>
      </c>
      <c r="GZ296">
        <v>9.0909093618392944E-2</v>
      </c>
      <c r="HA296">
        <v>5.5258467793464661E-2</v>
      </c>
      <c r="HB296">
        <v>9.9821746349334717E-2</v>
      </c>
      <c r="HC296">
        <v>7.130124419927597E-2</v>
      </c>
      <c r="HD296">
        <v>7.130124419927597E-2</v>
      </c>
      <c r="HE296">
        <v>8.5561498999595642E-2</v>
      </c>
      <c r="HF296">
        <v>7.8431375324726105E-2</v>
      </c>
      <c r="HG296">
        <v>8.377896249294281E-2</v>
      </c>
      <c r="HH296">
        <v>9.9821746349334717E-2</v>
      </c>
      <c r="HI296">
        <v>8.021390438079834E-2</v>
      </c>
      <c r="HJ296">
        <v>8.7344028055667877E-2</v>
      </c>
      <c r="HK296">
        <v>7.3083780705928802E-2</v>
      </c>
      <c r="HL296">
        <v>8.377896249294281E-2</v>
      </c>
      <c r="HM296">
        <v>6.2388591468334198E-2</v>
      </c>
      <c r="HN296">
        <v>5.7040996849536896E-2</v>
      </c>
      <c r="HO296">
        <v>7.4866309762001038E-2</v>
      </c>
      <c r="HP296">
        <v>8.7344028055667877E-2</v>
      </c>
      <c r="HQ296">
        <v>5.7040996849536896E-2</v>
      </c>
      <c r="HR296">
        <v>0.10873440653085709</v>
      </c>
      <c r="HS296">
        <v>7.130124419927597E-2</v>
      </c>
      <c r="HT296">
        <v>6.0606062412261963E-2</v>
      </c>
      <c r="HU296">
        <v>9.0909093618392944E-2</v>
      </c>
      <c r="HV296">
        <v>6.2388591468334198E-2</v>
      </c>
      <c r="HW296">
        <v>6.9518715143203735E-2</v>
      </c>
      <c r="HX296">
        <v>9.4474151730537415E-2</v>
      </c>
      <c r="HY296">
        <v>9.9821746349334717E-2</v>
      </c>
      <c r="HZ296">
        <v>8.1996433436870575E-2</v>
      </c>
      <c r="IA296">
        <v>6.2388591468334198E-2</v>
      </c>
      <c r="IB296">
        <v>6.5953657031059265E-2</v>
      </c>
      <c r="IC296">
        <v>8.1996433436870575E-2</v>
      </c>
      <c r="ID296">
        <v>7.8431375324726105E-2</v>
      </c>
      <c r="IE296">
        <v>4.9910873174667358E-2</v>
      </c>
      <c r="IF296">
        <v>8.7344028055667877E-2</v>
      </c>
      <c r="IG296">
        <v>8.377896249294281E-2</v>
      </c>
      <c r="IH296">
        <v>5.5258467793464661E-2</v>
      </c>
      <c r="II296">
        <v>7.3083780705928802E-2</v>
      </c>
      <c r="IJ296">
        <v>5.7040996849536896E-2</v>
      </c>
      <c r="IK296">
        <v>9.9821746349334717E-2</v>
      </c>
      <c r="IL296">
        <v>4.9910873174667358E-2</v>
      </c>
      <c r="IM296">
        <v>9.625668078660965E-2</v>
      </c>
      <c r="IN296">
        <v>8.377896249294281E-2</v>
      </c>
      <c r="IO296">
        <v>0.12299465388059616</v>
      </c>
      <c r="IP296">
        <v>7.3083780705928802E-2</v>
      </c>
      <c r="IQ296">
        <v>6.9518715143203735E-2</v>
      </c>
      <c r="IR296">
        <v>6.77361860871315E-2</v>
      </c>
      <c r="IS296">
        <v>6.2388591468334198E-2</v>
      </c>
      <c r="IT296">
        <v>9.4474151730537415E-2</v>
      </c>
      <c r="IU296">
        <v>6.2388591468334198E-2</v>
      </c>
      <c r="IV296">
        <v>5.3475935012102127E-2</v>
      </c>
      <c r="IW296">
        <v>9.625668078660965E-2</v>
      </c>
      <c r="IX296">
        <v>5.3475935012102127E-2</v>
      </c>
      <c r="IY296">
        <v>5.8823529630899429E-2</v>
      </c>
      <c r="IZ296">
        <v>9.0909093618392944E-2</v>
      </c>
      <c r="JA296">
        <v>9.8039217293262482E-2</v>
      </c>
      <c r="JB296">
        <v>6.5953657031059265E-2</v>
      </c>
      <c r="JC296">
        <v>9.625668078660965E-2</v>
      </c>
      <c r="JD296">
        <v>7.8431375324726105E-2</v>
      </c>
      <c r="JE296">
        <v>7.130124419927597E-2</v>
      </c>
      <c r="JF296">
        <v>5.3475935012102127E-2</v>
      </c>
      <c r="JG296">
        <v>6.77361860871315E-2</v>
      </c>
      <c r="JH296">
        <v>8.7344028055667877E-2</v>
      </c>
      <c r="JI296">
        <v>6.5953657031059265E-2</v>
      </c>
      <c r="JJ296">
        <v>7.4866309762001038E-2</v>
      </c>
      <c r="JK296">
        <v>9.8039217293262482E-2</v>
      </c>
      <c r="JL296">
        <v>8.5561498999595642E-2</v>
      </c>
      <c r="JM296">
        <v>5.1693405956029892E-2</v>
      </c>
      <c r="JN296">
        <v>7.6648838818073273E-2</v>
      </c>
      <c r="JO296">
        <v>5.8823529630899429E-2</v>
      </c>
      <c r="JP296">
        <v>7.3083780705928802E-2</v>
      </c>
      <c r="JQ296">
        <v>8.021390438079834E-2</v>
      </c>
      <c r="JR296">
        <v>5.3475935012102127E-2</v>
      </c>
      <c r="JS296">
        <v>0.1041666641831398</v>
      </c>
      <c r="JT296">
        <v>6.4393937587738037E-2</v>
      </c>
      <c r="JU296">
        <v>6.25E-2</v>
      </c>
      <c r="JV296">
        <v>5.681818351149559E-2</v>
      </c>
      <c r="JW296">
        <v>7.386363297700882E-2</v>
      </c>
      <c r="JX296">
        <v>7.5757578015327454E-2</v>
      </c>
    </row>
    <row r="297" spans="4:292" x14ac:dyDescent="0.25">
      <c r="D297" s="41" t="str" cm="1">
        <f t="array" ref="D297">IF(H297="","",IF(AND(E297&lt;AVERAGE(E296,E298)*($L$19/100),$D$23:D296=""),H297,""))</f>
        <v/>
      </c>
      <c r="E297" s="78">
        <f t="shared" si="4"/>
        <v>3.1976095096631491E-3</v>
      </c>
      <c r="F297" s="79"/>
      <c r="H297">
        <v>275</v>
      </c>
      <c r="I297">
        <v>7.7247609509663154E-2</v>
      </c>
      <c r="K297">
        <v>5.7040996849536896E-2</v>
      </c>
      <c r="L297">
        <v>7.8431375324726105E-2</v>
      </c>
      <c r="M297">
        <v>5.5258467793464661E-2</v>
      </c>
      <c r="N297">
        <v>7.130124419927597E-2</v>
      </c>
      <c r="O297">
        <v>9.4474151730537415E-2</v>
      </c>
      <c r="P297">
        <v>8.021390438079834E-2</v>
      </c>
      <c r="Q297">
        <v>8.377896249294281E-2</v>
      </c>
      <c r="R297">
        <v>8.1996433436870575E-2</v>
      </c>
      <c r="S297">
        <v>7.6648838818073273E-2</v>
      </c>
      <c r="T297">
        <v>9.0909093618392944E-2</v>
      </c>
      <c r="U297">
        <v>6.77361860871315E-2</v>
      </c>
      <c r="V297">
        <v>7.4866309762001038E-2</v>
      </c>
      <c r="W297">
        <v>9.0909093618392944E-2</v>
      </c>
      <c r="X297">
        <v>8.5561498999595642E-2</v>
      </c>
      <c r="Y297">
        <v>6.0606062412261963E-2</v>
      </c>
      <c r="Z297">
        <v>7.3083780705928802E-2</v>
      </c>
      <c r="AA297">
        <v>9.0909093618392944E-2</v>
      </c>
      <c r="AB297">
        <v>9.0909093618392944E-2</v>
      </c>
      <c r="AC297">
        <v>7.8431375324726105E-2</v>
      </c>
      <c r="AD297">
        <v>7.4866309762001038E-2</v>
      </c>
      <c r="AE297">
        <v>6.4171120524406433E-2</v>
      </c>
      <c r="AF297">
        <v>7.4866309762001038E-2</v>
      </c>
      <c r="AG297">
        <v>6.5953657031059265E-2</v>
      </c>
      <c r="AH297">
        <v>9.8039217293262482E-2</v>
      </c>
      <c r="AI297">
        <v>7.6648838818073273E-2</v>
      </c>
      <c r="AJ297">
        <v>7.8431375324726105E-2</v>
      </c>
      <c r="AK297">
        <v>7.4866309762001038E-2</v>
      </c>
      <c r="AL297">
        <v>7.130124419927597E-2</v>
      </c>
      <c r="AM297">
        <v>8.5561498999595642E-2</v>
      </c>
      <c r="AN297">
        <v>7.6648838818073273E-2</v>
      </c>
      <c r="AO297">
        <v>5.3475935012102127E-2</v>
      </c>
      <c r="AP297">
        <v>0.10873440653085709</v>
      </c>
      <c r="AQ297">
        <v>4.4563278555870056E-2</v>
      </c>
      <c r="AR297">
        <v>6.2388591468334198E-2</v>
      </c>
      <c r="AS297">
        <v>0.10338681191205978</v>
      </c>
      <c r="AT297">
        <v>0.13190731406211853</v>
      </c>
      <c r="AU297">
        <v>7.130124419927597E-2</v>
      </c>
      <c r="AV297">
        <v>8.021390438079834E-2</v>
      </c>
      <c r="AW297">
        <v>8.1996433436870575E-2</v>
      </c>
      <c r="AX297">
        <v>4.9910873174667358E-2</v>
      </c>
      <c r="AY297">
        <v>7.3083780705928802E-2</v>
      </c>
      <c r="AZ297">
        <v>7.8431375324726105E-2</v>
      </c>
      <c r="BA297">
        <v>8.377896249294281E-2</v>
      </c>
      <c r="BB297">
        <v>5.8823529630899429E-2</v>
      </c>
      <c r="BC297">
        <v>5.7040996849536896E-2</v>
      </c>
      <c r="BD297">
        <v>9.8039217293262482E-2</v>
      </c>
      <c r="BE297">
        <v>6.5953657031059265E-2</v>
      </c>
      <c r="BF297">
        <v>6.4171120524406433E-2</v>
      </c>
      <c r="BG297">
        <v>7.3083780705928802E-2</v>
      </c>
      <c r="BH297">
        <v>6.9518715143203735E-2</v>
      </c>
      <c r="BI297">
        <v>7.8431375324726105E-2</v>
      </c>
      <c r="BJ297">
        <v>8.1996433436870575E-2</v>
      </c>
      <c r="BK297">
        <v>7.6648838818073273E-2</v>
      </c>
      <c r="BL297">
        <v>5.3475935012102127E-2</v>
      </c>
      <c r="BM297">
        <v>8.7344028055667877E-2</v>
      </c>
      <c r="BN297">
        <v>8.9126557111740112E-2</v>
      </c>
      <c r="BO297">
        <v>7.3083780705928802E-2</v>
      </c>
      <c r="BP297">
        <v>4.634581133723259E-2</v>
      </c>
      <c r="BQ297">
        <v>0.10160427540540695</v>
      </c>
      <c r="BR297">
        <v>8.7344028055667877E-2</v>
      </c>
      <c r="BS297">
        <v>6.5953657031059265E-2</v>
      </c>
      <c r="BT297">
        <v>0.10160427540540695</v>
      </c>
      <c r="BU297">
        <v>7.6648838818073273E-2</v>
      </c>
      <c r="BV297">
        <v>6.0606062412261963E-2</v>
      </c>
      <c r="BW297">
        <v>8.7344028055667877E-2</v>
      </c>
      <c r="BX297">
        <v>7.6648838818073273E-2</v>
      </c>
      <c r="BY297">
        <v>7.4866309762001038E-2</v>
      </c>
      <c r="BZ297">
        <v>8.1996433436870575E-2</v>
      </c>
      <c r="CA297">
        <v>6.77361860871315E-2</v>
      </c>
      <c r="CB297">
        <v>0.10338681191205978</v>
      </c>
      <c r="CC297">
        <v>7.130124419927597E-2</v>
      </c>
      <c r="CD297">
        <v>6.5953657031059265E-2</v>
      </c>
      <c r="CE297">
        <v>6.0606062412261963E-2</v>
      </c>
      <c r="CF297">
        <v>7.3083780705928802E-2</v>
      </c>
      <c r="CG297">
        <v>6.77361860871315E-2</v>
      </c>
      <c r="CH297">
        <v>9.8039217293262482E-2</v>
      </c>
      <c r="CI297">
        <v>5.5258467793464661E-2</v>
      </c>
      <c r="CJ297">
        <v>8.377896249294281E-2</v>
      </c>
      <c r="CK297">
        <v>6.2388591468334198E-2</v>
      </c>
      <c r="CL297">
        <v>9.625668078660965E-2</v>
      </c>
      <c r="CM297">
        <v>7.130124419927597E-2</v>
      </c>
      <c r="CN297">
        <v>0.13190731406211853</v>
      </c>
      <c r="CO297">
        <v>4.8128340393304825E-2</v>
      </c>
      <c r="CP297">
        <v>6.2388591468334198E-2</v>
      </c>
      <c r="CQ297">
        <v>9.9821746349334717E-2</v>
      </c>
      <c r="CR297">
        <v>7.4866309762001038E-2</v>
      </c>
      <c r="CS297">
        <v>6.4171120524406433E-2</v>
      </c>
      <c r="CT297">
        <v>6.5953657031059265E-2</v>
      </c>
      <c r="CU297">
        <v>7.130124419927597E-2</v>
      </c>
      <c r="CV297">
        <v>5.1693405956029892E-2</v>
      </c>
      <c r="CW297">
        <v>6.5953657031059265E-2</v>
      </c>
      <c r="CX297">
        <v>6.2388591468334198E-2</v>
      </c>
      <c r="CY297">
        <v>9.9821746349334717E-2</v>
      </c>
      <c r="CZ297">
        <v>6.0606062412261963E-2</v>
      </c>
      <c r="DA297">
        <v>8.021390438079834E-2</v>
      </c>
      <c r="DB297">
        <v>8.9126557111740112E-2</v>
      </c>
      <c r="DC297">
        <v>9.0909093618392944E-2</v>
      </c>
      <c r="DD297">
        <v>8.377896249294281E-2</v>
      </c>
      <c r="DE297">
        <v>0.10873440653085709</v>
      </c>
      <c r="DF297">
        <v>8.5561498999595642E-2</v>
      </c>
      <c r="DG297">
        <v>7.8431375324726105E-2</v>
      </c>
      <c r="DH297">
        <v>7.4866309762001038E-2</v>
      </c>
      <c r="DI297">
        <v>6.77361860871315E-2</v>
      </c>
      <c r="DJ297">
        <v>8.377896249294281E-2</v>
      </c>
      <c r="DK297">
        <v>0.10695187002420425</v>
      </c>
      <c r="DL297">
        <v>0.11051693558692932</v>
      </c>
      <c r="DM297">
        <v>8.9126557111740112E-2</v>
      </c>
      <c r="DN297">
        <v>9.8039217293262482E-2</v>
      </c>
      <c r="DO297">
        <v>6.0606062412261963E-2</v>
      </c>
      <c r="DP297">
        <v>8.377896249294281E-2</v>
      </c>
      <c r="DQ297">
        <v>5.8823529630899429E-2</v>
      </c>
      <c r="DR297">
        <v>6.77361860871315E-2</v>
      </c>
      <c r="DS297">
        <v>8.1996433436870575E-2</v>
      </c>
      <c r="DT297">
        <v>6.9518715143203735E-2</v>
      </c>
      <c r="DU297">
        <v>6.5953657031059265E-2</v>
      </c>
      <c r="DV297">
        <v>6.0606062412261963E-2</v>
      </c>
      <c r="DW297">
        <v>5.3475935012102127E-2</v>
      </c>
      <c r="DX297">
        <v>9.2691622674465179E-2</v>
      </c>
      <c r="DY297">
        <v>7.130124419927597E-2</v>
      </c>
      <c r="DZ297">
        <v>5.7040996849536896E-2</v>
      </c>
      <c r="EA297">
        <v>5.5258467793464661E-2</v>
      </c>
      <c r="EB297">
        <v>7.4866309762001038E-2</v>
      </c>
      <c r="EC297">
        <v>4.8128340393304825E-2</v>
      </c>
      <c r="ED297">
        <v>8.377896249294281E-2</v>
      </c>
      <c r="EE297">
        <v>0.10160427540540695</v>
      </c>
      <c r="EF297">
        <v>7.3083780705928802E-2</v>
      </c>
      <c r="EG297">
        <v>9.0909093618392944E-2</v>
      </c>
      <c r="EH297">
        <v>6.2388591468334198E-2</v>
      </c>
      <c r="EI297">
        <v>9.9821746349334717E-2</v>
      </c>
      <c r="EJ297">
        <v>9.8039217293262482E-2</v>
      </c>
      <c r="EK297">
        <v>4.2780749499797821E-2</v>
      </c>
      <c r="EL297">
        <v>6.9518715143203735E-2</v>
      </c>
      <c r="EM297">
        <v>6.9518715143203735E-2</v>
      </c>
      <c r="EN297">
        <v>7.6648838818073273E-2</v>
      </c>
      <c r="EO297">
        <v>0.10338681191205978</v>
      </c>
      <c r="EP297">
        <v>9.4474151730537415E-2</v>
      </c>
      <c r="EQ297">
        <v>4.8128340393304825E-2</v>
      </c>
      <c r="ER297">
        <v>6.4171120524406433E-2</v>
      </c>
      <c r="ES297">
        <v>0.10695187002420425</v>
      </c>
      <c r="ET297">
        <v>8.021390438079834E-2</v>
      </c>
      <c r="EU297">
        <v>8.1996433436870575E-2</v>
      </c>
      <c r="EV297">
        <v>6.9518715143203735E-2</v>
      </c>
      <c r="EW297">
        <v>7.3083780705928802E-2</v>
      </c>
      <c r="EX297">
        <v>6.77361860871315E-2</v>
      </c>
      <c r="EY297">
        <v>6.5953657031059265E-2</v>
      </c>
      <c r="EZ297">
        <v>0.10516934096813202</v>
      </c>
      <c r="FA297">
        <v>4.0998216718435287E-2</v>
      </c>
      <c r="FB297">
        <v>9.9821746349334717E-2</v>
      </c>
      <c r="FC297">
        <v>5.7040996849536896E-2</v>
      </c>
      <c r="FD297">
        <v>4.8128340393304825E-2</v>
      </c>
      <c r="FE297">
        <v>8.377896249294281E-2</v>
      </c>
      <c r="FF297">
        <v>0.10338681191205978</v>
      </c>
      <c r="FG297">
        <v>6.77361860871315E-2</v>
      </c>
      <c r="FH297">
        <v>6.9518715143203735E-2</v>
      </c>
      <c r="FI297">
        <v>7.8431375324726105E-2</v>
      </c>
      <c r="FJ297">
        <v>8.7344028055667877E-2</v>
      </c>
      <c r="FK297">
        <v>0.10160427540540695</v>
      </c>
      <c r="FL297">
        <v>6.9518715143203735E-2</v>
      </c>
      <c r="FM297">
        <v>7.6648838818073273E-2</v>
      </c>
      <c r="FN297">
        <v>7.6648838818073273E-2</v>
      </c>
      <c r="FO297">
        <v>5.3475935012102127E-2</v>
      </c>
      <c r="FP297">
        <v>8.5561498999595642E-2</v>
      </c>
      <c r="FQ297">
        <v>9.4474151730537415E-2</v>
      </c>
      <c r="FR297">
        <v>5.8823529630899429E-2</v>
      </c>
      <c r="FS297">
        <v>7.3083780705928802E-2</v>
      </c>
      <c r="FT297">
        <v>9.4474151730537415E-2</v>
      </c>
      <c r="FU297">
        <v>6.77361860871315E-2</v>
      </c>
      <c r="FV297">
        <v>8.7344028055667877E-2</v>
      </c>
      <c r="FW297">
        <v>8.1996433436870575E-2</v>
      </c>
      <c r="FX297">
        <v>7.3083780705928802E-2</v>
      </c>
      <c r="FY297">
        <v>8.377896249294281E-2</v>
      </c>
      <c r="FZ297">
        <v>6.9518715143203735E-2</v>
      </c>
      <c r="GA297">
        <v>6.4171120524406433E-2</v>
      </c>
      <c r="GB297">
        <v>7.130124419927597E-2</v>
      </c>
      <c r="GC297">
        <v>5.8823529630899429E-2</v>
      </c>
      <c r="GD297">
        <v>8.1996433436870575E-2</v>
      </c>
      <c r="GE297">
        <v>8.7344028055667877E-2</v>
      </c>
      <c r="GF297">
        <v>4.8128340393304825E-2</v>
      </c>
      <c r="GG297">
        <v>9.625668078660965E-2</v>
      </c>
      <c r="GH297">
        <v>8.1996433436870575E-2</v>
      </c>
      <c r="GI297">
        <v>9.2691622674465179E-2</v>
      </c>
      <c r="GJ297">
        <v>0.10160427540540695</v>
      </c>
      <c r="GK297">
        <v>6.4171120524406433E-2</v>
      </c>
      <c r="GL297">
        <v>6.77361860871315E-2</v>
      </c>
      <c r="GM297">
        <v>0.10338681191205978</v>
      </c>
      <c r="GN297">
        <v>4.8128340393304825E-2</v>
      </c>
      <c r="GO297">
        <v>0.10516934096813202</v>
      </c>
      <c r="GP297">
        <v>6.4171120524406433E-2</v>
      </c>
      <c r="GQ297">
        <v>9.0909093618392944E-2</v>
      </c>
      <c r="GR297">
        <v>0.11051693558692932</v>
      </c>
      <c r="GS297">
        <v>6.4171120524406433E-2</v>
      </c>
      <c r="GT297">
        <v>0.10516934096813202</v>
      </c>
      <c r="GU297">
        <v>5.7040996849536896E-2</v>
      </c>
      <c r="GV297">
        <v>7.6648838818073273E-2</v>
      </c>
      <c r="GW297">
        <v>5.5258467793464661E-2</v>
      </c>
      <c r="GX297">
        <v>7.6648838818073273E-2</v>
      </c>
      <c r="GY297">
        <v>6.4171120524406433E-2</v>
      </c>
      <c r="GZ297">
        <v>7.3083780705928802E-2</v>
      </c>
      <c r="HA297">
        <v>0.10695187002420425</v>
      </c>
      <c r="HB297">
        <v>0.10160427540540695</v>
      </c>
      <c r="HC297">
        <v>7.3083780705928802E-2</v>
      </c>
      <c r="HD297">
        <v>8.9126557111740112E-2</v>
      </c>
      <c r="HE297">
        <v>7.3083780705928802E-2</v>
      </c>
      <c r="HF297">
        <v>8.7344028055667877E-2</v>
      </c>
      <c r="HG297">
        <v>7.130124419927597E-2</v>
      </c>
      <c r="HH297">
        <v>8.1996433436870575E-2</v>
      </c>
      <c r="HI297">
        <v>6.0606062412261963E-2</v>
      </c>
      <c r="HJ297">
        <v>8.021390438079834E-2</v>
      </c>
      <c r="HK297">
        <v>7.3083780705928802E-2</v>
      </c>
      <c r="HL297">
        <v>6.77361860871315E-2</v>
      </c>
      <c r="HM297">
        <v>8.7344028055667877E-2</v>
      </c>
      <c r="HN297">
        <v>8.377896249294281E-2</v>
      </c>
      <c r="HO297">
        <v>4.9910873174667358E-2</v>
      </c>
      <c r="HP297">
        <v>7.4866309762001038E-2</v>
      </c>
      <c r="HQ297">
        <v>7.3083780705928802E-2</v>
      </c>
      <c r="HR297">
        <v>6.0606062412261963E-2</v>
      </c>
      <c r="HS297">
        <v>0.10695187002420425</v>
      </c>
      <c r="HT297">
        <v>8.377896249294281E-2</v>
      </c>
      <c r="HU297">
        <v>6.0606062412261963E-2</v>
      </c>
      <c r="HV297">
        <v>8.5561498999595642E-2</v>
      </c>
      <c r="HW297">
        <v>9.9821746349334717E-2</v>
      </c>
      <c r="HX297">
        <v>4.2780749499797821E-2</v>
      </c>
      <c r="HY297">
        <v>7.8431375324726105E-2</v>
      </c>
      <c r="HZ297">
        <v>5.1693405956029892E-2</v>
      </c>
      <c r="IA297">
        <v>0.11942958831787109</v>
      </c>
      <c r="IB297">
        <v>9.625668078660965E-2</v>
      </c>
      <c r="IC297">
        <v>6.0606062412261963E-2</v>
      </c>
      <c r="ID297">
        <v>6.9518715143203735E-2</v>
      </c>
      <c r="IE297">
        <v>6.77361860871315E-2</v>
      </c>
      <c r="IF297">
        <v>8.1996433436870575E-2</v>
      </c>
      <c r="IG297">
        <v>6.4171120524406433E-2</v>
      </c>
      <c r="IH297">
        <v>7.130124419927597E-2</v>
      </c>
      <c r="II297">
        <v>6.9518715143203735E-2</v>
      </c>
      <c r="IJ297">
        <v>0.11586453020572662</v>
      </c>
      <c r="IK297">
        <v>7.4866309762001038E-2</v>
      </c>
      <c r="IL297">
        <v>0.11931817978620529</v>
      </c>
      <c r="IM297">
        <v>8.1439390778541565E-2</v>
      </c>
      <c r="IN297">
        <v>6.8181820213794708E-2</v>
      </c>
      <c r="IO297">
        <v>6.0606062412261963E-2</v>
      </c>
      <c r="IP297">
        <v>7.7651515603065491E-2</v>
      </c>
      <c r="IQ297">
        <v>6.4393937587738037E-2</v>
      </c>
      <c r="IR297">
        <v>5.1136363297700882E-2</v>
      </c>
      <c r="IS297">
        <v>5.8712121099233627E-2</v>
      </c>
      <c r="IT297">
        <v>6.25E-2</v>
      </c>
      <c r="IU297">
        <v>6.6287875175476074E-2</v>
      </c>
      <c r="IV297">
        <v>0.10227272659540176</v>
      </c>
      <c r="IW297">
        <v>7.1969695389270782E-2</v>
      </c>
      <c r="IX297">
        <v>7.9545453190803528E-2</v>
      </c>
      <c r="IY297">
        <v>7.5757578015327454E-2</v>
      </c>
      <c r="IZ297">
        <v>6.8181820213794708E-2</v>
      </c>
      <c r="JA297">
        <v>0.1458333283662796</v>
      </c>
      <c r="JB297">
        <v>5.3030304610729218E-2</v>
      </c>
      <c r="JC297">
        <v>7.0075757801532745E-2</v>
      </c>
      <c r="JD297">
        <v>5.681818351149559E-2</v>
      </c>
      <c r="JE297">
        <v>5.8712121099233627E-2</v>
      </c>
      <c r="JF297">
        <v>7.386363297700882E-2</v>
      </c>
      <c r="JG297">
        <v>7.1969695389270782E-2</v>
      </c>
      <c r="JH297">
        <v>6.25E-2</v>
      </c>
      <c r="JI297">
        <v>9.6590906381607056E-2</v>
      </c>
      <c r="JJ297">
        <v>9.848485141992569E-2</v>
      </c>
      <c r="JK297">
        <v>7.1969695389270782E-2</v>
      </c>
      <c r="JL297">
        <v>8.3333335816860199E-2</v>
      </c>
      <c r="JM297">
        <v>5.681818351149559E-2</v>
      </c>
      <c r="JN297">
        <v>6.4393937587738037E-2</v>
      </c>
      <c r="JO297">
        <v>9.6590906381607056E-2</v>
      </c>
      <c r="JP297">
        <v>0.10227272659540176</v>
      </c>
      <c r="JQ297">
        <v>6.25E-2</v>
      </c>
      <c r="JR297">
        <v>7.5757578015327454E-2</v>
      </c>
      <c r="JS297">
        <v>7.7651515603065491E-2</v>
      </c>
      <c r="JT297">
        <v>6.25E-2</v>
      </c>
      <c r="JU297">
        <v>8.3333335816860199E-2</v>
      </c>
      <c r="JV297">
        <v>0.13068181276321411</v>
      </c>
      <c r="JW297">
        <v>9.0909093618392944E-2</v>
      </c>
      <c r="JX297">
        <v>8.3333335816860199E-2</v>
      </c>
      <c r="JY297">
        <v>6.4393937587738037E-2</v>
      </c>
    </row>
    <row r="298" spans="4:292" x14ac:dyDescent="0.25">
      <c r="D298" s="41" t="str" cm="1">
        <f t="array" ref="D298">IF(H298="","",IF(AND(E298&lt;AVERAGE(E297,E299)*($L$19/100),$D$23:D297=""),H298,""))</f>
        <v/>
      </c>
      <c r="E298" s="78">
        <f t="shared" si="4"/>
        <v>2.4139682095983689E-3</v>
      </c>
      <c r="F298" s="79"/>
      <c r="H298">
        <v>276</v>
      </c>
      <c r="I298">
        <v>7.6463968209598374E-2</v>
      </c>
      <c r="K298">
        <v>6.2388591468334198E-2</v>
      </c>
      <c r="L298">
        <v>6.9518715143203735E-2</v>
      </c>
      <c r="M298">
        <v>9.0909093618392944E-2</v>
      </c>
      <c r="N298">
        <v>8.021390438079834E-2</v>
      </c>
      <c r="O298">
        <v>7.3083780705928802E-2</v>
      </c>
      <c r="P298">
        <v>6.4171120524406433E-2</v>
      </c>
      <c r="Q298">
        <v>6.77361860871315E-2</v>
      </c>
      <c r="R298">
        <v>7.3083780705928802E-2</v>
      </c>
      <c r="S298">
        <v>6.9518715143203735E-2</v>
      </c>
      <c r="T298">
        <v>7.6648838818073273E-2</v>
      </c>
      <c r="U298">
        <v>6.77361860871315E-2</v>
      </c>
      <c r="V298">
        <v>8.377896249294281E-2</v>
      </c>
      <c r="W298">
        <v>5.7040996849536896E-2</v>
      </c>
      <c r="X298">
        <v>7.6648838818073273E-2</v>
      </c>
      <c r="Y298">
        <v>0.11942958831787109</v>
      </c>
      <c r="Z298">
        <v>5.8823529630899429E-2</v>
      </c>
      <c r="AA298">
        <v>8.377896249294281E-2</v>
      </c>
      <c r="AB298">
        <v>5.8823529630899429E-2</v>
      </c>
      <c r="AC298">
        <v>6.77361860871315E-2</v>
      </c>
      <c r="AD298">
        <v>8.9126557111740112E-2</v>
      </c>
      <c r="AE298">
        <v>5.8823529630899429E-2</v>
      </c>
      <c r="AF298">
        <v>9.4474151730537415E-2</v>
      </c>
      <c r="AG298">
        <v>8.377896249294281E-2</v>
      </c>
      <c r="AH298">
        <v>7.4866309762001038E-2</v>
      </c>
      <c r="AI298">
        <v>6.5953657031059265E-2</v>
      </c>
      <c r="AJ298">
        <v>6.5953657031059265E-2</v>
      </c>
      <c r="AK298">
        <v>7.3083780705928802E-2</v>
      </c>
      <c r="AL298">
        <v>5.3475935012102127E-2</v>
      </c>
      <c r="AM298">
        <v>0.1301247775554657</v>
      </c>
      <c r="AN298">
        <v>0.11051693558692932</v>
      </c>
      <c r="AO298">
        <v>7.4866309762001038E-2</v>
      </c>
      <c r="AP298">
        <v>7.8431375324726105E-2</v>
      </c>
      <c r="AQ298">
        <v>8.5561498999595642E-2</v>
      </c>
      <c r="AR298">
        <v>7.6648838818073273E-2</v>
      </c>
      <c r="AS298">
        <v>8.377896249294281E-2</v>
      </c>
      <c r="AT298">
        <v>8.1996433436870575E-2</v>
      </c>
      <c r="AU298">
        <v>9.4474151730537415E-2</v>
      </c>
      <c r="AV298">
        <v>9.4474151730537415E-2</v>
      </c>
      <c r="AW298">
        <v>8.021390438079834E-2</v>
      </c>
      <c r="AX298">
        <v>5.3475935012102127E-2</v>
      </c>
      <c r="AY298">
        <v>7.4866309762001038E-2</v>
      </c>
      <c r="AZ298">
        <v>0.10873440653085709</v>
      </c>
      <c r="BA298">
        <v>8.5561498999595642E-2</v>
      </c>
      <c r="BB298">
        <v>8.5561498999595642E-2</v>
      </c>
      <c r="BC298">
        <v>5.7040996849536896E-2</v>
      </c>
      <c r="BD298">
        <v>9.8039217293262482E-2</v>
      </c>
      <c r="BE298">
        <v>5.7040996849536896E-2</v>
      </c>
      <c r="BF298">
        <v>7.8431375324726105E-2</v>
      </c>
      <c r="BG298">
        <v>8.021390438079834E-2</v>
      </c>
      <c r="BH298">
        <v>7.6648838818073273E-2</v>
      </c>
      <c r="BI298">
        <v>5.7040996849536896E-2</v>
      </c>
      <c r="BJ298">
        <v>5.3475935012102127E-2</v>
      </c>
      <c r="BK298">
        <v>5.7040996849536896E-2</v>
      </c>
      <c r="BL298">
        <v>0.1408199667930603</v>
      </c>
      <c r="BM298">
        <v>6.4171120524406433E-2</v>
      </c>
      <c r="BN298">
        <v>6.2388591468334198E-2</v>
      </c>
      <c r="BO298">
        <v>8.021390438079834E-2</v>
      </c>
      <c r="BP298">
        <v>4.9910873174667358E-2</v>
      </c>
      <c r="BQ298">
        <v>9.625668078660965E-2</v>
      </c>
      <c r="BR298">
        <v>5.5258467793464661E-2</v>
      </c>
      <c r="BS298">
        <v>5.7040996849536896E-2</v>
      </c>
      <c r="BT298">
        <v>0.11051693558692932</v>
      </c>
      <c r="BU298">
        <v>6.2388591468334198E-2</v>
      </c>
      <c r="BV298">
        <v>8.377896249294281E-2</v>
      </c>
      <c r="BW298">
        <v>5.5258467793464661E-2</v>
      </c>
      <c r="BX298">
        <v>7.8431375324726105E-2</v>
      </c>
      <c r="BY298">
        <v>7.3083780705928802E-2</v>
      </c>
      <c r="BZ298">
        <v>4.634581133723259E-2</v>
      </c>
      <c r="CA298">
        <v>0.10338681191205978</v>
      </c>
      <c r="CB298">
        <v>8.5561498999595642E-2</v>
      </c>
      <c r="CC298">
        <v>7.4866309762001038E-2</v>
      </c>
      <c r="CD298">
        <v>0.11051693558692932</v>
      </c>
      <c r="CE298">
        <v>7.130124419927597E-2</v>
      </c>
      <c r="CF298">
        <v>6.5953657031059265E-2</v>
      </c>
      <c r="CG298">
        <v>0.14260248839855194</v>
      </c>
      <c r="CH298">
        <v>6.4171120524406433E-2</v>
      </c>
      <c r="CI298">
        <v>8.7344028055667877E-2</v>
      </c>
      <c r="CJ298">
        <v>5.8823529630899429E-2</v>
      </c>
      <c r="CK298">
        <v>5.7040996849536896E-2</v>
      </c>
      <c r="CL298">
        <v>9.0909093618392944E-2</v>
      </c>
      <c r="CM298">
        <v>7.8431375324726105E-2</v>
      </c>
      <c r="CN298">
        <v>6.77361860871315E-2</v>
      </c>
      <c r="CO298">
        <v>6.5953657031059265E-2</v>
      </c>
      <c r="CP298">
        <v>9.4474151730537415E-2</v>
      </c>
      <c r="CQ298">
        <v>4.2780749499797821E-2</v>
      </c>
      <c r="CR298">
        <v>0.10873440653085709</v>
      </c>
      <c r="CS298">
        <v>6.77361860871315E-2</v>
      </c>
      <c r="CT298">
        <v>8.021390438079834E-2</v>
      </c>
      <c r="CU298">
        <v>4.634581133723259E-2</v>
      </c>
      <c r="CV298">
        <v>8.5561498999595642E-2</v>
      </c>
      <c r="CW298">
        <v>6.2388591468334198E-2</v>
      </c>
      <c r="CX298">
        <v>6.0606062412261963E-2</v>
      </c>
      <c r="CY298">
        <v>8.377896249294281E-2</v>
      </c>
      <c r="CZ298">
        <v>4.8128340393304825E-2</v>
      </c>
      <c r="DA298">
        <v>6.4171120524406433E-2</v>
      </c>
      <c r="DB298">
        <v>9.2691622674465179E-2</v>
      </c>
      <c r="DC298">
        <v>8.5561498999595642E-2</v>
      </c>
      <c r="DD298">
        <v>6.5953657031059265E-2</v>
      </c>
      <c r="DE298">
        <v>7.6648838818073273E-2</v>
      </c>
      <c r="DF298">
        <v>7.130124419927597E-2</v>
      </c>
      <c r="DG298">
        <v>5.8823529630899429E-2</v>
      </c>
      <c r="DH298">
        <v>0.13725490868091583</v>
      </c>
      <c r="DI298">
        <v>8.7344028055667877E-2</v>
      </c>
      <c r="DJ298">
        <v>7.8431375324726105E-2</v>
      </c>
      <c r="DK298">
        <v>9.625668078660965E-2</v>
      </c>
      <c r="DL298">
        <v>7.8431375324726105E-2</v>
      </c>
      <c r="DM298">
        <v>0.10516934096813202</v>
      </c>
      <c r="DN298">
        <v>5.7040996849536896E-2</v>
      </c>
      <c r="DO298">
        <v>7.4866309762001038E-2</v>
      </c>
      <c r="DP298">
        <v>6.2388591468334198E-2</v>
      </c>
      <c r="DQ298">
        <v>9.0909093618392944E-2</v>
      </c>
      <c r="DR298">
        <v>5.5258467793464661E-2</v>
      </c>
      <c r="DS298">
        <v>9.0909093618392944E-2</v>
      </c>
      <c r="DT298">
        <v>4.0998216718435287E-2</v>
      </c>
      <c r="DU298">
        <v>8.377896249294281E-2</v>
      </c>
      <c r="DV298">
        <v>5.8823529630899429E-2</v>
      </c>
      <c r="DW298">
        <v>7.8431375324726105E-2</v>
      </c>
      <c r="DX298">
        <v>7.6648838818073273E-2</v>
      </c>
      <c r="DY298">
        <v>6.77361860871315E-2</v>
      </c>
      <c r="DZ298">
        <v>6.2388591468334198E-2</v>
      </c>
      <c r="EA298">
        <v>5.5258467793464661E-2</v>
      </c>
      <c r="EB298">
        <v>8.021390438079834E-2</v>
      </c>
      <c r="EC298">
        <v>7.6648838818073273E-2</v>
      </c>
      <c r="ED298">
        <v>9.625668078660965E-2</v>
      </c>
      <c r="EE298">
        <v>6.77361860871315E-2</v>
      </c>
      <c r="EF298">
        <v>7.3083780705928802E-2</v>
      </c>
      <c r="EG298">
        <v>6.77361860871315E-2</v>
      </c>
      <c r="EH298">
        <v>6.9518715143203735E-2</v>
      </c>
      <c r="EI298">
        <v>9.2691622674465179E-2</v>
      </c>
      <c r="EJ298">
        <v>7.6648838818073273E-2</v>
      </c>
      <c r="EK298">
        <v>8.5561498999595642E-2</v>
      </c>
      <c r="EL298">
        <v>6.5953657031059265E-2</v>
      </c>
      <c r="EM298">
        <v>6.9518715143203735E-2</v>
      </c>
      <c r="EN298">
        <v>7.3083780705928802E-2</v>
      </c>
      <c r="EO298">
        <v>5.8823529630899429E-2</v>
      </c>
      <c r="EP298">
        <v>6.5953657031059265E-2</v>
      </c>
      <c r="EQ298">
        <v>5.7040996849536896E-2</v>
      </c>
      <c r="ER298">
        <v>5.7040996849536896E-2</v>
      </c>
      <c r="ES298">
        <v>6.9518715143203735E-2</v>
      </c>
      <c r="ET298">
        <v>7.8431375324726105E-2</v>
      </c>
      <c r="EU298">
        <v>8.1996433436870575E-2</v>
      </c>
      <c r="EV298">
        <v>6.77361860871315E-2</v>
      </c>
      <c r="EW298">
        <v>8.377896249294281E-2</v>
      </c>
      <c r="EX298">
        <v>9.8039217293262482E-2</v>
      </c>
      <c r="EY298">
        <v>7.6648838818073273E-2</v>
      </c>
      <c r="EZ298">
        <v>7.6648838818073273E-2</v>
      </c>
      <c r="FA298">
        <v>7.4866309762001038E-2</v>
      </c>
      <c r="FB298">
        <v>0.10160427540540695</v>
      </c>
      <c r="FC298">
        <v>7.3083780705928802E-2</v>
      </c>
      <c r="FD298">
        <v>5.8823529630899429E-2</v>
      </c>
      <c r="FE298">
        <v>7.6648838818073273E-2</v>
      </c>
      <c r="FF298">
        <v>8.9126557111740112E-2</v>
      </c>
      <c r="FG298">
        <v>6.9518715143203735E-2</v>
      </c>
      <c r="FH298">
        <v>7.4866309762001038E-2</v>
      </c>
      <c r="FI298">
        <v>8.1996433436870575E-2</v>
      </c>
      <c r="FJ298">
        <v>7.6648838818073273E-2</v>
      </c>
      <c r="FK298">
        <v>7.4866309762001038E-2</v>
      </c>
      <c r="FL298">
        <v>7.6648838818073273E-2</v>
      </c>
      <c r="FM298">
        <v>0.11586453020572662</v>
      </c>
      <c r="FN298">
        <v>5.3475935012102127E-2</v>
      </c>
      <c r="FO298">
        <v>8.377896249294281E-2</v>
      </c>
      <c r="FP298">
        <v>5.7040996849536896E-2</v>
      </c>
      <c r="FQ298">
        <v>7.6648838818073273E-2</v>
      </c>
      <c r="FR298">
        <v>8.377896249294281E-2</v>
      </c>
      <c r="FS298">
        <v>6.77361860871315E-2</v>
      </c>
      <c r="FT298">
        <v>6.9518715143203735E-2</v>
      </c>
      <c r="FU298">
        <v>9.0909093618392944E-2</v>
      </c>
      <c r="FV298">
        <v>5.1693405956029892E-2</v>
      </c>
      <c r="FW298">
        <v>0.10338681191205978</v>
      </c>
      <c r="FX298">
        <v>8.021390438079834E-2</v>
      </c>
      <c r="FY298">
        <v>7.6648838818073273E-2</v>
      </c>
      <c r="FZ298">
        <v>7.8431375324726105E-2</v>
      </c>
      <c r="GA298">
        <v>0.10873440653085709</v>
      </c>
      <c r="GB298">
        <v>5.5258467793464661E-2</v>
      </c>
      <c r="GC298">
        <v>0.11764705926179886</v>
      </c>
      <c r="GD298">
        <v>5.8823529630899429E-2</v>
      </c>
      <c r="GE298">
        <v>0.10160427540540695</v>
      </c>
      <c r="GF298">
        <v>9.8039217293262482E-2</v>
      </c>
      <c r="GG298">
        <v>6.2388591468334198E-2</v>
      </c>
      <c r="GH298">
        <v>6.2388591468334198E-2</v>
      </c>
      <c r="GI298">
        <v>9.8039217293262482E-2</v>
      </c>
      <c r="GJ298">
        <v>6.9518715143203735E-2</v>
      </c>
      <c r="GK298">
        <v>7.8431375324726105E-2</v>
      </c>
      <c r="GL298">
        <v>6.5953657031059265E-2</v>
      </c>
      <c r="GM298">
        <v>6.9518715143203735E-2</v>
      </c>
      <c r="GN298">
        <v>7.3083780705928802E-2</v>
      </c>
      <c r="GO298">
        <v>8.5561498999595642E-2</v>
      </c>
      <c r="GP298">
        <v>6.77361860871315E-2</v>
      </c>
      <c r="GQ298">
        <v>7.4866309762001038E-2</v>
      </c>
      <c r="GR298">
        <v>7.8431375324726105E-2</v>
      </c>
      <c r="GS298">
        <v>7.4866309762001038E-2</v>
      </c>
      <c r="GT298">
        <v>9.0909093618392944E-2</v>
      </c>
      <c r="GU298">
        <v>6.77361860871315E-2</v>
      </c>
      <c r="GV298">
        <v>5.8823529630899429E-2</v>
      </c>
      <c r="GW298">
        <v>7.3083780705928802E-2</v>
      </c>
      <c r="GX298">
        <v>4.9910873174667358E-2</v>
      </c>
      <c r="GY298">
        <v>6.77361860871315E-2</v>
      </c>
      <c r="GZ298">
        <v>7.130124419927597E-2</v>
      </c>
      <c r="HA298">
        <v>8.5561498999595642E-2</v>
      </c>
      <c r="HB298">
        <v>5.8823529630899429E-2</v>
      </c>
      <c r="HC298">
        <v>0.1301247775554657</v>
      </c>
      <c r="HD298">
        <v>6.77361860871315E-2</v>
      </c>
      <c r="HE298">
        <v>4.3560605496168137E-2</v>
      </c>
      <c r="HF298">
        <v>7.7651515603065491E-2</v>
      </c>
      <c r="HG298">
        <v>5.3030304610729218E-2</v>
      </c>
      <c r="HH298">
        <v>9.6590906381607056E-2</v>
      </c>
      <c r="HI298">
        <v>7.386363297700882E-2</v>
      </c>
      <c r="HJ298">
        <v>7.5757578015327454E-2</v>
      </c>
      <c r="HK298">
        <v>3.5984847694635391E-2</v>
      </c>
      <c r="HL298">
        <v>7.1969695389270782E-2</v>
      </c>
      <c r="HM298">
        <v>7.5757578015327454E-2</v>
      </c>
      <c r="HN298">
        <v>6.0606062412261963E-2</v>
      </c>
      <c r="HO298">
        <v>9.0909093618392944E-2</v>
      </c>
      <c r="HP298">
        <v>0.10606060922145844</v>
      </c>
      <c r="HQ298">
        <v>6.4393937587738037E-2</v>
      </c>
      <c r="HR298">
        <v>0.10984848439693451</v>
      </c>
      <c r="HS298">
        <v>8.1439390778541565E-2</v>
      </c>
      <c r="HT298">
        <v>0.10227272659540176</v>
      </c>
      <c r="HU298">
        <v>4.9242425709962845E-2</v>
      </c>
      <c r="HV298">
        <v>5.1136363297700882E-2</v>
      </c>
      <c r="HW298">
        <v>7.1969695389270782E-2</v>
      </c>
      <c r="HX298">
        <v>7.5757578015327454E-2</v>
      </c>
      <c r="HY298">
        <v>6.25E-2</v>
      </c>
      <c r="HZ298">
        <v>9.0909093618392944E-2</v>
      </c>
      <c r="IA298">
        <v>7.7651515603065491E-2</v>
      </c>
      <c r="IB298">
        <v>7.5757578015327454E-2</v>
      </c>
      <c r="IC298">
        <v>6.6287875175476074E-2</v>
      </c>
      <c r="ID298">
        <v>7.0075757801532745E-2</v>
      </c>
      <c r="IE298">
        <v>8.7121210992336273E-2</v>
      </c>
      <c r="IF298">
        <v>7.7651515603065491E-2</v>
      </c>
      <c r="IG298">
        <v>7.1969695389270782E-2</v>
      </c>
      <c r="IH298">
        <v>0.10227272659540176</v>
      </c>
      <c r="II298">
        <v>7.7651515603065491E-2</v>
      </c>
      <c r="IJ298">
        <v>9.2803031206130981E-2</v>
      </c>
      <c r="IK298">
        <v>6.25E-2</v>
      </c>
      <c r="IL298">
        <v>8.1439390778541565E-2</v>
      </c>
      <c r="IM298">
        <v>6.0606062412261963E-2</v>
      </c>
      <c r="IN298">
        <v>8.901514858007431E-2</v>
      </c>
      <c r="IO298">
        <v>7.5757578015327454E-2</v>
      </c>
      <c r="IP298">
        <v>7.0075757801532745E-2</v>
      </c>
      <c r="IQ298">
        <v>7.5757578015327454E-2</v>
      </c>
      <c r="IR298">
        <v>8.7121210992336273E-2</v>
      </c>
      <c r="IS298">
        <v>6.25E-2</v>
      </c>
      <c r="IT298">
        <v>6.6287875175476074E-2</v>
      </c>
      <c r="IU298">
        <v>8.7121210992336273E-2</v>
      </c>
      <c r="IV298">
        <v>5.681818351149559E-2</v>
      </c>
      <c r="IW298">
        <v>5.681818351149559E-2</v>
      </c>
      <c r="IX298">
        <v>7.1969695389270782E-2</v>
      </c>
      <c r="IY298">
        <v>0.10984848439693451</v>
      </c>
      <c r="IZ298">
        <v>7.0075757801532745E-2</v>
      </c>
      <c r="JA298">
        <v>0.13446970283985138</v>
      </c>
      <c r="JB298">
        <v>8.1439390778541565E-2</v>
      </c>
      <c r="JC298">
        <v>0.10795454680919647</v>
      </c>
      <c r="JD298">
        <v>5.8712121099233627E-2</v>
      </c>
      <c r="JE298">
        <v>8.5227273404598236E-2</v>
      </c>
      <c r="JF298">
        <v>6.25E-2</v>
      </c>
      <c r="JG298">
        <v>7.9545453190803528E-2</v>
      </c>
      <c r="JH298">
        <v>0.1041666641831398</v>
      </c>
      <c r="JI298">
        <v>0.1041666641831398</v>
      </c>
      <c r="JJ298">
        <v>8.7121210992336273E-2</v>
      </c>
      <c r="JK298">
        <v>6.6287875175476074E-2</v>
      </c>
      <c r="JL298">
        <v>8.5227273404598236E-2</v>
      </c>
      <c r="JM298">
        <v>9.6590906381607056E-2</v>
      </c>
      <c r="JN298">
        <v>5.4924242198467255E-2</v>
      </c>
      <c r="JO298">
        <v>4.9242425709962845E-2</v>
      </c>
      <c r="JP298">
        <v>9.0909093618392944E-2</v>
      </c>
      <c r="JQ298">
        <v>7.5757578015327454E-2</v>
      </c>
      <c r="JR298">
        <v>5.8712121099233627E-2</v>
      </c>
      <c r="JS298">
        <v>7.386363297700882E-2</v>
      </c>
      <c r="JT298">
        <v>6.6287875175476074E-2</v>
      </c>
      <c r="JU298">
        <v>8.1439390778541565E-2</v>
      </c>
      <c r="JV298">
        <v>5.3030304610729218E-2</v>
      </c>
      <c r="JW298">
        <v>6.6287875175476074E-2</v>
      </c>
      <c r="JX298">
        <v>5.8712121099233627E-2</v>
      </c>
      <c r="JY298">
        <v>8.901514858007431E-2</v>
      </c>
      <c r="JZ298">
        <v>7.1969695389270782E-2</v>
      </c>
    </row>
    <row r="299" spans="4:292" x14ac:dyDescent="0.25">
      <c r="D299" s="41" t="str" cm="1">
        <f t="array" ref="D299">IF(H299="","",IF(AND(E299&lt;AVERAGE(E298,E300)*($L$19/100),$D$23:D298=""),H299,""))</f>
        <v/>
      </c>
      <c r="E299" s="78">
        <f t="shared" ref="E299:E362" si="5">IF(H299="","",ABS(I299-$G$19))</f>
        <v>1.4610296558602159E-3</v>
      </c>
      <c r="F299" s="79"/>
      <c r="H299">
        <v>277</v>
      </c>
      <c r="I299">
        <v>7.5511029655860221E-2</v>
      </c>
      <c r="K299">
        <v>5.3475935012102127E-2</v>
      </c>
      <c r="L299">
        <v>7.6648838818073273E-2</v>
      </c>
      <c r="M299">
        <v>5.3475935012102127E-2</v>
      </c>
      <c r="N299">
        <v>9.9821746349334717E-2</v>
      </c>
      <c r="O299">
        <v>8.377896249294281E-2</v>
      </c>
      <c r="P299">
        <v>9.0909093618392944E-2</v>
      </c>
      <c r="Q299">
        <v>6.4171120524406433E-2</v>
      </c>
      <c r="R299">
        <v>6.4171120524406433E-2</v>
      </c>
      <c r="S299">
        <v>7.6648838818073273E-2</v>
      </c>
      <c r="T299">
        <v>7.6648838818073273E-2</v>
      </c>
      <c r="U299">
        <v>6.4171120524406433E-2</v>
      </c>
      <c r="V299">
        <v>6.5953657031059265E-2</v>
      </c>
      <c r="W299">
        <v>8.1996433436870575E-2</v>
      </c>
      <c r="X299">
        <v>7.4866309762001038E-2</v>
      </c>
      <c r="Y299">
        <v>4.8128340393304825E-2</v>
      </c>
      <c r="Z299">
        <v>0.13190731406211853</v>
      </c>
      <c r="AA299">
        <v>4.8128340393304825E-2</v>
      </c>
      <c r="AB299">
        <v>7.130124419927597E-2</v>
      </c>
      <c r="AC299">
        <v>6.4171120524406433E-2</v>
      </c>
      <c r="AD299">
        <v>6.77361860871315E-2</v>
      </c>
      <c r="AE299">
        <v>0.13368983566761017</v>
      </c>
      <c r="AF299">
        <v>0.11764705926179886</v>
      </c>
      <c r="AG299">
        <v>9.8039217293262482E-2</v>
      </c>
      <c r="AH299">
        <v>7.6648838818073273E-2</v>
      </c>
      <c r="AI299">
        <v>8.1996433436870575E-2</v>
      </c>
      <c r="AJ299">
        <v>4.9910873174667358E-2</v>
      </c>
      <c r="AK299">
        <v>8.377896249294281E-2</v>
      </c>
      <c r="AL299">
        <v>8.021390438079834E-2</v>
      </c>
      <c r="AM299">
        <v>5.3475935012102127E-2</v>
      </c>
      <c r="AN299">
        <v>7.8431375324726105E-2</v>
      </c>
      <c r="AO299">
        <v>6.2388591468334198E-2</v>
      </c>
      <c r="AP299">
        <v>9.0909093618392944E-2</v>
      </c>
      <c r="AQ299">
        <v>6.9518715143203735E-2</v>
      </c>
      <c r="AR299">
        <v>5.5258467793464661E-2</v>
      </c>
      <c r="AS299">
        <v>8.021390438079834E-2</v>
      </c>
      <c r="AT299">
        <v>8.1996433436870575E-2</v>
      </c>
      <c r="AU299">
        <v>6.0606062412261963E-2</v>
      </c>
      <c r="AV299">
        <v>6.77361860871315E-2</v>
      </c>
      <c r="AW299">
        <v>8.9126557111740112E-2</v>
      </c>
      <c r="AX299">
        <v>5.7040996849536896E-2</v>
      </c>
      <c r="AY299">
        <v>7.130124419927597E-2</v>
      </c>
      <c r="AZ299">
        <v>5.5258467793464661E-2</v>
      </c>
      <c r="BA299">
        <v>8.021390438079834E-2</v>
      </c>
      <c r="BB299">
        <v>6.0606062412261963E-2</v>
      </c>
      <c r="BC299">
        <v>6.77361860871315E-2</v>
      </c>
      <c r="BD299">
        <v>7.6648838818073273E-2</v>
      </c>
      <c r="BE299">
        <v>3.9215687662363052E-2</v>
      </c>
      <c r="BF299">
        <v>9.625668078660965E-2</v>
      </c>
      <c r="BG299">
        <v>6.5953657031059265E-2</v>
      </c>
      <c r="BH299">
        <v>6.9518715143203735E-2</v>
      </c>
      <c r="BI299">
        <v>0.11586453020572662</v>
      </c>
      <c r="BJ299">
        <v>6.5953657031059265E-2</v>
      </c>
      <c r="BK299">
        <v>9.2691622674465179E-2</v>
      </c>
      <c r="BL299">
        <v>4.634581133723259E-2</v>
      </c>
      <c r="BM299">
        <v>8.021390438079834E-2</v>
      </c>
      <c r="BN299">
        <v>5.7040996849536896E-2</v>
      </c>
      <c r="BO299">
        <v>9.8039217293262482E-2</v>
      </c>
      <c r="BP299">
        <v>7.8431375324726105E-2</v>
      </c>
      <c r="BQ299">
        <v>8.7344028055667877E-2</v>
      </c>
      <c r="BR299">
        <v>7.4866309762001038E-2</v>
      </c>
      <c r="BS299">
        <v>8.7344028055667877E-2</v>
      </c>
      <c r="BT299">
        <v>5.1693405956029892E-2</v>
      </c>
      <c r="BU299">
        <v>5.7040996849536896E-2</v>
      </c>
      <c r="BV299">
        <v>8.377896249294281E-2</v>
      </c>
      <c r="BW299">
        <v>7.6648838818073273E-2</v>
      </c>
      <c r="BX299">
        <v>8.1996433436870575E-2</v>
      </c>
      <c r="BY299">
        <v>9.2691622674465179E-2</v>
      </c>
      <c r="BZ299">
        <v>8.021390438079834E-2</v>
      </c>
      <c r="CA299">
        <v>7.130124419927597E-2</v>
      </c>
      <c r="CB299">
        <v>7.130124419927597E-2</v>
      </c>
      <c r="CC299">
        <v>5.7040996849536896E-2</v>
      </c>
      <c r="CD299">
        <v>0.11229946464300156</v>
      </c>
      <c r="CE299">
        <v>6.4171120524406433E-2</v>
      </c>
      <c r="CF299">
        <v>7.3083780705928802E-2</v>
      </c>
      <c r="CG299">
        <v>6.4171120524406433E-2</v>
      </c>
      <c r="CH299">
        <v>6.4171120524406433E-2</v>
      </c>
      <c r="CI299">
        <v>6.2388591468334198E-2</v>
      </c>
      <c r="CJ299">
        <v>0.10873440653085709</v>
      </c>
      <c r="CK299">
        <v>6.77361860871315E-2</v>
      </c>
      <c r="CL299">
        <v>7.130124419927597E-2</v>
      </c>
      <c r="CM299">
        <v>8.1996433436870575E-2</v>
      </c>
      <c r="CN299">
        <v>7.4866309762001038E-2</v>
      </c>
      <c r="CO299">
        <v>7.3083780705928802E-2</v>
      </c>
      <c r="CP299">
        <v>6.4171120524406433E-2</v>
      </c>
      <c r="CQ299">
        <v>6.5953657031059265E-2</v>
      </c>
      <c r="CR299">
        <v>6.5953657031059265E-2</v>
      </c>
      <c r="CS299">
        <v>0.12655971944332123</v>
      </c>
      <c r="CT299">
        <v>8.377896249294281E-2</v>
      </c>
      <c r="CU299">
        <v>9.2691622674465179E-2</v>
      </c>
      <c r="CV299">
        <v>6.5953657031059265E-2</v>
      </c>
      <c r="CW299">
        <v>6.2388591468334198E-2</v>
      </c>
      <c r="CX299">
        <v>7.3083780705928802E-2</v>
      </c>
      <c r="CY299">
        <v>6.9518715143203735E-2</v>
      </c>
      <c r="CZ299">
        <v>9.2691622674465179E-2</v>
      </c>
      <c r="DA299">
        <v>5.7040996849536896E-2</v>
      </c>
      <c r="DB299">
        <v>5.7040996849536896E-2</v>
      </c>
      <c r="DC299">
        <v>6.0606062412261963E-2</v>
      </c>
      <c r="DD299">
        <v>8.377896249294281E-2</v>
      </c>
      <c r="DE299">
        <v>0.11942958831787109</v>
      </c>
      <c r="DF299">
        <v>7.3083780705928802E-2</v>
      </c>
      <c r="DG299">
        <v>8.1996433436870575E-2</v>
      </c>
      <c r="DH299">
        <v>6.77361860871315E-2</v>
      </c>
      <c r="DI299">
        <v>7.3083780705928802E-2</v>
      </c>
      <c r="DJ299">
        <v>6.2388591468334198E-2</v>
      </c>
      <c r="DK299">
        <v>7.130124419927597E-2</v>
      </c>
      <c r="DL299">
        <v>8.021390438079834E-2</v>
      </c>
      <c r="DM299">
        <v>0.10516934096813202</v>
      </c>
      <c r="DN299">
        <v>5.1693405956029892E-2</v>
      </c>
      <c r="DO299">
        <v>0.10160427540540695</v>
      </c>
      <c r="DP299">
        <v>7.3083780705928802E-2</v>
      </c>
      <c r="DQ299">
        <v>8.9126557111740112E-2</v>
      </c>
      <c r="DR299">
        <v>4.4563278555870056E-2</v>
      </c>
      <c r="DS299">
        <v>6.9518715143203735E-2</v>
      </c>
      <c r="DT299">
        <v>7.3083780705928802E-2</v>
      </c>
      <c r="DU299">
        <v>7.4866309762001038E-2</v>
      </c>
      <c r="DV299">
        <v>0.10338681191205978</v>
      </c>
      <c r="DW299">
        <v>6.77361860871315E-2</v>
      </c>
      <c r="DX299">
        <v>7.130124419927597E-2</v>
      </c>
      <c r="DY299">
        <v>6.0606062412261963E-2</v>
      </c>
      <c r="DZ299">
        <v>5.3475935012102127E-2</v>
      </c>
      <c r="EA299">
        <v>7.6648838818073273E-2</v>
      </c>
      <c r="EB299">
        <v>6.2388591468334198E-2</v>
      </c>
      <c r="EC299">
        <v>6.77361860871315E-2</v>
      </c>
      <c r="ED299">
        <v>7.3083780705928802E-2</v>
      </c>
      <c r="EE299">
        <v>4.9910873174667358E-2</v>
      </c>
      <c r="EF299">
        <v>0.12834224104881287</v>
      </c>
      <c r="EG299">
        <v>6.77361860871315E-2</v>
      </c>
      <c r="EH299">
        <v>6.2388591468334198E-2</v>
      </c>
      <c r="EI299">
        <v>6.4171120524406433E-2</v>
      </c>
      <c r="EJ299">
        <v>5.8823529630899429E-2</v>
      </c>
      <c r="EK299">
        <v>7.6648838818073273E-2</v>
      </c>
      <c r="EL299">
        <v>6.5953657031059265E-2</v>
      </c>
      <c r="EM299">
        <v>6.77361860871315E-2</v>
      </c>
      <c r="EN299">
        <v>6.0606062412261963E-2</v>
      </c>
      <c r="EO299">
        <v>0.10338681191205978</v>
      </c>
      <c r="EP299">
        <v>8.7344028055667877E-2</v>
      </c>
      <c r="EQ299">
        <v>6.77361860871315E-2</v>
      </c>
      <c r="ER299">
        <v>6.77361860871315E-2</v>
      </c>
      <c r="ES299">
        <v>5.5258467793464661E-2</v>
      </c>
      <c r="ET299">
        <v>6.5953657031059265E-2</v>
      </c>
      <c r="EU299">
        <v>8.7344028055667877E-2</v>
      </c>
      <c r="EV299">
        <v>9.0909093618392944E-2</v>
      </c>
      <c r="EW299">
        <v>8.1996433436870575E-2</v>
      </c>
      <c r="EX299">
        <v>8.377896249294281E-2</v>
      </c>
      <c r="EY299">
        <v>9.9821746349334717E-2</v>
      </c>
      <c r="EZ299">
        <v>7.130124419927597E-2</v>
      </c>
      <c r="FA299">
        <v>6.5953657031059265E-2</v>
      </c>
      <c r="FB299">
        <v>7.3083780705928802E-2</v>
      </c>
      <c r="FC299">
        <v>5.5258467793464661E-2</v>
      </c>
      <c r="FD299">
        <v>6.77361860871315E-2</v>
      </c>
      <c r="FE299">
        <v>6.77361860871315E-2</v>
      </c>
      <c r="FF299">
        <v>8.021390438079834E-2</v>
      </c>
      <c r="FG299">
        <v>9.4474151730537415E-2</v>
      </c>
      <c r="FH299">
        <v>5.7040996849536896E-2</v>
      </c>
      <c r="FI299">
        <v>6.2388591468334198E-2</v>
      </c>
      <c r="FJ299">
        <v>0.1301247775554657</v>
      </c>
      <c r="FK299">
        <v>8.021390438079834E-2</v>
      </c>
      <c r="FL299">
        <v>7.3083780705928802E-2</v>
      </c>
      <c r="FM299">
        <v>5.1693405956029892E-2</v>
      </c>
      <c r="FN299">
        <v>5.1693405956029892E-2</v>
      </c>
      <c r="FO299">
        <v>8.1996433436870575E-2</v>
      </c>
      <c r="FP299">
        <v>6.2388591468334198E-2</v>
      </c>
      <c r="FQ299">
        <v>7.130124419927597E-2</v>
      </c>
      <c r="FR299">
        <v>8.5561498999595642E-2</v>
      </c>
      <c r="FS299">
        <v>0.11051693558692932</v>
      </c>
      <c r="FT299">
        <v>0.11051693558692932</v>
      </c>
      <c r="FU299">
        <v>5.5258467793464661E-2</v>
      </c>
      <c r="FV299">
        <v>6.0606062412261963E-2</v>
      </c>
      <c r="FW299">
        <v>8.021390438079834E-2</v>
      </c>
      <c r="FX299">
        <v>7.1969695389270782E-2</v>
      </c>
      <c r="FY299">
        <v>6.25E-2</v>
      </c>
      <c r="FZ299">
        <v>7.0075757801532745E-2</v>
      </c>
      <c r="GA299">
        <v>7.1969695389270782E-2</v>
      </c>
      <c r="GB299">
        <v>0.11931817978620529</v>
      </c>
      <c r="GC299">
        <v>6.0606062412261963E-2</v>
      </c>
      <c r="GD299">
        <v>8.901514858007431E-2</v>
      </c>
      <c r="GE299">
        <v>6.6287875175476074E-2</v>
      </c>
      <c r="GF299">
        <v>9.2803031206130981E-2</v>
      </c>
      <c r="GG299">
        <v>9.0909093618392944E-2</v>
      </c>
      <c r="GH299">
        <v>7.9545453190803528E-2</v>
      </c>
      <c r="GI299">
        <v>6.0606062412261963E-2</v>
      </c>
      <c r="GJ299">
        <v>5.681818351149559E-2</v>
      </c>
      <c r="GK299">
        <v>0.10984848439693451</v>
      </c>
      <c r="GL299">
        <v>6.4393937587738037E-2</v>
      </c>
      <c r="GM299">
        <v>4.7348484396934509E-2</v>
      </c>
      <c r="GN299">
        <v>0.15151515603065491</v>
      </c>
      <c r="GO299">
        <v>0.10037878900766373</v>
      </c>
      <c r="GP299">
        <v>5.3030304610729218E-2</v>
      </c>
      <c r="GQ299">
        <v>3.7878789007663727E-2</v>
      </c>
      <c r="GR299">
        <v>6.6287875175476074E-2</v>
      </c>
      <c r="GS299">
        <v>0.11174242198467255</v>
      </c>
      <c r="GT299">
        <v>8.7121210992336273E-2</v>
      </c>
      <c r="GU299">
        <v>7.386363297700882E-2</v>
      </c>
      <c r="GV299">
        <v>6.25E-2</v>
      </c>
      <c r="GW299">
        <v>7.1969695389270782E-2</v>
      </c>
      <c r="GX299">
        <v>5.3030304610729218E-2</v>
      </c>
      <c r="GY299">
        <v>8.3333335816860199E-2</v>
      </c>
      <c r="GZ299">
        <v>6.6287875175476074E-2</v>
      </c>
      <c r="HA299">
        <v>7.9545453190803528E-2</v>
      </c>
      <c r="HB299">
        <v>7.386363297700882E-2</v>
      </c>
      <c r="HC299">
        <v>7.386363297700882E-2</v>
      </c>
      <c r="HD299">
        <v>8.3333335816860199E-2</v>
      </c>
      <c r="HE299">
        <v>0.11363636702299118</v>
      </c>
      <c r="HF299">
        <v>5.8712121099233627E-2</v>
      </c>
      <c r="HG299">
        <v>6.8181820213794708E-2</v>
      </c>
      <c r="HH299">
        <v>6.4393937587738037E-2</v>
      </c>
      <c r="HI299">
        <v>5.1136363297700882E-2</v>
      </c>
      <c r="HJ299">
        <v>0.11174242198467255</v>
      </c>
      <c r="HK299">
        <v>6.25E-2</v>
      </c>
      <c r="HL299">
        <v>7.386363297700882E-2</v>
      </c>
      <c r="HM299">
        <v>0.1041666641831398</v>
      </c>
      <c r="HN299">
        <v>0.11174242198467255</v>
      </c>
      <c r="HO299">
        <v>8.7121210992336273E-2</v>
      </c>
      <c r="HP299">
        <v>6.8181820213794708E-2</v>
      </c>
      <c r="HQ299">
        <v>0.11553030461072922</v>
      </c>
      <c r="HR299">
        <v>6.4393937587738037E-2</v>
      </c>
      <c r="HS299">
        <v>7.5757578015327454E-2</v>
      </c>
      <c r="HT299">
        <v>6.4393937587738037E-2</v>
      </c>
      <c r="HU299">
        <v>7.5757578015327454E-2</v>
      </c>
      <c r="HV299">
        <v>6.8181820213794708E-2</v>
      </c>
      <c r="HW299">
        <v>8.5227273404598236E-2</v>
      </c>
      <c r="HX299">
        <v>5.8712121099233627E-2</v>
      </c>
      <c r="HY299">
        <v>6.0606062412261963E-2</v>
      </c>
      <c r="HZ299">
        <v>6.8181820213794708E-2</v>
      </c>
      <c r="IA299">
        <v>6.6287875175476074E-2</v>
      </c>
      <c r="IB299">
        <v>7.0075757801532745E-2</v>
      </c>
      <c r="IC299">
        <v>6.6287875175476074E-2</v>
      </c>
      <c r="ID299">
        <v>0.10227272659540176</v>
      </c>
      <c r="IE299">
        <v>7.5757578015327454E-2</v>
      </c>
      <c r="IF299">
        <v>7.9545453190803528E-2</v>
      </c>
      <c r="IG299">
        <v>7.1969695389270782E-2</v>
      </c>
      <c r="IH299">
        <v>7.0075757801532745E-2</v>
      </c>
      <c r="II299">
        <v>0.10606060922145844</v>
      </c>
      <c r="IJ299">
        <v>8.1439390778541565E-2</v>
      </c>
      <c r="IK299">
        <v>6.0606062412261963E-2</v>
      </c>
      <c r="IL299">
        <v>6.8181820213794708E-2</v>
      </c>
      <c r="IM299">
        <v>5.1136363297700882E-2</v>
      </c>
      <c r="IN299">
        <v>7.9545453190803528E-2</v>
      </c>
      <c r="IO299">
        <v>6.0606062412261963E-2</v>
      </c>
      <c r="IP299">
        <v>9.0909093618392944E-2</v>
      </c>
      <c r="IQ299">
        <v>6.8181820213794708E-2</v>
      </c>
      <c r="IR299">
        <v>7.9545453190803528E-2</v>
      </c>
      <c r="IS299">
        <v>5.4924242198467255E-2</v>
      </c>
      <c r="IT299">
        <v>9.0909093618392944E-2</v>
      </c>
      <c r="IU299">
        <v>6.8181820213794708E-2</v>
      </c>
      <c r="IV299">
        <v>6.8181820213794708E-2</v>
      </c>
      <c r="IW299">
        <v>6.6287875175476074E-2</v>
      </c>
      <c r="IX299">
        <v>5.4924242198467255E-2</v>
      </c>
      <c r="IY299">
        <v>8.7121210992336273E-2</v>
      </c>
      <c r="IZ299">
        <v>6.8181820213794708E-2</v>
      </c>
      <c r="JA299">
        <v>6.4393937587738037E-2</v>
      </c>
      <c r="JB299">
        <v>0.10984848439693451</v>
      </c>
      <c r="JC299">
        <v>7.9545453190803528E-2</v>
      </c>
      <c r="JD299">
        <v>8.901514858007431E-2</v>
      </c>
      <c r="JE299">
        <v>7.7651515603065491E-2</v>
      </c>
      <c r="JF299">
        <v>6.25E-2</v>
      </c>
      <c r="JG299">
        <v>8.3333335816860199E-2</v>
      </c>
      <c r="JH299">
        <v>8.7121210992336273E-2</v>
      </c>
      <c r="JI299">
        <v>4.9242425709962845E-2</v>
      </c>
      <c r="JJ299">
        <v>0.13446970283985138</v>
      </c>
      <c r="JK299">
        <v>7.386363297700882E-2</v>
      </c>
      <c r="JL299">
        <v>5.4924242198467255E-2</v>
      </c>
      <c r="JM299">
        <v>8.5227273404598236E-2</v>
      </c>
      <c r="JN299">
        <v>7.5757578015327454E-2</v>
      </c>
      <c r="JO299">
        <v>4.3560605496168137E-2</v>
      </c>
      <c r="JP299">
        <v>4.7348484396934509E-2</v>
      </c>
      <c r="JQ299">
        <v>6.25E-2</v>
      </c>
      <c r="JR299">
        <v>4.5454546809196472E-2</v>
      </c>
      <c r="JS299">
        <v>8.5227273404598236E-2</v>
      </c>
      <c r="JT299">
        <v>8.901514858007431E-2</v>
      </c>
      <c r="JU299">
        <v>6.4393937587738037E-2</v>
      </c>
      <c r="JV299">
        <v>9.2803031206130981E-2</v>
      </c>
      <c r="JW299">
        <v>0.10984848439693451</v>
      </c>
      <c r="JX299">
        <v>7.0075757801532745E-2</v>
      </c>
      <c r="JY299">
        <v>8.3333335816860199E-2</v>
      </c>
      <c r="JZ299">
        <v>4.9242425709962845E-2</v>
      </c>
      <c r="KA299">
        <v>8.5227273404598236E-2</v>
      </c>
    </row>
    <row r="300" spans="4:292" x14ac:dyDescent="0.25">
      <c r="D300" s="41" t="str" cm="1">
        <f t="array" ref="D300">IF(H300="","",IF(AND(E300&lt;AVERAGE(E299,E301)*($L$19/100),$D$23:D299=""),H300,""))</f>
        <v/>
      </c>
      <c r="E300" s="78">
        <f t="shared" si="5"/>
        <v>2.1764517089016971E-3</v>
      </c>
      <c r="F300" s="79"/>
      <c r="H300">
        <v>278</v>
      </c>
      <c r="I300">
        <v>7.6226451708901702E-2</v>
      </c>
      <c r="K300">
        <v>0.12121212482452393</v>
      </c>
      <c r="L300">
        <v>6.5953657031059265E-2</v>
      </c>
      <c r="M300">
        <v>7.130124419927597E-2</v>
      </c>
      <c r="N300">
        <v>7.130124419927597E-2</v>
      </c>
      <c r="O300">
        <v>7.4866309762001038E-2</v>
      </c>
      <c r="P300">
        <v>6.77361860871315E-2</v>
      </c>
      <c r="Q300">
        <v>6.5953657031059265E-2</v>
      </c>
      <c r="R300">
        <v>7.3083780705928802E-2</v>
      </c>
      <c r="S300">
        <v>7.130124419927597E-2</v>
      </c>
      <c r="T300">
        <v>4.8128340393304825E-2</v>
      </c>
      <c r="U300">
        <v>8.1996433436870575E-2</v>
      </c>
      <c r="V300">
        <v>9.8039217293262482E-2</v>
      </c>
      <c r="W300">
        <v>6.0606062412261963E-2</v>
      </c>
      <c r="X300">
        <v>0.10160427540540695</v>
      </c>
      <c r="Y300">
        <v>5.7040996849536896E-2</v>
      </c>
      <c r="Z300">
        <v>8.5561498999595642E-2</v>
      </c>
      <c r="AA300">
        <v>6.9518715143203735E-2</v>
      </c>
      <c r="AB300">
        <v>0.11408199369907379</v>
      </c>
      <c r="AC300">
        <v>5.7040996849536896E-2</v>
      </c>
      <c r="AD300">
        <v>6.77361860871315E-2</v>
      </c>
      <c r="AE300">
        <v>8.7344028055667877E-2</v>
      </c>
      <c r="AF300">
        <v>6.77361860871315E-2</v>
      </c>
      <c r="AG300">
        <v>7.3083780705928802E-2</v>
      </c>
      <c r="AH300">
        <v>7.6648838818073273E-2</v>
      </c>
      <c r="AI300">
        <v>6.77361860871315E-2</v>
      </c>
      <c r="AJ300">
        <v>7.130124419927597E-2</v>
      </c>
      <c r="AK300">
        <v>0.11229946464300156</v>
      </c>
      <c r="AL300">
        <v>8.5561498999595642E-2</v>
      </c>
      <c r="AM300">
        <v>7.130124419927597E-2</v>
      </c>
      <c r="AN300">
        <v>6.9518715143203735E-2</v>
      </c>
      <c r="AO300">
        <v>5.8823529630899429E-2</v>
      </c>
      <c r="AP300">
        <v>4.9910873174667358E-2</v>
      </c>
      <c r="AQ300">
        <v>6.2388591468334198E-2</v>
      </c>
      <c r="AR300">
        <v>4.8128340393304825E-2</v>
      </c>
      <c r="AS300">
        <v>9.0909093618392944E-2</v>
      </c>
      <c r="AT300">
        <v>9.9821746349334717E-2</v>
      </c>
      <c r="AU300">
        <v>7.130124419927597E-2</v>
      </c>
      <c r="AV300">
        <v>5.5258467793464661E-2</v>
      </c>
      <c r="AW300">
        <v>6.77361860871315E-2</v>
      </c>
      <c r="AX300">
        <v>8.7344028055667877E-2</v>
      </c>
      <c r="AY300">
        <v>5.1693405956029892E-2</v>
      </c>
      <c r="AZ300">
        <v>7.3083780705928802E-2</v>
      </c>
      <c r="BA300">
        <v>7.4866309762001038E-2</v>
      </c>
      <c r="BB300">
        <v>0.11942958831787109</v>
      </c>
      <c r="BC300">
        <v>7.6648838818073273E-2</v>
      </c>
      <c r="BD300">
        <v>6.4171120524406433E-2</v>
      </c>
      <c r="BE300">
        <v>0.13190731406211853</v>
      </c>
      <c r="BF300">
        <v>5.3475935012102127E-2</v>
      </c>
      <c r="BG300">
        <v>8.7344028055667877E-2</v>
      </c>
      <c r="BH300">
        <v>6.9518715143203735E-2</v>
      </c>
      <c r="BI300">
        <v>5.1693405956029892E-2</v>
      </c>
      <c r="BJ300">
        <v>4.4563278555870056E-2</v>
      </c>
      <c r="BK300">
        <v>9.625668078660965E-2</v>
      </c>
      <c r="BL300">
        <v>7.130124419927597E-2</v>
      </c>
      <c r="BM300">
        <v>9.0909093618392944E-2</v>
      </c>
      <c r="BN300">
        <v>8.5561498999595642E-2</v>
      </c>
      <c r="BO300">
        <v>6.4171120524406433E-2</v>
      </c>
      <c r="BP300">
        <v>6.2388591468334198E-2</v>
      </c>
      <c r="BQ300">
        <v>9.625668078660965E-2</v>
      </c>
      <c r="BR300">
        <v>8.377896249294281E-2</v>
      </c>
      <c r="BS300">
        <v>5.7040996849536896E-2</v>
      </c>
      <c r="BT300">
        <v>7.4866309762001038E-2</v>
      </c>
      <c r="BU300">
        <v>7.3083780705928802E-2</v>
      </c>
      <c r="BV300">
        <v>9.9821746349334717E-2</v>
      </c>
      <c r="BW300">
        <v>7.4866309762001038E-2</v>
      </c>
      <c r="BX300">
        <v>5.1693405956029892E-2</v>
      </c>
      <c r="BY300">
        <v>8.377896249294281E-2</v>
      </c>
      <c r="BZ300">
        <v>0.11942958831787109</v>
      </c>
      <c r="CA300">
        <v>6.2388591468334198E-2</v>
      </c>
      <c r="CB300">
        <v>7.6648838818073273E-2</v>
      </c>
      <c r="CC300">
        <v>6.77361860871315E-2</v>
      </c>
      <c r="CD300">
        <v>8.377896249294281E-2</v>
      </c>
      <c r="CE300">
        <v>7.6648838818073273E-2</v>
      </c>
      <c r="CF300">
        <v>9.4474151730537415E-2</v>
      </c>
      <c r="CG300">
        <v>6.77361860871315E-2</v>
      </c>
      <c r="CH300">
        <v>0.10516934096813202</v>
      </c>
      <c r="CI300">
        <v>7.8431375324726105E-2</v>
      </c>
      <c r="CJ300">
        <v>6.0606062412261963E-2</v>
      </c>
      <c r="CK300">
        <v>0.1301247775554657</v>
      </c>
      <c r="CL300">
        <v>0.135472372174263</v>
      </c>
      <c r="CM300">
        <v>6.4171120524406433E-2</v>
      </c>
      <c r="CN300">
        <v>8.021390438079834E-2</v>
      </c>
      <c r="CO300">
        <v>5.1693405956029892E-2</v>
      </c>
      <c r="CP300">
        <v>9.2691622674465179E-2</v>
      </c>
      <c r="CQ300">
        <v>6.9518715143203735E-2</v>
      </c>
      <c r="CR300">
        <v>6.4171120524406433E-2</v>
      </c>
      <c r="CS300">
        <v>6.2388591468334198E-2</v>
      </c>
      <c r="CT300">
        <v>6.2388591468334198E-2</v>
      </c>
      <c r="CU300">
        <v>7.130124419927597E-2</v>
      </c>
      <c r="CV300">
        <v>9.0909093618392944E-2</v>
      </c>
      <c r="CW300">
        <v>0.10338681191205978</v>
      </c>
      <c r="CX300">
        <v>4.4563278555870056E-2</v>
      </c>
      <c r="CY300">
        <v>7.3083780705928802E-2</v>
      </c>
      <c r="CZ300">
        <v>0.11764705926179886</v>
      </c>
      <c r="DA300">
        <v>7.4866309762001038E-2</v>
      </c>
      <c r="DB300">
        <v>6.2388591468334198E-2</v>
      </c>
      <c r="DC300">
        <v>5.8823529630899429E-2</v>
      </c>
      <c r="DD300">
        <v>6.5953657031059265E-2</v>
      </c>
      <c r="DE300">
        <v>9.8039217293262482E-2</v>
      </c>
      <c r="DF300">
        <v>8.1996433436870575E-2</v>
      </c>
      <c r="DG300">
        <v>8.021390438079834E-2</v>
      </c>
      <c r="DH300">
        <v>8.021390438079834E-2</v>
      </c>
      <c r="DI300">
        <v>8.021390438079834E-2</v>
      </c>
      <c r="DJ300">
        <v>6.0606062412261963E-2</v>
      </c>
      <c r="DK300">
        <v>7.6648838818073273E-2</v>
      </c>
      <c r="DL300">
        <v>7.3083780705928802E-2</v>
      </c>
      <c r="DM300">
        <v>8.021390438079834E-2</v>
      </c>
      <c r="DN300">
        <v>6.2388591468334198E-2</v>
      </c>
      <c r="DO300">
        <v>6.0606062412261963E-2</v>
      </c>
      <c r="DP300">
        <v>6.9518715143203735E-2</v>
      </c>
      <c r="DQ300">
        <v>6.77361860871315E-2</v>
      </c>
      <c r="DR300">
        <v>8.5561498999595642E-2</v>
      </c>
      <c r="DS300">
        <v>4.8128340393304825E-2</v>
      </c>
      <c r="DT300">
        <v>5.5258467793464661E-2</v>
      </c>
      <c r="DU300">
        <v>6.9518715143203735E-2</v>
      </c>
      <c r="DV300">
        <v>6.0606062412261963E-2</v>
      </c>
      <c r="DW300">
        <v>4.4563278555870056E-2</v>
      </c>
      <c r="DX300">
        <v>0.10516934096813202</v>
      </c>
      <c r="DY300">
        <v>7.6648838818073273E-2</v>
      </c>
      <c r="DZ300">
        <v>6.9518715143203735E-2</v>
      </c>
      <c r="EA300">
        <v>0.10338681191205978</v>
      </c>
      <c r="EB300">
        <v>8.1996433436870575E-2</v>
      </c>
      <c r="EC300">
        <v>8.377896249294281E-2</v>
      </c>
      <c r="ED300">
        <v>6.9518715143203735E-2</v>
      </c>
      <c r="EE300">
        <v>9.625668078660965E-2</v>
      </c>
      <c r="EF300">
        <v>8.377896249294281E-2</v>
      </c>
      <c r="EG300">
        <v>7.8431375324726105E-2</v>
      </c>
      <c r="EH300">
        <v>9.625668078660965E-2</v>
      </c>
      <c r="EI300">
        <v>8.5561498999595642E-2</v>
      </c>
      <c r="EJ300">
        <v>6.5953657031059265E-2</v>
      </c>
      <c r="EK300">
        <v>6.77361860871315E-2</v>
      </c>
      <c r="EL300">
        <v>7.6648838818073273E-2</v>
      </c>
      <c r="EM300">
        <v>9.0909093618392944E-2</v>
      </c>
      <c r="EN300">
        <v>0.10516934096813202</v>
      </c>
      <c r="EO300">
        <v>9.2691622674465179E-2</v>
      </c>
      <c r="EP300">
        <v>9.4474151730537415E-2</v>
      </c>
      <c r="EQ300">
        <v>6.25E-2</v>
      </c>
      <c r="ER300">
        <v>6.4393937587738037E-2</v>
      </c>
      <c r="ES300">
        <v>0.1041666641831398</v>
      </c>
      <c r="ET300">
        <v>6.6287875175476074E-2</v>
      </c>
      <c r="EU300">
        <v>7.9545453190803528E-2</v>
      </c>
      <c r="EV300">
        <v>7.7651515603065491E-2</v>
      </c>
      <c r="EW300">
        <v>8.7121210992336273E-2</v>
      </c>
      <c r="EX300">
        <v>6.0606062412261963E-2</v>
      </c>
      <c r="EY300">
        <v>6.6287875175476074E-2</v>
      </c>
      <c r="EZ300">
        <v>8.3333335816860199E-2</v>
      </c>
      <c r="FA300">
        <v>9.2803031206130981E-2</v>
      </c>
      <c r="FB300">
        <v>5.3030304610729218E-2</v>
      </c>
      <c r="FC300">
        <v>0.10037878900766373</v>
      </c>
      <c r="FD300">
        <v>6.6287875175476074E-2</v>
      </c>
      <c r="FE300">
        <v>6.25E-2</v>
      </c>
      <c r="FF300">
        <v>6.6287875175476074E-2</v>
      </c>
      <c r="FG300">
        <v>5.3030304610729218E-2</v>
      </c>
      <c r="FH300">
        <v>8.5227273404598236E-2</v>
      </c>
      <c r="FI300">
        <v>5.1136363297700882E-2</v>
      </c>
      <c r="FJ300">
        <v>9.848485141992569E-2</v>
      </c>
      <c r="FK300">
        <v>0.10984848439693451</v>
      </c>
      <c r="FL300">
        <v>7.1969695389270782E-2</v>
      </c>
      <c r="FM300">
        <v>8.5227273404598236E-2</v>
      </c>
      <c r="FN300">
        <v>6.4393937587738037E-2</v>
      </c>
      <c r="FO300">
        <v>0.10606060922145844</v>
      </c>
      <c r="FP300">
        <v>4.7348484396934509E-2</v>
      </c>
      <c r="FQ300">
        <v>7.7651515603065491E-2</v>
      </c>
      <c r="FR300">
        <v>8.901514858007431E-2</v>
      </c>
      <c r="FS300">
        <v>5.681818351149559E-2</v>
      </c>
      <c r="FT300">
        <v>5.8712121099233627E-2</v>
      </c>
      <c r="FU300">
        <v>8.1439390778541565E-2</v>
      </c>
      <c r="FV300">
        <v>5.3030304610729218E-2</v>
      </c>
      <c r="FW300">
        <v>8.901514858007431E-2</v>
      </c>
      <c r="FX300">
        <v>7.5757578015327454E-2</v>
      </c>
      <c r="FY300">
        <v>9.0909093618392944E-2</v>
      </c>
      <c r="FZ300">
        <v>6.0606062412261963E-2</v>
      </c>
      <c r="GA300">
        <v>4.7348484396934509E-2</v>
      </c>
      <c r="GB300">
        <v>7.1969695389270782E-2</v>
      </c>
      <c r="GC300">
        <v>7.386363297700882E-2</v>
      </c>
      <c r="GD300">
        <v>8.3333335816860199E-2</v>
      </c>
      <c r="GE300">
        <v>0.10984848439693451</v>
      </c>
      <c r="GF300">
        <v>0.10037878900766373</v>
      </c>
      <c r="GG300">
        <v>0.10606060922145844</v>
      </c>
      <c r="GH300">
        <v>0.11553030461072922</v>
      </c>
      <c r="GI300">
        <v>7.1969695389270782E-2</v>
      </c>
      <c r="GJ300">
        <v>5.1136363297700882E-2</v>
      </c>
      <c r="GK300">
        <v>4.5454546809196472E-2</v>
      </c>
      <c r="GL300">
        <v>8.1439390778541565E-2</v>
      </c>
      <c r="GM300">
        <v>6.4393937587738037E-2</v>
      </c>
      <c r="GN300">
        <v>5.8712121099233627E-2</v>
      </c>
      <c r="GO300">
        <v>9.6590906381607056E-2</v>
      </c>
      <c r="GP300">
        <v>6.4393937587738037E-2</v>
      </c>
      <c r="GQ300">
        <v>6.25E-2</v>
      </c>
      <c r="GR300">
        <v>6.0606062412261963E-2</v>
      </c>
      <c r="GS300">
        <v>7.386363297700882E-2</v>
      </c>
      <c r="GT300">
        <v>5.8712121099233627E-2</v>
      </c>
      <c r="GU300">
        <v>7.7651515603065491E-2</v>
      </c>
      <c r="GV300">
        <v>6.4393937587738037E-2</v>
      </c>
      <c r="GW300">
        <v>6.8181820213794708E-2</v>
      </c>
      <c r="GX300">
        <v>7.7651515603065491E-2</v>
      </c>
      <c r="GY300">
        <v>7.5757578015327454E-2</v>
      </c>
      <c r="GZ300">
        <v>7.1969695389270782E-2</v>
      </c>
      <c r="HA300">
        <v>6.8181820213794708E-2</v>
      </c>
      <c r="HB300">
        <v>7.7651515603065491E-2</v>
      </c>
      <c r="HC300">
        <v>7.7651515603065491E-2</v>
      </c>
      <c r="HD300">
        <v>6.8181820213794708E-2</v>
      </c>
      <c r="HE300">
        <v>9.848485141992569E-2</v>
      </c>
      <c r="HF300">
        <v>7.1969695389270782E-2</v>
      </c>
      <c r="HG300">
        <v>8.3333335816860199E-2</v>
      </c>
      <c r="HH300">
        <v>0.10795454680919647</v>
      </c>
      <c r="HI300">
        <v>8.901514858007431E-2</v>
      </c>
      <c r="HJ300">
        <v>8.7121210992336273E-2</v>
      </c>
      <c r="HK300">
        <v>6.25E-2</v>
      </c>
      <c r="HL300">
        <v>5.8712121099233627E-2</v>
      </c>
      <c r="HM300">
        <v>7.1969695389270782E-2</v>
      </c>
      <c r="HN300">
        <v>7.5757578015327454E-2</v>
      </c>
      <c r="HO300">
        <v>6.25E-2</v>
      </c>
      <c r="HP300">
        <v>0.1041666641831398</v>
      </c>
      <c r="HQ300">
        <v>0.11742424219846725</v>
      </c>
      <c r="HR300">
        <v>6.8181820213794708E-2</v>
      </c>
      <c r="HS300">
        <v>8.5227273404598236E-2</v>
      </c>
      <c r="HT300">
        <v>6.25E-2</v>
      </c>
      <c r="HU300">
        <v>0.10037878900766373</v>
      </c>
      <c r="HV300">
        <v>6.0606062412261963E-2</v>
      </c>
      <c r="HW300">
        <v>0.10227272659540176</v>
      </c>
      <c r="HX300">
        <v>4.7348484396934509E-2</v>
      </c>
      <c r="HY300">
        <v>7.0075757801532745E-2</v>
      </c>
      <c r="HZ300">
        <v>7.386363297700882E-2</v>
      </c>
      <c r="IA300">
        <v>6.0606062412261963E-2</v>
      </c>
      <c r="IB300">
        <v>7.9545453190803528E-2</v>
      </c>
      <c r="IC300">
        <v>5.3030304610729218E-2</v>
      </c>
      <c r="ID300">
        <v>5.8712121099233627E-2</v>
      </c>
      <c r="IE300">
        <v>6.0606062412261963E-2</v>
      </c>
      <c r="IF300">
        <v>7.9545453190803528E-2</v>
      </c>
      <c r="IG300">
        <v>7.386363297700882E-2</v>
      </c>
      <c r="IH300">
        <v>6.6287875175476074E-2</v>
      </c>
      <c r="II300">
        <v>8.5227273404598236E-2</v>
      </c>
      <c r="IJ300">
        <v>6.6287875175476074E-2</v>
      </c>
      <c r="IK300">
        <v>6.8181820213794708E-2</v>
      </c>
      <c r="IL300">
        <v>7.1969695389270782E-2</v>
      </c>
      <c r="IM300">
        <v>8.3333335816860199E-2</v>
      </c>
      <c r="IN300">
        <v>0.11931817978620529</v>
      </c>
      <c r="IO300">
        <v>6.25E-2</v>
      </c>
      <c r="IP300">
        <v>5.3030304610729218E-2</v>
      </c>
      <c r="IQ300">
        <v>0.10227272659540176</v>
      </c>
      <c r="IR300">
        <v>0.10984848439693451</v>
      </c>
      <c r="IS300">
        <v>6.6287875175476074E-2</v>
      </c>
      <c r="IT300">
        <v>8.7121210992336273E-2</v>
      </c>
      <c r="IU300">
        <v>8.7121210992336273E-2</v>
      </c>
      <c r="IV300">
        <v>7.0075757801532745E-2</v>
      </c>
      <c r="IW300">
        <v>8.1439390778541565E-2</v>
      </c>
      <c r="IX300">
        <v>6.6287875175476074E-2</v>
      </c>
      <c r="IY300">
        <v>9.848485141992569E-2</v>
      </c>
      <c r="IZ300">
        <v>6.6287875175476074E-2</v>
      </c>
      <c r="JA300">
        <v>7.7651515603065491E-2</v>
      </c>
      <c r="JB300">
        <v>7.7651515603065491E-2</v>
      </c>
      <c r="JC300">
        <v>7.386363297700882E-2</v>
      </c>
      <c r="JD300">
        <v>8.1439390778541565E-2</v>
      </c>
      <c r="JE300">
        <v>5.4924242198467255E-2</v>
      </c>
      <c r="JF300">
        <v>6.8181820213794708E-2</v>
      </c>
      <c r="JG300">
        <v>7.1969695389270782E-2</v>
      </c>
      <c r="JH300">
        <v>7.1969695389270782E-2</v>
      </c>
      <c r="JI300">
        <v>7.386363297700882E-2</v>
      </c>
      <c r="JJ300">
        <v>5.8712121099233627E-2</v>
      </c>
      <c r="JK300">
        <v>7.5757578015327454E-2</v>
      </c>
      <c r="JL300">
        <v>7.7651515603065491E-2</v>
      </c>
      <c r="JM300">
        <v>5.3030304610729218E-2</v>
      </c>
      <c r="JN300">
        <v>8.3333335816860199E-2</v>
      </c>
      <c r="JO300">
        <v>6.0606062412261963E-2</v>
      </c>
      <c r="JP300">
        <v>6.0606062412261963E-2</v>
      </c>
      <c r="JQ300">
        <v>5.681818351149559E-2</v>
      </c>
      <c r="JR300">
        <v>8.3333335816860199E-2</v>
      </c>
      <c r="JS300">
        <v>7.386363297700882E-2</v>
      </c>
      <c r="JT300">
        <v>7.7651515603065491E-2</v>
      </c>
      <c r="JU300">
        <v>9.6590906381607056E-2</v>
      </c>
      <c r="JV300">
        <v>6.0606062412261963E-2</v>
      </c>
      <c r="JW300">
        <v>9.4696968793869019E-2</v>
      </c>
      <c r="JX300">
        <v>7.386363297700882E-2</v>
      </c>
      <c r="JY300">
        <v>6.25E-2</v>
      </c>
      <c r="JZ300">
        <v>0.11553030461072922</v>
      </c>
      <c r="KA300">
        <v>7.386363297700882E-2</v>
      </c>
      <c r="KB300">
        <v>4.7348484396934509E-2</v>
      </c>
    </row>
    <row r="301" spans="4:292" x14ac:dyDescent="0.25">
      <c r="D301" s="41" t="str" cm="1">
        <f t="array" ref="D301">IF(H301="","",IF(AND(E301&lt;AVERAGE(E300,E302)*($L$19/100),$D$23:D300=""),H301,""))</f>
        <v/>
      </c>
      <c r="E301" s="78">
        <f t="shared" si="5"/>
        <v>4.016400622808794E-3</v>
      </c>
      <c r="F301" s="79"/>
      <c r="H301">
        <v>279</v>
      </c>
      <c r="I301">
        <v>7.8066400622808799E-2</v>
      </c>
      <c r="K301">
        <v>5.1693405956029892E-2</v>
      </c>
      <c r="L301">
        <v>6.2388591468334198E-2</v>
      </c>
      <c r="M301">
        <v>5.5258467793464661E-2</v>
      </c>
      <c r="N301">
        <v>6.77361860871315E-2</v>
      </c>
      <c r="O301">
        <v>6.5953657031059265E-2</v>
      </c>
      <c r="P301">
        <v>0.10160427540540695</v>
      </c>
      <c r="Q301">
        <v>7.4866309762001038E-2</v>
      </c>
      <c r="R301">
        <v>0.12655971944332123</v>
      </c>
      <c r="S301">
        <v>7.6648838818073273E-2</v>
      </c>
      <c r="T301">
        <v>8.5561498999595642E-2</v>
      </c>
      <c r="U301">
        <v>6.4171120524406433E-2</v>
      </c>
      <c r="V301">
        <v>6.2388591468334198E-2</v>
      </c>
      <c r="W301">
        <v>9.8039217293262482E-2</v>
      </c>
      <c r="X301">
        <v>8.7344028055667877E-2</v>
      </c>
      <c r="Y301">
        <v>8.021390438079834E-2</v>
      </c>
      <c r="Z301">
        <v>6.5953657031059265E-2</v>
      </c>
      <c r="AA301">
        <v>9.9821746349334717E-2</v>
      </c>
      <c r="AB301">
        <v>7.130124419927597E-2</v>
      </c>
      <c r="AC301">
        <v>7.4866309762001038E-2</v>
      </c>
      <c r="AD301">
        <v>0.12655971944332123</v>
      </c>
      <c r="AE301">
        <v>9.4474151730537415E-2</v>
      </c>
      <c r="AF301">
        <v>8.9126557111740112E-2</v>
      </c>
      <c r="AG301">
        <v>9.9821746349334717E-2</v>
      </c>
      <c r="AH301">
        <v>6.77361860871315E-2</v>
      </c>
      <c r="AI301">
        <v>7.8431375324726105E-2</v>
      </c>
      <c r="AJ301">
        <v>6.5953657031059265E-2</v>
      </c>
      <c r="AK301">
        <v>6.9518715143203735E-2</v>
      </c>
      <c r="AL301">
        <v>5.5258467793464661E-2</v>
      </c>
      <c r="AM301">
        <v>5.1693405956029892E-2</v>
      </c>
      <c r="AN301">
        <v>0.14795008301734924</v>
      </c>
      <c r="AO301">
        <v>6.9518715143203735E-2</v>
      </c>
      <c r="AP301">
        <v>4.8128340393304825E-2</v>
      </c>
      <c r="AQ301">
        <v>9.2691622674465179E-2</v>
      </c>
      <c r="AR301">
        <v>7.8431375324726105E-2</v>
      </c>
      <c r="AS301">
        <v>8.7344028055667877E-2</v>
      </c>
      <c r="AT301">
        <v>8.1996433436870575E-2</v>
      </c>
      <c r="AU301">
        <v>6.77361860871315E-2</v>
      </c>
      <c r="AV301">
        <v>8.9126557111740112E-2</v>
      </c>
      <c r="AW301">
        <v>7.3083780705928802E-2</v>
      </c>
      <c r="AX301">
        <v>4.9910873174667358E-2</v>
      </c>
      <c r="AY301">
        <v>6.5953657031059265E-2</v>
      </c>
      <c r="AZ301">
        <v>0.16042780876159668</v>
      </c>
      <c r="BA301">
        <v>7.8431375324726105E-2</v>
      </c>
      <c r="BB301">
        <v>4.9910873174667358E-2</v>
      </c>
      <c r="BC301">
        <v>7.130124419927597E-2</v>
      </c>
      <c r="BD301">
        <v>6.4171120524406433E-2</v>
      </c>
      <c r="BE301">
        <v>8.1996433436870575E-2</v>
      </c>
      <c r="BF301">
        <v>0.11764705926179886</v>
      </c>
      <c r="BG301">
        <v>8.5561498999595642E-2</v>
      </c>
      <c r="BH301">
        <v>5.3475935012102127E-2</v>
      </c>
      <c r="BI301">
        <v>8.021390438079834E-2</v>
      </c>
      <c r="BJ301">
        <v>9.2691622674465179E-2</v>
      </c>
      <c r="BK301">
        <v>4.8128340393304825E-2</v>
      </c>
      <c r="BL301">
        <v>6.9518715143203735E-2</v>
      </c>
      <c r="BM301">
        <v>0.11586453020572662</v>
      </c>
      <c r="BN301">
        <v>7.3083780705928802E-2</v>
      </c>
      <c r="BO301">
        <v>9.4474151730537415E-2</v>
      </c>
      <c r="BP301">
        <v>5.8823529630899429E-2</v>
      </c>
      <c r="BQ301">
        <v>8.7344028055667877E-2</v>
      </c>
      <c r="BR301">
        <v>5.7040996849536896E-2</v>
      </c>
      <c r="BS301">
        <v>5.7040996849536896E-2</v>
      </c>
      <c r="BT301">
        <v>8.5561498999595642E-2</v>
      </c>
      <c r="BU301">
        <v>7.6648838818073273E-2</v>
      </c>
      <c r="BV301">
        <v>7.130124419927597E-2</v>
      </c>
      <c r="BW301">
        <v>7.8431375324726105E-2</v>
      </c>
      <c r="BX301">
        <v>8.5561498999595642E-2</v>
      </c>
      <c r="BY301">
        <v>8.1996433436870575E-2</v>
      </c>
      <c r="BZ301">
        <v>7.130124419927597E-2</v>
      </c>
      <c r="CA301">
        <v>8.5561498999595642E-2</v>
      </c>
      <c r="CB301">
        <v>9.625668078660965E-2</v>
      </c>
      <c r="CC301">
        <v>6.9518715143203735E-2</v>
      </c>
      <c r="CD301">
        <v>7.6648838818073273E-2</v>
      </c>
      <c r="CE301">
        <v>0.10338681191205978</v>
      </c>
      <c r="CF301">
        <v>6.2388591468334198E-2</v>
      </c>
      <c r="CG301">
        <v>0.10160427540540695</v>
      </c>
      <c r="CH301">
        <v>9.625668078660965E-2</v>
      </c>
      <c r="CI301">
        <v>0.12121212482452393</v>
      </c>
      <c r="CJ301">
        <v>7.6648838818073273E-2</v>
      </c>
      <c r="CK301">
        <v>6.0606062412261963E-2</v>
      </c>
      <c r="CL301">
        <v>8.9126557111740112E-2</v>
      </c>
      <c r="CM301">
        <v>7.130124419927597E-2</v>
      </c>
      <c r="CN301">
        <v>9.2691622674465179E-2</v>
      </c>
      <c r="CO301">
        <v>8.7344028055667877E-2</v>
      </c>
      <c r="CP301">
        <v>6.9518715143203735E-2</v>
      </c>
      <c r="CQ301">
        <v>9.625668078660965E-2</v>
      </c>
      <c r="CR301">
        <v>5.8823529630899429E-2</v>
      </c>
      <c r="CS301">
        <v>6.0606062412261963E-2</v>
      </c>
      <c r="CT301">
        <v>8.377896249294281E-2</v>
      </c>
      <c r="CU301">
        <v>8.5561498999595642E-2</v>
      </c>
      <c r="CV301">
        <v>6.4171120524406433E-2</v>
      </c>
      <c r="CW301">
        <v>4.0998216718435287E-2</v>
      </c>
      <c r="CX301">
        <v>5.8823529630899429E-2</v>
      </c>
      <c r="CY301">
        <v>6.0606062412261963E-2</v>
      </c>
      <c r="CZ301">
        <v>8.377896249294281E-2</v>
      </c>
      <c r="DA301">
        <v>0.10338681191205978</v>
      </c>
      <c r="DB301">
        <v>0.1408199667930603</v>
      </c>
      <c r="DC301">
        <v>6.5953657031059265E-2</v>
      </c>
      <c r="DD301">
        <v>7.6648838818073273E-2</v>
      </c>
      <c r="DE301">
        <v>9.9821746349334717E-2</v>
      </c>
      <c r="DF301">
        <v>7.4866309762001038E-2</v>
      </c>
      <c r="DG301">
        <v>7.4866309762001038E-2</v>
      </c>
      <c r="DH301">
        <v>7.3083780705928802E-2</v>
      </c>
      <c r="DI301">
        <v>7.4866309762001038E-2</v>
      </c>
      <c r="DJ301">
        <v>4.9242425709962845E-2</v>
      </c>
      <c r="DK301">
        <v>7.9545453190803528E-2</v>
      </c>
      <c r="DL301">
        <v>6.8181820213794708E-2</v>
      </c>
      <c r="DM301">
        <v>0.11742424219846725</v>
      </c>
      <c r="DN301">
        <v>7.386363297700882E-2</v>
      </c>
      <c r="DO301">
        <v>5.8712121099233627E-2</v>
      </c>
      <c r="DP301">
        <v>8.5227273404598236E-2</v>
      </c>
      <c r="DQ301">
        <v>6.25E-2</v>
      </c>
      <c r="DR301">
        <v>6.6287875175476074E-2</v>
      </c>
      <c r="DS301">
        <v>5.8712121099233627E-2</v>
      </c>
      <c r="DT301">
        <v>7.1969695389270782E-2</v>
      </c>
      <c r="DU301">
        <v>9.2803031206130981E-2</v>
      </c>
      <c r="DV301">
        <v>7.9545453190803528E-2</v>
      </c>
      <c r="DW301">
        <v>9.2803031206130981E-2</v>
      </c>
      <c r="DX301">
        <v>5.4924242198467255E-2</v>
      </c>
      <c r="DY301">
        <v>5.681818351149559E-2</v>
      </c>
      <c r="DZ301">
        <v>7.7651515603065491E-2</v>
      </c>
      <c r="EA301">
        <v>7.0075757801532745E-2</v>
      </c>
      <c r="EB301">
        <v>0.1041666641831398</v>
      </c>
      <c r="EC301">
        <v>5.681818351149559E-2</v>
      </c>
      <c r="ED301">
        <v>5.681818351149559E-2</v>
      </c>
      <c r="EE301">
        <v>6.25E-2</v>
      </c>
      <c r="EF301">
        <v>7.386363297700882E-2</v>
      </c>
      <c r="EG301">
        <v>5.681818351149559E-2</v>
      </c>
      <c r="EH301">
        <v>0.10227272659540176</v>
      </c>
      <c r="EI301">
        <v>6.0606062412261963E-2</v>
      </c>
      <c r="EJ301">
        <v>6.25E-2</v>
      </c>
      <c r="EK301">
        <v>7.9545453190803528E-2</v>
      </c>
      <c r="EL301">
        <v>8.3333335816860199E-2</v>
      </c>
      <c r="EM301">
        <v>7.0075757801532745E-2</v>
      </c>
      <c r="EN301">
        <v>7.9545453190803528E-2</v>
      </c>
      <c r="EO301">
        <v>9.6590906381607056E-2</v>
      </c>
      <c r="EP301">
        <v>5.8712121099233627E-2</v>
      </c>
      <c r="EQ301">
        <v>7.0075757801532745E-2</v>
      </c>
      <c r="ER301">
        <v>8.5227273404598236E-2</v>
      </c>
      <c r="ES301">
        <v>0.11174242198467255</v>
      </c>
      <c r="ET301">
        <v>8.901514858007431E-2</v>
      </c>
      <c r="EU301">
        <v>7.7651515603065491E-2</v>
      </c>
      <c r="EV301">
        <v>8.901514858007431E-2</v>
      </c>
      <c r="EW301">
        <v>5.681818351149559E-2</v>
      </c>
      <c r="EX301">
        <v>6.8181820213794708E-2</v>
      </c>
      <c r="EY301">
        <v>8.901514858007431E-2</v>
      </c>
      <c r="EZ301">
        <v>6.25E-2</v>
      </c>
      <c r="FA301">
        <v>7.5757578015327454E-2</v>
      </c>
      <c r="FB301">
        <v>6.6287875175476074E-2</v>
      </c>
      <c r="FC301">
        <v>7.1969695389270782E-2</v>
      </c>
      <c r="FD301">
        <v>6.25E-2</v>
      </c>
      <c r="FE301">
        <v>6.4393937587738037E-2</v>
      </c>
      <c r="FF301">
        <v>9.0909093618392944E-2</v>
      </c>
      <c r="FG301">
        <v>9.848485141992569E-2</v>
      </c>
      <c r="FH301">
        <v>7.5757578015327454E-2</v>
      </c>
      <c r="FI301">
        <v>6.0606062412261963E-2</v>
      </c>
      <c r="FJ301">
        <v>8.3333335816860199E-2</v>
      </c>
      <c r="FK301">
        <v>6.8181820213794708E-2</v>
      </c>
      <c r="FL301">
        <v>7.9545453190803528E-2</v>
      </c>
      <c r="FM301">
        <v>0.12689393758773804</v>
      </c>
      <c r="FN301">
        <v>0.10227272659540176</v>
      </c>
      <c r="FO301">
        <v>5.681818351149559E-2</v>
      </c>
      <c r="FP301">
        <v>6.4393937587738037E-2</v>
      </c>
      <c r="FQ301">
        <v>5.8712121099233627E-2</v>
      </c>
      <c r="FR301">
        <v>9.0909093618392944E-2</v>
      </c>
      <c r="FS301">
        <v>6.6287875175476074E-2</v>
      </c>
      <c r="FT301">
        <v>0.10606060922145844</v>
      </c>
      <c r="FU301">
        <v>6.8181820213794708E-2</v>
      </c>
      <c r="FV301">
        <v>9.2803031206130981E-2</v>
      </c>
      <c r="FW301">
        <v>0.10037878900766373</v>
      </c>
      <c r="FX301">
        <v>7.386363297700882E-2</v>
      </c>
      <c r="FY301">
        <v>0.10037878900766373</v>
      </c>
      <c r="FZ301">
        <v>7.386363297700882E-2</v>
      </c>
      <c r="GA301">
        <v>7.5757578015327454E-2</v>
      </c>
      <c r="GB301">
        <v>5.8712121099233627E-2</v>
      </c>
      <c r="GC301">
        <v>7.386363297700882E-2</v>
      </c>
      <c r="GD301">
        <v>8.901514858007431E-2</v>
      </c>
      <c r="GE301">
        <v>0.1041666641831398</v>
      </c>
      <c r="GF301">
        <v>7.7651515603065491E-2</v>
      </c>
      <c r="GG301">
        <v>5.4924242198467255E-2</v>
      </c>
      <c r="GH301">
        <v>6.25E-2</v>
      </c>
      <c r="GI301">
        <v>7.5757578015327454E-2</v>
      </c>
      <c r="GJ301">
        <v>8.7121210992336273E-2</v>
      </c>
      <c r="GK301">
        <v>0.1041666641831398</v>
      </c>
      <c r="GL301">
        <v>8.5227273404598236E-2</v>
      </c>
      <c r="GM301">
        <v>7.1969695389270782E-2</v>
      </c>
      <c r="GN301">
        <v>9.6590906381607056E-2</v>
      </c>
      <c r="GO301">
        <v>6.0606062412261963E-2</v>
      </c>
      <c r="GP301">
        <v>8.5227273404598236E-2</v>
      </c>
      <c r="GQ301">
        <v>6.6287875175476074E-2</v>
      </c>
      <c r="GR301">
        <v>9.0909093618392944E-2</v>
      </c>
      <c r="GS301">
        <v>3.9772726595401764E-2</v>
      </c>
      <c r="GT301">
        <v>6.25E-2</v>
      </c>
      <c r="GU301">
        <v>8.3333335816860199E-2</v>
      </c>
      <c r="GV301">
        <v>8.3333335816860199E-2</v>
      </c>
      <c r="GW301">
        <v>7.1969695389270782E-2</v>
      </c>
      <c r="GX301">
        <v>6.25E-2</v>
      </c>
      <c r="GY301">
        <v>7.386363297700882E-2</v>
      </c>
      <c r="GZ301">
        <v>7.5757578015327454E-2</v>
      </c>
      <c r="HA301">
        <v>6.0606062412261963E-2</v>
      </c>
      <c r="HB301">
        <v>7.9545453190803528E-2</v>
      </c>
      <c r="HC301">
        <v>5.1136363297700882E-2</v>
      </c>
      <c r="HD301">
        <v>9.6590906381607056E-2</v>
      </c>
      <c r="HE301">
        <v>5.4924242198467255E-2</v>
      </c>
      <c r="HF301">
        <v>0.11553030461072922</v>
      </c>
      <c r="HG301">
        <v>7.7651515603065491E-2</v>
      </c>
      <c r="HH301">
        <v>7.1969695389270782E-2</v>
      </c>
      <c r="HI301">
        <v>6.6287875175476074E-2</v>
      </c>
      <c r="HJ301">
        <v>4.1666667908430099E-2</v>
      </c>
      <c r="HK301">
        <v>7.386363297700882E-2</v>
      </c>
      <c r="HL301">
        <v>0.13257575035095215</v>
      </c>
      <c r="HM301">
        <v>7.5757578015327454E-2</v>
      </c>
      <c r="HN301">
        <v>0.1041666641831398</v>
      </c>
      <c r="HO301">
        <v>7.9545453190803528E-2</v>
      </c>
      <c r="HP301">
        <v>7.1969695389270782E-2</v>
      </c>
      <c r="HQ301">
        <v>7.1969695389270782E-2</v>
      </c>
      <c r="HR301">
        <v>8.1439390778541565E-2</v>
      </c>
      <c r="HS301">
        <v>7.386363297700882E-2</v>
      </c>
      <c r="HT301">
        <v>9.0909093618392944E-2</v>
      </c>
      <c r="HU301">
        <v>9.6590906381607056E-2</v>
      </c>
      <c r="HV301">
        <v>0.11363636702299118</v>
      </c>
      <c r="HW301">
        <v>6.8181820213794708E-2</v>
      </c>
      <c r="HX301">
        <v>5.4924242198467255E-2</v>
      </c>
      <c r="HY301">
        <v>0.12121212482452393</v>
      </c>
      <c r="HZ301">
        <v>5.3030304610729218E-2</v>
      </c>
      <c r="IA301">
        <v>6.8181820213794708E-2</v>
      </c>
      <c r="IB301">
        <v>9.4696968793869019E-2</v>
      </c>
      <c r="IC301">
        <v>0.10984848439693451</v>
      </c>
      <c r="ID301">
        <v>8.7121210992336273E-2</v>
      </c>
      <c r="IE301">
        <v>7.7651515603065491E-2</v>
      </c>
      <c r="IF301">
        <v>6.6287875175476074E-2</v>
      </c>
      <c r="IG301">
        <v>5.8712121099233627E-2</v>
      </c>
      <c r="IH301">
        <v>5.4924242198467255E-2</v>
      </c>
      <c r="II301">
        <v>7.9545453190803528E-2</v>
      </c>
      <c r="IJ301">
        <v>4.9242425709962845E-2</v>
      </c>
      <c r="IK301">
        <v>8.1439390778541565E-2</v>
      </c>
      <c r="IL301">
        <v>9.2803031206130981E-2</v>
      </c>
      <c r="IM301">
        <v>6.4393937587738037E-2</v>
      </c>
      <c r="IN301">
        <v>6.25E-2</v>
      </c>
      <c r="IO301">
        <v>6.8181820213794708E-2</v>
      </c>
      <c r="IP301">
        <v>7.0075757801532745E-2</v>
      </c>
      <c r="IQ301">
        <v>5.3030304610729218E-2</v>
      </c>
      <c r="IR301">
        <v>7.0075757801532745E-2</v>
      </c>
      <c r="IS301">
        <v>6.4393937587738037E-2</v>
      </c>
      <c r="IT301">
        <v>7.0075757801532745E-2</v>
      </c>
      <c r="IU301">
        <v>6.0606062412261963E-2</v>
      </c>
      <c r="IV301">
        <v>6.0606062412261963E-2</v>
      </c>
      <c r="IW301">
        <v>8.1439390778541565E-2</v>
      </c>
      <c r="IX301">
        <v>6.4393937587738037E-2</v>
      </c>
      <c r="IY301">
        <v>6.8181820213794708E-2</v>
      </c>
      <c r="IZ301">
        <v>6.8181820213794708E-2</v>
      </c>
      <c r="JA301">
        <v>5.4924242198467255E-2</v>
      </c>
      <c r="JB301">
        <v>7.386363297700882E-2</v>
      </c>
      <c r="JC301">
        <v>8.1439390778541565E-2</v>
      </c>
      <c r="JD301">
        <v>7.0075757801532745E-2</v>
      </c>
      <c r="JE301">
        <v>9.848485141992569E-2</v>
      </c>
      <c r="JF301">
        <v>6.0606062412261963E-2</v>
      </c>
      <c r="JG301">
        <v>7.386363297700882E-2</v>
      </c>
      <c r="JH301">
        <v>0.11174242198467255</v>
      </c>
      <c r="JI301">
        <v>0.10227272659540176</v>
      </c>
      <c r="JJ301">
        <v>0.11931817978620529</v>
      </c>
      <c r="JK301">
        <v>6.0606062412261963E-2</v>
      </c>
      <c r="JL301">
        <v>5.681818351149559E-2</v>
      </c>
      <c r="JM301">
        <v>6.25E-2</v>
      </c>
      <c r="JN301">
        <v>7.1969695389270782E-2</v>
      </c>
      <c r="JO301">
        <v>9.6590906381607056E-2</v>
      </c>
      <c r="JP301">
        <v>6.6287875175476074E-2</v>
      </c>
      <c r="JQ301">
        <v>9.2803031206130981E-2</v>
      </c>
      <c r="JR301">
        <v>9.2803031206130981E-2</v>
      </c>
      <c r="JS301">
        <v>5.8712121099233627E-2</v>
      </c>
      <c r="JT301">
        <v>0.13068181276321411</v>
      </c>
      <c r="JU301">
        <v>6.4393937587738037E-2</v>
      </c>
      <c r="JV301">
        <v>8.3333335816860199E-2</v>
      </c>
      <c r="JW301">
        <v>7.9545453190803528E-2</v>
      </c>
      <c r="JX301">
        <v>5.1136363297700882E-2</v>
      </c>
      <c r="JY301">
        <v>6.0606062412261963E-2</v>
      </c>
      <c r="JZ301">
        <v>0.12121212482452393</v>
      </c>
      <c r="KA301">
        <v>9.4696968793869019E-2</v>
      </c>
      <c r="KB301">
        <v>9.6590906381607056E-2</v>
      </c>
      <c r="KC301">
        <v>8.5227273404598236E-2</v>
      </c>
    </row>
    <row r="302" spans="4:292" x14ac:dyDescent="0.25">
      <c r="D302" s="41" t="str" cm="1">
        <f t="array" ref="D302">IF(H302="","",IF(AND(E302&lt;AVERAGE(E301,E303)*($L$19/100),$D$23:D301=""),H302,""))</f>
        <v/>
      </c>
      <c r="E302" s="78">
        <f t="shared" si="5"/>
        <v>3.1025654276566755E-3</v>
      </c>
      <c r="F302" s="79"/>
      <c r="H302">
        <v>280</v>
      </c>
      <c r="I302">
        <v>7.715256542765668E-2</v>
      </c>
      <c r="K302">
        <v>6.5953657031059265E-2</v>
      </c>
      <c r="L302">
        <v>0.11051693558692932</v>
      </c>
      <c r="M302">
        <v>7.6648838818073273E-2</v>
      </c>
      <c r="N302">
        <v>0.135472372174263</v>
      </c>
      <c r="O302">
        <v>5.8823529630899429E-2</v>
      </c>
      <c r="P302">
        <v>9.4474151730537415E-2</v>
      </c>
      <c r="Q302">
        <v>7.3083780705928802E-2</v>
      </c>
      <c r="R302">
        <v>6.9518715143203735E-2</v>
      </c>
      <c r="S302">
        <v>0.10516934096813202</v>
      </c>
      <c r="T302">
        <v>7.130124419927597E-2</v>
      </c>
      <c r="U302">
        <v>6.4171120524406433E-2</v>
      </c>
      <c r="V302">
        <v>5.8823529630899429E-2</v>
      </c>
      <c r="W302">
        <v>8.021390438079834E-2</v>
      </c>
      <c r="X302">
        <v>5.8823529630899429E-2</v>
      </c>
      <c r="Y302">
        <v>7.3083780705928802E-2</v>
      </c>
      <c r="Z302">
        <v>0.11764705926179886</v>
      </c>
      <c r="AA302">
        <v>7.4866309762001038E-2</v>
      </c>
      <c r="AB302">
        <v>0.10516934096813202</v>
      </c>
      <c r="AC302">
        <v>7.4866309762001038E-2</v>
      </c>
      <c r="AD302">
        <v>7.130124419927597E-2</v>
      </c>
      <c r="AE302">
        <v>8.021390438079834E-2</v>
      </c>
      <c r="AF302">
        <v>6.5953657031059265E-2</v>
      </c>
      <c r="AG302">
        <v>5.5258467793464661E-2</v>
      </c>
      <c r="AH302">
        <v>7.6648838818073273E-2</v>
      </c>
      <c r="AI302">
        <v>9.4474151730537415E-2</v>
      </c>
      <c r="AJ302">
        <v>5.7040996849536896E-2</v>
      </c>
      <c r="AK302">
        <v>0.10516934096813202</v>
      </c>
      <c r="AL302">
        <v>7.3083780705928802E-2</v>
      </c>
      <c r="AM302">
        <v>6.77361860871315E-2</v>
      </c>
      <c r="AN302">
        <v>0.13190731406211853</v>
      </c>
      <c r="AO302">
        <v>8.1996433436870575E-2</v>
      </c>
      <c r="AP302">
        <v>7.130124419927597E-2</v>
      </c>
      <c r="AQ302">
        <v>7.8431375324726105E-2</v>
      </c>
      <c r="AR302">
        <v>6.5953657031059265E-2</v>
      </c>
      <c r="AS302">
        <v>8.9126557111740112E-2</v>
      </c>
      <c r="AT302">
        <v>6.0606062412261963E-2</v>
      </c>
      <c r="AU302">
        <v>8.9126557111740112E-2</v>
      </c>
      <c r="AV302">
        <v>8.9126557111740112E-2</v>
      </c>
      <c r="AW302">
        <v>6.9518715143203735E-2</v>
      </c>
      <c r="AX302">
        <v>7.8431375324726105E-2</v>
      </c>
      <c r="AY302">
        <v>7.6648838818073273E-2</v>
      </c>
      <c r="AZ302">
        <v>7.130124419927597E-2</v>
      </c>
      <c r="BA302">
        <v>6.5953657031059265E-2</v>
      </c>
      <c r="BB302">
        <v>5.7040996849536896E-2</v>
      </c>
      <c r="BC302">
        <v>8.9126557111740112E-2</v>
      </c>
      <c r="BD302">
        <v>7.6648838818073273E-2</v>
      </c>
      <c r="BE302">
        <v>9.0909093618392944E-2</v>
      </c>
      <c r="BF302">
        <v>0.10160427540540695</v>
      </c>
      <c r="BG302">
        <v>8.5561498999595642E-2</v>
      </c>
      <c r="BH302">
        <v>6.4171120524406433E-2</v>
      </c>
      <c r="BI302">
        <v>6.5953657031059265E-2</v>
      </c>
      <c r="BJ302">
        <v>0.11408199369907379</v>
      </c>
      <c r="BK302">
        <v>8.1996433436870575E-2</v>
      </c>
      <c r="BL302">
        <v>9.4474151730537415E-2</v>
      </c>
      <c r="BM302">
        <v>6.2388591468334198E-2</v>
      </c>
      <c r="BN302">
        <v>7.130124419927597E-2</v>
      </c>
      <c r="BO302">
        <v>7.130124419927597E-2</v>
      </c>
      <c r="BP302">
        <v>8.021390438079834E-2</v>
      </c>
      <c r="BQ302">
        <v>5.7040996849536896E-2</v>
      </c>
      <c r="BR302">
        <v>7.3083780705928802E-2</v>
      </c>
      <c r="BS302">
        <v>6.9518715143203735E-2</v>
      </c>
      <c r="BT302">
        <v>0.10695187002420425</v>
      </c>
      <c r="BU302">
        <v>6.2388591468334198E-2</v>
      </c>
      <c r="BV302">
        <v>9.0909093618392944E-2</v>
      </c>
      <c r="BW302">
        <v>9.8039217293262482E-2</v>
      </c>
      <c r="BX302">
        <v>6.9518715143203735E-2</v>
      </c>
      <c r="BY302">
        <v>9.9821746349334717E-2</v>
      </c>
      <c r="BZ302">
        <v>6.5953657031059265E-2</v>
      </c>
      <c r="CA302">
        <v>9.9821746349334717E-2</v>
      </c>
      <c r="CB302">
        <v>9.4474151730537415E-2</v>
      </c>
      <c r="CC302">
        <v>7.1969695389270782E-2</v>
      </c>
      <c r="CD302">
        <v>8.7121210992336273E-2</v>
      </c>
      <c r="CE302">
        <v>9.4696968793869019E-2</v>
      </c>
      <c r="CF302">
        <v>7.7651515603065491E-2</v>
      </c>
      <c r="CG302">
        <v>7.1969695389270782E-2</v>
      </c>
      <c r="CH302">
        <v>0.11931817978620529</v>
      </c>
      <c r="CI302">
        <v>8.3333335816860199E-2</v>
      </c>
      <c r="CJ302">
        <v>0.16287878155708313</v>
      </c>
      <c r="CK302">
        <v>7.1969695389270782E-2</v>
      </c>
      <c r="CL302">
        <v>7.1969695389270782E-2</v>
      </c>
      <c r="CM302">
        <v>8.5227273404598236E-2</v>
      </c>
      <c r="CN302">
        <v>6.0606062412261963E-2</v>
      </c>
      <c r="CO302">
        <v>6.25E-2</v>
      </c>
      <c r="CP302">
        <v>5.4924242198467255E-2</v>
      </c>
      <c r="CQ302">
        <v>5.4924242198467255E-2</v>
      </c>
      <c r="CR302">
        <v>6.6287875175476074E-2</v>
      </c>
      <c r="CS302">
        <v>7.1969695389270782E-2</v>
      </c>
      <c r="CT302">
        <v>4.9242425709962845E-2</v>
      </c>
      <c r="CU302">
        <v>8.1439390778541565E-2</v>
      </c>
      <c r="CV302">
        <v>6.4393937587738037E-2</v>
      </c>
      <c r="CW302">
        <v>7.386363297700882E-2</v>
      </c>
      <c r="CX302">
        <v>7.9545453190803528E-2</v>
      </c>
      <c r="CY302">
        <v>0.10227272659540176</v>
      </c>
      <c r="CZ302">
        <v>7.0075757801532745E-2</v>
      </c>
      <c r="DA302">
        <v>7.386363297700882E-2</v>
      </c>
      <c r="DB302">
        <v>8.3333335816860199E-2</v>
      </c>
      <c r="DC302">
        <v>6.0606062412261963E-2</v>
      </c>
      <c r="DD302">
        <v>6.0606062412261963E-2</v>
      </c>
      <c r="DE302">
        <v>9.2803031206130981E-2</v>
      </c>
      <c r="DF302">
        <v>5.8712121099233627E-2</v>
      </c>
      <c r="DG302">
        <v>7.9545453190803528E-2</v>
      </c>
      <c r="DH302">
        <v>8.3333335816860199E-2</v>
      </c>
      <c r="DI302">
        <v>9.848485141992569E-2</v>
      </c>
      <c r="DJ302">
        <v>8.5227273404598236E-2</v>
      </c>
      <c r="DK302">
        <v>6.6287875175476074E-2</v>
      </c>
      <c r="DL302">
        <v>6.4393937587738037E-2</v>
      </c>
      <c r="DM302">
        <v>8.5227273404598236E-2</v>
      </c>
      <c r="DN302">
        <v>7.9545453190803528E-2</v>
      </c>
      <c r="DO302">
        <v>4.9242425709962845E-2</v>
      </c>
      <c r="DP302">
        <v>8.1439390778541565E-2</v>
      </c>
      <c r="DQ302">
        <v>7.0075757801532745E-2</v>
      </c>
      <c r="DR302">
        <v>6.0606062412261963E-2</v>
      </c>
      <c r="DS302">
        <v>5.3030304610729218E-2</v>
      </c>
      <c r="DT302">
        <v>7.386363297700882E-2</v>
      </c>
      <c r="DU302">
        <v>8.3333335816860199E-2</v>
      </c>
      <c r="DV302">
        <v>6.8181820213794708E-2</v>
      </c>
      <c r="DW302">
        <v>9.0909093618392944E-2</v>
      </c>
      <c r="DX302">
        <v>7.1969695389270782E-2</v>
      </c>
      <c r="DY302">
        <v>7.0075757801532745E-2</v>
      </c>
      <c r="DZ302">
        <v>9.6590906381607056E-2</v>
      </c>
      <c r="EA302">
        <v>5.681818351149559E-2</v>
      </c>
      <c r="EB302">
        <v>0.10227272659540176</v>
      </c>
      <c r="EC302">
        <v>8.3333335816860199E-2</v>
      </c>
      <c r="ED302">
        <v>6.25E-2</v>
      </c>
      <c r="EE302">
        <v>6.0606062412261963E-2</v>
      </c>
      <c r="EF302">
        <v>8.5227273404598236E-2</v>
      </c>
      <c r="EG302">
        <v>8.3333335816860199E-2</v>
      </c>
      <c r="EH302">
        <v>4.9242425709962845E-2</v>
      </c>
      <c r="EI302">
        <v>8.3333335816860199E-2</v>
      </c>
      <c r="EJ302">
        <v>7.7651515603065491E-2</v>
      </c>
      <c r="EK302">
        <v>6.8181820213794708E-2</v>
      </c>
      <c r="EL302">
        <v>5.8712121099233627E-2</v>
      </c>
      <c r="EM302">
        <v>0.12121212482452393</v>
      </c>
      <c r="EN302">
        <v>6.6287875175476074E-2</v>
      </c>
      <c r="EO302">
        <v>6.8181820213794708E-2</v>
      </c>
      <c r="EP302">
        <v>0.11174242198467255</v>
      </c>
      <c r="EQ302">
        <v>8.3333335816860199E-2</v>
      </c>
      <c r="ER302">
        <v>7.7651515603065491E-2</v>
      </c>
      <c r="ES302">
        <v>9.848485141992569E-2</v>
      </c>
      <c r="ET302">
        <v>5.8712121099233627E-2</v>
      </c>
      <c r="EU302">
        <v>7.9545453190803528E-2</v>
      </c>
      <c r="EV302">
        <v>7.7651515603065491E-2</v>
      </c>
      <c r="EW302">
        <v>4.7348484396934509E-2</v>
      </c>
      <c r="EX302">
        <v>5.3030304610729218E-2</v>
      </c>
      <c r="EY302">
        <v>9.2803031206130981E-2</v>
      </c>
      <c r="EZ302">
        <v>5.681818351149559E-2</v>
      </c>
      <c r="FA302">
        <v>9.0909093618392944E-2</v>
      </c>
      <c r="FB302">
        <v>7.0075757801532745E-2</v>
      </c>
      <c r="FC302">
        <v>8.901514858007431E-2</v>
      </c>
      <c r="FD302">
        <v>6.8181820213794708E-2</v>
      </c>
      <c r="FE302">
        <v>0.11363636702299118</v>
      </c>
      <c r="FF302">
        <v>8.3333335816860199E-2</v>
      </c>
      <c r="FG302">
        <v>7.1969695389270782E-2</v>
      </c>
      <c r="FH302">
        <v>5.8712121099233627E-2</v>
      </c>
      <c r="FI302">
        <v>7.9545453190803528E-2</v>
      </c>
      <c r="FJ302">
        <v>5.3030304610729218E-2</v>
      </c>
      <c r="FK302">
        <v>8.901514858007431E-2</v>
      </c>
      <c r="FL302">
        <v>5.3030304610729218E-2</v>
      </c>
      <c r="FM302">
        <v>8.5227273404598236E-2</v>
      </c>
      <c r="FN302">
        <v>6.0606062412261963E-2</v>
      </c>
      <c r="FO302">
        <v>8.5227273404598236E-2</v>
      </c>
      <c r="FP302">
        <v>9.0909093618392944E-2</v>
      </c>
      <c r="FQ302">
        <v>6.0606062412261963E-2</v>
      </c>
      <c r="FR302">
        <v>6.8181820213794708E-2</v>
      </c>
      <c r="FS302">
        <v>0.10227272659540176</v>
      </c>
      <c r="FT302">
        <v>6.0606062412261963E-2</v>
      </c>
      <c r="FU302">
        <v>0.125</v>
      </c>
      <c r="FV302">
        <v>6.0606062412261963E-2</v>
      </c>
      <c r="FW302">
        <v>6.4393937587738037E-2</v>
      </c>
      <c r="FX302">
        <v>7.386363297700882E-2</v>
      </c>
      <c r="FY302">
        <v>9.2803031206130981E-2</v>
      </c>
      <c r="FZ302">
        <v>5.4924242198467255E-2</v>
      </c>
      <c r="GA302">
        <v>0.10606060922145844</v>
      </c>
      <c r="GB302">
        <v>6.8181820213794708E-2</v>
      </c>
      <c r="GC302">
        <v>5.4924242198467255E-2</v>
      </c>
      <c r="GD302">
        <v>0.11174242198467255</v>
      </c>
      <c r="GE302">
        <v>6.8181820213794708E-2</v>
      </c>
      <c r="GF302">
        <v>6.6287875175476074E-2</v>
      </c>
      <c r="GG302">
        <v>8.3333335816860199E-2</v>
      </c>
      <c r="GH302">
        <v>8.3333335816860199E-2</v>
      </c>
      <c r="GI302">
        <v>4.3560605496168137E-2</v>
      </c>
      <c r="GJ302">
        <v>9.4696968793869019E-2</v>
      </c>
      <c r="GK302">
        <v>8.7121210992336273E-2</v>
      </c>
      <c r="GL302">
        <v>0.10227272659540176</v>
      </c>
      <c r="GM302">
        <v>6.25E-2</v>
      </c>
      <c r="GN302">
        <v>7.386363297700882E-2</v>
      </c>
      <c r="GO302">
        <v>7.0075757801532745E-2</v>
      </c>
      <c r="GP302">
        <v>7.0075757801532745E-2</v>
      </c>
      <c r="GQ302">
        <v>6.6287875175476074E-2</v>
      </c>
      <c r="GR302">
        <v>0.10037878900766373</v>
      </c>
      <c r="GS302">
        <v>0.10606060922145844</v>
      </c>
      <c r="GT302">
        <v>6.8181820213794708E-2</v>
      </c>
      <c r="GU302">
        <v>5.681818351149559E-2</v>
      </c>
      <c r="GV302">
        <v>7.9545453190803528E-2</v>
      </c>
      <c r="GW302">
        <v>5.681818351149559E-2</v>
      </c>
      <c r="GX302">
        <v>8.1439390778541565E-2</v>
      </c>
      <c r="GY302">
        <v>9.848485141992569E-2</v>
      </c>
      <c r="GZ302">
        <v>5.1136363297700882E-2</v>
      </c>
      <c r="HA302">
        <v>6.6287875175476074E-2</v>
      </c>
      <c r="HB302">
        <v>7.1969695389270782E-2</v>
      </c>
      <c r="HC302">
        <v>5.681818351149559E-2</v>
      </c>
      <c r="HD302">
        <v>8.7121210992336273E-2</v>
      </c>
      <c r="HE302">
        <v>6.4393937587738037E-2</v>
      </c>
      <c r="HF302">
        <v>6.0606062412261963E-2</v>
      </c>
      <c r="HG302">
        <v>0.1041666641831398</v>
      </c>
      <c r="HH302">
        <v>9.848485141992569E-2</v>
      </c>
      <c r="HI302">
        <v>6.4393937587738037E-2</v>
      </c>
      <c r="HJ302">
        <v>9.4696968793869019E-2</v>
      </c>
      <c r="HK302">
        <v>8.5227273404598236E-2</v>
      </c>
      <c r="HL302">
        <v>8.7121210992336273E-2</v>
      </c>
      <c r="HM302">
        <v>6.0606062412261963E-2</v>
      </c>
      <c r="HN302">
        <v>7.7651515603065491E-2</v>
      </c>
      <c r="HO302">
        <v>7.386363297700882E-2</v>
      </c>
      <c r="HP302">
        <v>6.6287875175476074E-2</v>
      </c>
      <c r="HQ302">
        <v>8.7121210992336273E-2</v>
      </c>
      <c r="HR302">
        <v>8.1439390778541565E-2</v>
      </c>
      <c r="HS302">
        <v>6.4393937587738037E-2</v>
      </c>
      <c r="HT302">
        <v>4.9242425709962845E-2</v>
      </c>
      <c r="HU302">
        <v>7.9545453190803528E-2</v>
      </c>
      <c r="HV302">
        <v>6.25E-2</v>
      </c>
      <c r="HW302">
        <v>8.7121210992336273E-2</v>
      </c>
      <c r="HX302">
        <v>5.8712121099233627E-2</v>
      </c>
      <c r="HY302">
        <v>9.2803031206130981E-2</v>
      </c>
      <c r="HZ302">
        <v>7.9545453190803528E-2</v>
      </c>
      <c r="IA302">
        <v>6.4393937587738037E-2</v>
      </c>
      <c r="IB302">
        <v>4.5454546809196472E-2</v>
      </c>
      <c r="IC302">
        <v>8.901514858007431E-2</v>
      </c>
      <c r="ID302">
        <v>4.5454546809196472E-2</v>
      </c>
      <c r="IE302">
        <v>6.4393937587738037E-2</v>
      </c>
      <c r="IF302">
        <v>8.7121210992336273E-2</v>
      </c>
      <c r="IG302">
        <v>7.7651515603065491E-2</v>
      </c>
      <c r="IH302">
        <v>5.3030304610729218E-2</v>
      </c>
      <c r="II302">
        <v>5.8712121099233627E-2</v>
      </c>
      <c r="IJ302">
        <v>7.7651515603065491E-2</v>
      </c>
      <c r="IK302">
        <v>6.4393937587738037E-2</v>
      </c>
      <c r="IL302">
        <v>7.1969695389270782E-2</v>
      </c>
      <c r="IM302">
        <v>0.1041666641831398</v>
      </c>
      <c r="IN302">
        <v>6.6287875175476074E-2</v>
      </c>
      <c r="IO302">
        <v>8.3333335816860199E-2</v>
      </c>
      <c r="IP302">
        <v>7.9545453190803528E-2</v>
      </c>
      <c r="IQ302">
        <v>0.11174242198467255</v>
      </c>
      <c r="IR302">
        <v>7.1969695389270782E-2</v>
      </c>
      <c r="IS302">
        <v>6.4393937587738037E-2</v>
      </c>
      <c r="IT302">
        <v>9.0909093618392944E-2</v>
      </c>
      <c r="IU302">
        <v>7.5757578015327454E-2</v>
      </c>
      <c r="IV302">
        <v>5.1136363297700882E-2</v>
      </c>
      <c r="IW302">
        <v>8.5227273404598236E-2</v>
      </c>
      <c r="IX302">
        <v>6.0606062412261963E-2</v>
      </c>
      <c r="IY302">
        <v>7.1969695389270782E-2</v>
      </c>
      <c r="IZ302">
        <v>8.5227273404598236E-2</v>
      </c>
      <c r="JA302">
        <v>8.7121210992336273E-2</v>
      </c>
      <c r="JB302">
        <v>7.5757578015327454E-2</v>
      </c>
      <c r="JC302">
        <v>6.0606062412261963E-2</v>
      </c>
      <c r="JD302">
        <v>7.9545453190803528E-2</v>
      </c>
      <c r="JE302">
        <v>8.5227273404598236E-2</v>
      </c>
      <c r="JF302">
        <v>7.0075757801532745E-2</v>
      </c>
      <c r="JG302">
        <v>4.1666667908430099E-2</v>
      </c>
      <c r="JH302">
        <v>7.5757578015327454E-2</v>
      </c>
      <c r="JI302">
        <v>7.386363297700882E-2</v>
      </c>
      <c r="JJ302">
        <v>7.386363297700882E-2</v>
      </c>
      <c r="JK302">
        <v>8.901514858007431E-2</v>
      </c>
      <c r="JL302">
        <v>7.1969695389270782E-2</v>
      </c>
      <c r="JM302">
        <v>7.1969695389270782E-2</v>
      </c>
      <c r="JN302">
        <v>6.8181820213794708E-2</v>
      </c>
      <c r="JO302">
        <v>0.125</v>
      </c>
      <c r="JP302">
        <v>6.6287875175476074E-2</v>
      </c>
      <c r="JQ302">
        <v>0.12878787517547607</v>
      </c>
      <c r="JR302">
        <v>7.5757578015327454E-2</v>
      </c>
      <c r="JS302">
        <v>5.3030304610729218E-2</v>
      </c>
      <c r="JT302">
        <v>5.3030304610729218E-2</v>
      </c>
      <c r="JU302">
        <v>6.6287875175476074E-2</v>
      </c>
      <c r="JV302">
        <v>8.3333335816860199E-2</v>
      </c>
      <c r="JW302">
        <v>5.681818351149559E-2</v>
      </c>
      <c r="JX302">
        <v>8.3333335816860199E-2</v>
      </c>
      <c r="JY302">
        <v>6.6287875175476074E-2</v>
      </c>
      <c r="JZ302">
        <v>0.10037878900766373</v>
      </c>
      <c r="KA302">
        <v>8.1439390778541565E-2</v>
      </c>
      <c r="KB302">
        <v>9.2803031206130981E-2</v>
      </c>
      <c r="KC302">
        <v>7.9545453190803528E-2</v>
      </c>
      <c r="KD302">
        <v>6.0606062412261963E-2</v>
      </c>
    </row>
    <row r="303" spans="4:292" x14ac:dyDescent="0.25">
      <c r="D303" s="41" t="str" cm="1">
        <f t="array" ref="D303">IF(H303="","",IF(AND(E303&lt;AVERAGE(E302,E304)*($L$19/100),$D$23:D302=""),H303,""))</f>
        <v/>
      </c>
      <c r="E303" s="78">
        <f t="shared" si="5"/>
        <v>3.7188703609106755E-3</v>
      </c>
      <c r="F303" s="79"/>
      <c r="H303">
        <v>281</v>
      </c>
      <c r="I303">
        <v>7.776887036091068E-2</v>
      </c>
      <c r="K303">
        <v>9.8039217293262482E-2</v>
      </c>
      <c r="L303">
        <v>9.2691622674465179E-2</v>
      </c>
      <c r="M303">
        <v>8.5561498999595642E-2</v>
      </c>
      <c r="N303">
        <v>7.8431375324726105E-2</v>
      </c>
      <c r="O303">
        <v>6.4171120524406433E-2</v>
      </c>
      <c r="P303">
        <v>6.5953657031059265E-2</v>
      </c>
      <c r="Q303">
        <v>8.021390438079834E-2</v>
      </c>
      <c r="R303">
        <v>9.625668078660965E-2</v>
      </c>
      <c r="S303">
        <v>9.4474151730537415E-2</v>
      </c>
      <c r="T303">
        <v>6.0606062412261963E-2</v>
      </c>
      <c r="U303">
        <v>8.021390438079834E-2</v>
      </c>
      <c r="V303">
        <v>0.10873440653085709</v>
      </c>
      <c r="W303">
        <v>9.2691622674465179E-2</v>
      </c>
      <c r="X303">
        <v>7.6648838818073273E-2</v>
      </c>
      <c r="Y303">
        <v>8.021390438079834E-2</v>
      </c>
      <c r="Z303">
        <v>9.0909093618392944E-2</v>
      </c>
      <c r="AA303">
        <v>7.3083780705928802E-2</v>
      </c>
      <c r="AB303">
        <v>9.4474151730537415E-2</v>
      </c>
      <c r="AC303">
        <v>7.3083780705928802E-2</v>
      </c>
      <c r="AD303">
        <v>6.2388591468334198E-2</v>
      </c>
      <c r="AE303">
        <v>6.4171120524406433E-2</v>
      </c>
      <c r="AF303">
        <v>8.9126557111740112E-2</v>
      </c>
      <c r="AG303">
        <v>4.0998216718435287E-2</v>
      </c>
      <c r="AH303">
        <v>6.77361860871315E-2</v>
      </c>
      <c r="AI303">
        <v>8.7344028055667877E-2</v>
      </c>
      <c r="AJ303">
        <v>5.3475935012102127E-2</v>
      </c>
      <c r="AK303">
        <v>9.0909093618392944E-2</v>
      </c>
      <c r="AL303">
        <v>8.377896249294281E-2</v>
      </c>
      <c r="AM303">
        <v>8.9126557111740112E-2</v>
      </c>
      <c r="AN303">
        <v>0.11051693558692932</v>
      </c>
      <c r="AO303">
        <v>5.8823529630899429E-2</v>
      </c>
      <c r="AP303">
        <v>5.7040996849536896E-2</v>
      </c>
      <c r="AQ303">
        <v>8.5561498999595642E-2</v>
      </c>
      <c r="AR303">
        <v>7.130124419927597E-2</v>
      </c>
      <c r="AS303">
        <v>7.4866309762001038E-2</v>
      </c>
      <c r="AT303">
        <v>8.377896249294281E-2</v>
      </c>
      <c r="AU303">
        <v>6.9518715143203735E-2</v>
      </c>
      <c r="AV303">
        <v>5.4924242198467255E-2</v>
      </c>
      <c r="AW303">
        <v>7.1969695389270782E-2</v>
      </c>
      <c r="AX303">
        <v>5.681818351149559E-2</v>
      </c>
      <c r="AY303">
        <v>9.2803031206130981E-2</v>
      </c>
      <c r="AZ303">
        <v>8.5227273404598236E-2</v>
      </c>
      <c r="BA303">
        <v>7.0075757801532745E-2</v>
      </c>
      <c r="BB303">
        <v>5.1136363297700882E-2</v>
      </c>
      <c r="BC303">
        <v>6.6287875175476074E-2</v>
      </c>
      <c r="BD303">
        <v>8.5227273404598236E-2</v>
      </c>
      <c r="BE303">
        <v>6.25E-2</v>
      </c>
      <c r="BF303">
        <v>8.3333335816860199E-2</v>
      </c>
      <c r="BG303">
        <v>9.848485141992569E-2</v>
      </c>
      <c r="BH303">
        <v>5.8712121099233627E-2</v>
      </c>
      <c r="BI303">
        <v>7.9545453190803528E-2</v>
      </c>
      <c r="BJ303">
        <v>7.386363297700882E-2</v>
      </c>
      <c r="BK303">
        <v>6.4393937587738037E-2</v>
      </c>
      <c r="BL303">
        <v>5.1136363297700882E-2</v>
      </c>
      <c r="BM303">
        <v>0.11174242198467255</v>
      </c>
      <c r="BN303">
        <v>0.14962121844291687</v>
      </c>
      <c r="BO303">
        <v>5.8712121099233627E-2</v>
      </c>
      <c r="BP303">
        <v>9.4696968793869019E-2</v>
      </c>
      <c r="BQ303">
        <v>0.13636364042758942</v>
      </c>
      <c r="BR303">
        <v>6.0606062412261963E-2</v>
      </c>
      <c r="BS303">
        <v>7.1969695389270782E-2</v>
      </c>
      <c r="BT303">
        <v>6.6287875175476074E-2</v>
      </c>
      <c r="BU303">
        <v>7.0075757801532745E-2</v>
      </c>
      <c r="BV303">
        <v>8.3333335816860199E-2</v>
      </c>
      <c r="BW303">
        <v>6.6287875175476074E-2</v>
      </c>
      <c r="BX303">
        <v>7.9545453190803528E-2</v>
      </c>
      <c r="BY303">
        <v>8.7121210992336273E-2</v>
      </c>
      <c r="BZ303">
        <v>7.386363297700882E-2</v>
      </c>
      <c r="CA303">
        <v>6.0606062412261963E-2</v>
      </c>
      <c r="CB303">
        <v>0.10606060922145844</v>
      </c>
      <c r="CC303">
        <v>7.1969695389270782E-2</v>
      </c>
      <c r="CD303">
        <v>9.0909093618392944E-2</v>
      </c>
      <c r="CE303">
        <v>6.0606062412261963E-2</v>
      </c>
      <c r="CF303">
        <v>7.5757578015327454E-2</v>
      </c>
      <c r="CG303">
        <v>0.11553030461072922</v>
      </c>
      <c r="CH303">
        <v>0.10795454680919647</v>
      </c>
      <c r="CI303">
        <v>9.4696968793869019E-2</v>
      </c>
      <c r="CJ303">
        <v>7.386363297700882E-2</v>
      </c>
      <c r="CK303">
        <v>5.681818351149559E-2</v>
      </c>
      <c r="CL303">
        <v>6.6287875175476074E-2</v>
      </c>
      <c r="CM303">
        <v>7.5757578015327454E-2</v>
      </c>
      <c r="CN303">
        <v>6.6287875175476074E-2</v>
      </c>
      <c r="CO303">
        <v>5.3030304610729218E-2</v>
      </c>
      <c r="CP303">
        <v>7.1969695389270782E-2</v>
      </c>
      <c r="CQ303">
        <v>8.5227273404598236E-2</v>
      </c>
      <c r="CR303">
        <v>5.681818351149559E-2</v>
      </c>
      <c r="CS303">
        <v>8.7121210992336273E-2</v>
      </c>
      <c r="CT303">
        <v>7.386363297700882E-2</v>
      </c>
      <c r="CU303">
        <v>7.1969695389270782E-2</v>
      </c>
      <c r="CV303">
        <v>8.901514858007431E-2</v>
      </c>
      <c r="CW303">
        <v>6.4393937587738037E-2</v>
      </c>
      <c r="CX303">
        <v>5.8712121099233627E-2</v>
      </c>
      <c r="CY303">
        <v>8.7121210992336273E-2</v>
      </c>
      <c r="CZ303">
        <v>4.9242425709962845E-2</v>
      </c>
      <c r="DA303">
        <v>6.6287875175476074E-2</v>
      </c>
      <c r="DB303">
        <v>0.13257575035095215</v>
      </c>
      <c r="DC303">
        <v>7.7651515603065491E-2</v>
      </c>
      <c r="DD303">
        <v>7.9545453190803528E-2</v>
      </c>
      <c r="DE303">
        <v>8.3333335816860199E-2</v>
      </c>
      <c r="DF303">
        <v>5.681818351149559E-2</v>
      </c>
      <c r="DG303">
        <v>4.9242425709962845E-2</v>
      </c>
      <c r="DH303">
        <v>8.3333335816860199E-2</v>
      </c>
      <c r="DI303">
        <v>6.6287875175476074E-2</v>
      </c>
      <c r="DJ303">
        <v>8.5227273404598236E-2</v>
      </c>
      <c r="DK303">
        <v>4.9242425709962845E-2</v>
      </c>
      <c r="DL303">
        <v>8.1439390778541565E-2</v>
      </c>
      <c r="DM303">
        <v>8.3333335816860199E-2</v>
      </c>
      <c r="DN303">
        <v>6.25E-2</v>
      </c>
      <c r="DO303">
        <v>8.1439390778541565E-2</v>
      </c>
      <c r="DP303">
        <v>9.6590906381607056E-2</v>
      </c>
      <c r="DQ303">
        <v>5.8712121099233627E-2</v>
      </c>
      <c r="DR303">
        <v>9.0909093618392944E-2</v>
      </c>
      <c r="DS303">
        <v>9.848485141992569E-2</v>
      </c>
      <c r="DT303">
        <v>9.2803031206130981E-2</v>
      </c>
      <c r="DU303">
        <v>6.6287875175476074E-2</v>
      </c>
      <c r="DV303">
        <v>9.848485141992569E-2</v>
      </c>
      <c r="DW303">
        <v>5.681818351149559E-2</v>
      </c>
      <c r="DX303">
        <v>8.1439390778541565E-2</v>
      </c>
      <c r="DY303">
        <v>0.10227272659540176</v>
      </c>
      <c r="DZ303">
        <v>6.4393937587738037E-2</v>
      </c>
      <c r="EA303">
        <v>6.4393937587738037E-2</v>
      </c>
      <c r="EB303">
        <v>8.3333335816860199E-2</v>
      </c>
      <c r="EC303">
        <v>7.386363297700882E-2</v>
      </c>
      <c r="ED303">
        <v>0.11931817978620529</v>
      </c>
      <c r="EE303">
        <v>6.25E-2</v>
      </c>
      <c r="EF303">
        <v>9.6590906381607056E-2</v>
      </c>
      <c r="EG303">
        <v>5.4924242198467255E-2</v>
      </c>
      <c r="EH303">
        <v>8.7121210992336273E-2</v>
      </c>
      <c r="EI303">
        <v>5.4924242198467255E-2</v>
      </c>
      <c r="EJ303">
        <v>8.901514858007431E-2</v>
      </c>
      <c r="EK303">
        <v>8.7121210992336273E-2</v>
      </c>
      <c r="EL303">
        <v>6.0606062412261963E-2</v>
      </c>
      <c r="EM303">
        <v>0.10984848439693451</v>
      </c>
      <c r="EN303">
        <v>8.3333335816860199E-2</v>
      </c>
      <c r="EO303">
        <v>6.25E-2</v>
      </c>
      <c r="EP303">
        <v>9.848485141992569E-2</v>
      </c>
      <c r="EQ303">
        <v>5.1136363297700882E-2</v>
      </c>
      <c r="ER303">
        <v>7.5757578015327454E-2</v>
      </c>
      <c r="ES303">
        <v>6.0606062412261963E-2</v>
      </c>
      <c r="ET303">
        <v>0.10037878900766373</v>
      </c>
      <c r="EU303">
        <v>0.10795454680919647</v>
      </c>
      <c r="EV303">
        <v>8.901514858007431E-2</v>
      </c>
      <c r="EW303">
        <v>6.25E-2</v>
      </c>
      <c r="EX303">
        <v>6.6287875175476074E-2</v>
      </c>
      <c r="EY303">
        <v>5.3030304610729218E-2</v>
      </c>
      <c r="EZ303">
        <v>6.8181820213794708E-2</v>
      </c>
      <c r="FA303">
        <v>5.1136363297700882E-2</v>
      </c>
      <c r="FB303">
        <v>0.11363636702299118</v>
      </c>
      <c r="FC303">
        <v>7.5757578015327454E-2</v>
      </c>
      <c r="FD303">
        <v>6.4393937587738037E-2</v>
      </c>
      <c r="FE303">
        <v>6.4393937587738037E-2</v>
      </c>
      <c r="FF303">
        <v>8.1439390778541565E-2</v>
      </c>
      <c r="FG303">
        <v>6.8181820213794708E-2</v>
      </c>
      <c r="FH303">
        <v>0.11174242198467255</v>
      </c>
      <c r="FI303">
        <v>4.7348484396934509E-2</v>
      </c>
      <c r="FJ303">
        <v>0.10795454680919647</v>
      </c>
      <c r="FK303">
        <v>5.681818351149559E-2</v>
      </c>
      <c r="FL303">
        <v>6.25E-2</v>
      </c>
      <c r="FM303">
        <v>8.1439390778541565E-2</v>
      </c>
      <c r="FN303">
        <v>0.10606060922145844</v>
      </c>
      <c r="FO303">
        <v>0.10606060922145844</v>
      </c>
      <c r="FP303">
        <v>7.386363297700882E-2</v>
      </c>
      <c r="FQ303">
        <v>0.14962121844291687</v>
      </c>
      <c r="FR303">
        <v>7.7651515603065491E-2</v>
      </c>
      <c r="FS303">
        <v>6.8181820213794708E-2</v>
      </c>
      <c r="FT303">
        <v>7.0075757801532745E-2</v>
      </c>
      <c r="FU303">
        <v>7.5757578015327454E-2</v>
      </c>
      <c r="FV303">
        <v>7.7651515603065491E-2</v>
      </c>
      <c r="FW303">
        <v>6.25E-2</v>
      </c>
      <c r="FX303">
        <v>7.5757578015327454E-2</v>
      </c>
      <c r="FY303">
        <v>0.10037878900766373</v>
      </c>
      <c r="FZ303">
        <v>8.1439390778541565E-2</v>
      </c>
      <c r="GA303">
        <v>6.6287875175476074E-2</v>
      </c>
      <c r="GB303">
        <v>5.681818351149559E-2</v>
      </c>
      <c r="GC303">
        <v>9.4696968793869019E-2</v>
      </c>
      <c r="GD303">
        <v>4.1666667908430099E-2</v>
      </c>
      <c r="GE303">
        <v>7.7651515603065491E-2</v>
      </c>
      <c r="GF303">
        <v>7.7651515603065491E-2</v>
      </c>
      <c r="GG303">
        <v>9.2803031206130981E-2</v>
      </c>
      <c r="GH303">
        <v>7.1969695389270782E-2</v>
      </c>
      <c r="GI303">
        <v>7.7651515603065491E-2</v>
      </c>
      <c r="GJ303">
        <v>5.8712121099233627E-2</v>
      </c>
      <c r="GK303">
        <v>6.8181820213794708E-2</v>
      </c>
      <c r="GL303">
        <v>7.7651515603065491E-2</v>
      </c>
      <c r="GM303">
        <v>0.10795454680919647</v>
      </c>
      <c r="GN303">
        <v>8.7121210992336273E-2</v>
      </c>
      <c r="GO303">
        <v>6.4393937587738037E-2</v>
      </c>
      <c r="GP303">
        <v>8.1439390778541565E-2</v>
      </c>
      <c r="GQ303">
        <v>6.4393937587738037E-2</v>
      </c>
      <c r="GR303">
        <v>4.7348484396934509E-2</v>
      </c>
      <c r="GS303">
        <v>6.0606062412261963E-2</v>
      </c>
      <c r="GT303">
        <v>7.0075757801532745E-2</v>
      </c>
      <c r="GU303">
        <v>9.6590906381607056E-2</v>
      </c>
      <c r="GV303">
        <v>5.681818351149559E-2</v>
      </c>
      <c r="GW303">
        <v>7.0075757801532745E-2</v>
      </c>
      <c r="GX303">
        <v>9.0909093618392944E-2</v>
      </c>
      <c r="GY303">
        <v>7.5757578015327454E-2</v>
      </c>
      <c r="GZ303">
        <v>7.7651515603065491E-2</v>
      </c>
      <c r="HA303">
        <v>7.386363297700882E-2</v>
      </c>
      <c r="HB303">
        <v>7.0075757801532745E-2</v>
      </c>
      <c r="HC303">
        <v>6.4393937587738037E-2</v>
      </c>
      <c r="HD303">
        <v>7.9545453190803528E-2</v>
      </c>
      <c r="HE303">
        <v>0.10606060922145844</v>
      </c>
      <c r="HF303">
        <v>5.3030304610729218E-2</v>
      </c>
      <c r="HG303">
        <v>7.0075757801532745E-2</v>
      </c>
      <c r="HH303">
        <v>6.4393937587738037E-2</v>
      </c>
      <c r="HI303">
        <v>9.2803031206130981E-2</v>
      </c>
      <c r="HJ303">
        <v>7.0075757801532745E-2</v>
      </c>
      <c r="HK303">
        <v>6.0606062412261963E-2</v>
      </c>
      <c r="HL303">
        <v>0.10227272659540176</v>
      </c>
      <c r="HM303">
        <v>6.8181820213794708E-2</v>
      </c>
      <c r="HN303">
        <v>8.7121210992336273E-2</v>
      </c>
      <c r="HO303">
        <v>0.11363636702299118</v>
      </c>
      <c r="HP303">
        <v>9.2803031206130981E-2</v>
      </c>
      <c r="HQ303">
        <v>5.1136363297700882E-2</v>
      </c>
      <c r="HR303">
        <v>7.5757578015327454E-2</v>
      </c>
      <c r="HS303">
        <v>7.9545453190803528E-2</v>
      </c>
      <c r="HT303">
        <v>7.7651515603065491E-2</v>
      </c>
      <c r="HU303">
        <v>6.8181820213794708E-2</v>
      </c>
      <c r="HV303">
        <v>7.7651515603065491E-2</v>
      </c>
      <c r="HW303">
        <v>7.7651515603065491E-2</v>
      </c>
      <c r="HX303">
        <v>6.8181820213794708E-2</v>
      </c>
      <c r="HY303">
        <v>0.10227272659540176</v>
      </c>
      <c r="HZ303">
        <v>8.7121210992336273E-2</v>
      </c>
      <c r="IA303">
        <v>0.12689393758773804</v>
      </c>
      <c r="IB303">
        <v>7.1969695389270782E-2</v>
      </c>
      <c r="IC303">
        <v>7.9545453190803528E-2</v>
      </c>
      <c r="ID303">
        <v>7.1969695389270782E-2</v>
      </c>
      <c r="IE303">
        <v>7.1969695389270782E-2</v>
      </c>
      <c r="IF303">
        <v>7.5757578015327454E-2</v>
      </c>
      <c r="IG303">
        <v>6.25E-2</v>
      </c>
      <c r="IH303">
        <v>7.0075757801532745E-2</v>
      </c>
      <c r="II303">
        <v>5.8712121099233627E-2</v>
      </c>
      <c r="IJ303">
        <v>0.16098484396934509</v>
      </c>
      <c r="IK303">
        <v>5.1136363297700882E-2</v>
      </c>
      <c r="IL303">
        <v>4.7348484396934509E-2</v>
      </c>
      <c r="IM303">
        <v>9.4696968793869019E-2</v>
      </c>
      <c r="IN303">
        <v>6.4393937587738037E-2</v>
      </c>
      <c r="IO303">
        <v>6.4393937587738037E-2</v>
      </c>
      <c r="IP303">
        <v>9.848485141992569E-2</v>
      </c>
      <c r="IQ303">
        <v>7.0075757801532745E-2</v>
      </c>
      <c r="IR303">
        <v>7.0075757801532745E-2</v>
      </c>
      <c r="IS303">
        <v>8.1439390778541565E-2</v>
      </c>
      <c r="IT303">
        <v>9.0909093618392944E-2</v>
      </c>
      <c r="IU303">
        <v>7.9545453190803528E-2</v>
      </c>
      <c r="IV303">
        <v>6.25E-2</v>
      </c>
      <c r="IW303">
        <v>8.3333335816860199E-2</v>
      </c>
      <c r="IX303">
        <v>8.5227273404598236E-2</v>
      </c>
      <c r="IY303">
        <v>8.3333335816860199E-2</v>
      </c>
      <c r="IZ303">
        <v>9.0909093618392944E-2</v>
      </c>
      <c r="JA303">
        <v>4.7348484396934509E-2</v>
      </c>
      <c r="JB303">
        <v>8.5227273404598236E-2</v>
      </c>
      <c r="JC303">
        <v>0.14393939077854156</v>
      </c>
      <c r="JD303">
        <v>6.25E-2</v>
      </c>
      <c r="JE303">
        <v>7.1969695389270782E-2</v>
      </c>
      <c r="JF303">
        <v>8.3333335816860199E-2</v>
      </c>
      <c r="JG303">
        <v>6.25E-2</v>
      </c>
      <c r="JH303">
        <v>9.4696968793869019E-2</v>
      </c>
      <c r="JI303">
        <v>8.901514858007431E-2</v>
      </c>
      <c r="JJ303">
        <v>5.8712121099233627E-2</v>
      </c>
      <c r="JK303">
        <v>6.8181820213794708E-2</v>
      </c>
      <c r="JL303">
        <v>6.6287875175476074E-2</v>
      </c>
      <c r="JM303">
        <v>6.25E-2</v>
      </c>
      <c r="JN303">
        <v>7.0075757801532745E-2</v>
      </c>
      <c r="JO303">
        <v>0.11553030461072922</v>
      </c>
      <c r="JP303">
        <v>6.4393937587738037E-2</v>
      </c>
      <c r="JQ303">
        <v>5.8712121099233627E-2</v>
      </c>
      <c r="JR303">
        <v>9.6590906381607056E-2</v>
      </c>
      <c r="JS303">
        <v>4.7348484396934509E-2</v>
      </c>
      <c r="JT303">
        <v>6.8181820213794708E-2</v>
      </c>
      <c r="JU303">
        <v>6.8181820213794708E-2</v>
      </c>
      <c r="JV303">
        <v>8.3333335816860199E-2</v>
      </c>
      <c r="JW303">
        <v>0.11174242198467255</v>
      </c>
      <c r="JX303">
        <v>4.5454546809196472E-2</v>
      </c>
      <c r="JY303">
        <v>9.848485141992569E-2</v>
      </c>
      <c r="JZ303">
        <v>8.1439390778541565E-2</v>
      </c>
      <c r="KA303">
        <v>5.8712121099233627E-2</v>
      </c>
      <c r="KB303">
        <v>7.5757578015327454E-2</v>
      </c>
      <c r="KC303">
        <v>7.0075757801532745E-2</v>
      </c>
      <c r="KD303">
        <v>6.25E-2</v>
      </c>
      <c r="KE303">
        <v>7.0075757801532745E-2</v>
      </c>
    </row>
    <row r="304" spans="4:292" x14ac:dyDescent="0.25">
      <c r="D304" s="41" t="str" cm="1">
        <f t="array" ref="D304">IF(H304="","",IF(AND(E304&lt;AVERAGE(E303,E305)*($L$19/100),$D$23:D303=""),H304,""))</f>
        <v/>
      </c>
      <c r="E304" s="78">
        <f t="shared" si="5"/>
        <v>2.8331144780554679E-3</v>
      </c>
      <c r="F304" s="79"/>
      <c r="H304">
        <v>282</v>
      </c>
      <c r="I304">
        <v>7.6883114478055473E-2</v>
      </c>
      <c r="K304">
        <v>8.021390438079834E-2</v>
      </c>
      <c r="L304">
        <v>6.5953657031059265E-2</v>
      </c>
      <c r="M304">
        <v>8.5561498999595642E-2</v>
      </c>
      <c r="N304">
        <v>8.377896249294281E-2</v>
      </c>
      <c r="O304">
        <v>8.1439390778541565E-2</v>
      </c>
      <c r="P304">
        <v>0.12878787517547607</v>
      </c>
      <c r="Q304">
        <v>6.0606062412261963E-2</v>
      </c>
      <c r="R304">
        <v>8.901514858007431E-2</v>
      </c>
      <c r="S304">
        <v>5.4924242198467255E-2</v>
      </c>
      <c r="T304">
        <v>5.8712121099233627E-2</v>
      </c>
      <c r="U304">
        <v>7.386363297700882E-2</v>
      </c>
      <c r="V304">
        <v>8.7121210992336273E-2</v>
      </c>
      <c r="W304">
        <v>6.25E-2</v>
      </c>
      <c r="X304">
        <v>4.9242425709962845E-2</v>
      </c>
      <c r="Y304">
        <v>9.848485141992569E-2</v>
      </c>
      <c r="Z304">
        <v>7.9545453190803528E-2</v>
      </c>
      <c r="AA304">
        <v>4.7348484396934509E-2</v>
      </c>
      <c r="AB304">
        <v>8.1439390778541565E-2</v>
      </c>
      <c r="AC304">
        <v>4.9242425709962845E-2</v>
      </c>
      <c r="AD304">
        <v>9.6590906381607056E-2</v>
      </c>
      <c r="AE304">
        <v>6.4393937587738037E-2</v>
      </c>
      <c r="AF304">
        <v>0.11174242198467255</v>
      </c>
      <c r="AG304">
        <v>7.0075757801532745E-2</v>
      </c>
      <c r="AH304">
        <v>6.0606062412261963E-2</v>
      </c>
      <c r="AI304">
        <v>7.5757578015327454E-2</v>
      </c>
      <c r="AJ304">
        <v>9.4696968793869019E-2</v>
      </c>
      <c r="AK304">
        <v>0.125</v>
      </c>
      <c r="AL304">
        <v>6.4393937587738037E-2</v>
      </c>
      <c r="AM304">
        <v>6.4393937587738037E-2</v>
      </c>
      <c r="AN304">
        <v>0.10795454680919647</v>
      </c>
      <c r="AO304">
        <v>7.1969695389270782E-2</v>
      </c>
      <c r="AP304">
        <v>5.3030304610729218E-2</v>
      </c>
      <c r="AQ304">
        <v>7.0075757801532745E-2</v>
      </c>
      <c r="AR304">
        <v>5.4924242198467255E-2</v>
      </c>
      <c r="AS304">
        <v>8.1439390778541565E-2</v>
      </c>
      <c r="AT304">
        <v>0.10227272659540176</v>
      </c>
      <c r="AU304">
        <v>6.4393937587738037E-2</v>
      </c>
      <c r="AV304">
        <v>0.10037878900766373</v>
      </c>
      <c r="AW304">
        <v>9.0909093618392944E-2</v>
      </c>
      <c r="AX304">
        <v>5.681818351149559E-2</v>
      </c>
      <c r="AY304">
        <v>8.1439390778541565E-2</v>
      </c>
      <c r="AZ304">
        <v>6.0606062412261963E-2</v>
      </c>
      <c r="BA304">
        <v>7.9545453190803528E-2</v>
      </c>
      <c r="BB304">
        <v>7.0075757801532745E-2</v>
      </c>
      <c r="BC304">
        <v>5.8712121099233627E-2</v>
      </c>
      <c r="BD304">
        <v>9.2803031206130981E-2</v>
      </c>
      <c r="BE304">
        <v>7.386363297700882E-2</v>
      </c>
      <c r="BF304">
        <v>5.681818351149559E-2</v>
      </c>
      <c r="BG304">
        <v>5.681818351149559E-2</v>
      </c>
      <c r="BH304">
        <v>5.4924242198467255E-2</v>
      </c>
      <c r="BI304">
        <v>5.8712121099233627E-2</v>
      </c>
      <c r="BJ304">
        <v>9.2803031206130981E-2</v>
      </c>
      <c r="BK304">
        <v>5.681818351149559E-2</v>
      </c>
      <c r="BL304">
        <v>6.6287875175476074E-2</v>
      </c>
      <c r="BM304">
        <v>0.13446970283985138</v>
      </c>
      <c r="BN304">
        <v>6.8181820213794708E-2</v>
      </c>
      <c r="BO304">
        <v>7.0075757801532745E-2</v>
      </c>
      <c r="BP304">
        <v>0.10037878900766373</v>
      </c>
      <c r="BQ304">
        <v>8.7121210992336273E-2</v>
      </c>
      <c r="BR304">
        <v>8.5227273404598236E-2</v>
      </c>
      <c r="BS304">
        <v>8.7121210992336273E-2</v>
      </c>
      <c r="BT304">
        <v>0.10037878900766373</v>
      </c>
      <c r="BU304">
        <v>5.3030304610729218E-2</v>
      </c>
      <c r="BV304">
        <v>6.8181820213794708E-2</v>
      </c>
      <c r="BW304">
        <v>7.5757578015327454E-2</v>
      </c>
      <c r="BX304">
        <v>6.8181820213794708E-2</v>
      </c>
      <c r="BY304">
        <v>4.9242425709962845E-2</v>
      </c>
      <c r="BZ304">
        <v>0.12689393758773804</v>
      </c>
      <c r="CA304">
        <v>0.14204545319080353</v>
      </c>
      <c r="CB304">
        <v>5.8712121099233627E-2</v>
      </c>
      <c r="CC304">
        <v>0.11174242198467255</v>
      </c>
      <c r="CD304">
        <v>8.5227273404598236E-2</v>
      </c>
      <c r="CE304">
        <v>0.10984848439693451</v>
      </c>
      <c r="CF304">
        <v>6.8181820213794708E-2</v>
      </c>
      <c r="CG304">
        <v>6.4393937587738037E-2</v>
      </c>
      <c r="CH304">
        <v>0.10037878900766373</v>
      </c>
      <c r="CI304">
        <v>8.3333335816860199E-2</v>
      </c>
      <c r="CJ304">
        <v>8.5227273404598236E-2</v>
      </c>
      <c r="CK304">
        <v>7.9545453190803528E-2</v>
      </c>
      <c r="CL304">
        <v>6.6287875175476074E-2</v>
      </c>
      <c r="CM304">
        <v>8.3333335816860199E-2</v>
      </c>
      <c r="CN304">
        <v>4.9242425709962845E-2</v>
      </c>
      <c r="CO304">
        <v>9.6590906381607056E-2</v>
      </c>
      <c r="CP304">
        <v>6.4393937587738037E-2</v>
      </c>
      <c r="CQ304">
        <v>7.1969695389270782E-2</v>
      </c>
      <c r="CR304">
        <v>7.7651515603065491E-2</v>
      </c>
      <c r="CS304">
        <v>8.1439390778541565E-2</v>
      </c>
      <c r="CT304">
        <v>4.1666667908430099E-2</v>
      </c>
      <c r="CU304">
        <v>7.9545453190803528E-2</v>
      </c>
      <c r="CV304">
        <v>6.4393937587738037E-2</v>
      </c>
      <c r="CW304">
        <v>6.0606062412261963E-2</v>
      </c>
      <c r="CX304">
        <v>7.1969695389270782E-2</v>
      </c>
      <c r="CY304">
        <v>7.1969695389270782E-2</v>
      </c>
      <c r="CZ304">
        <v>6.6287875175476074E-2</v>
      </c>
      <c r="DA304">
        <v>6.0606062412261963E-2</v>
      </c>
      <c r="DB304">
        <v>9.2803031206130981E-2</v>
      </c>
      <c r="DC304">
        <v>0.10227272659540176</v>
      </c>
      <c r="DD304">
        <v>6.8181820213794708E-2</v>
      </c>
      <c r="DE304">
        <v>0.10984848439693451</v>
      </c>
      <c r="DF304">
        <v>5.681818351149559E-2</v>
      </c>
      <c r="DG304">
        <v>8.5227273404598236E-2</v>
      </c>
      <c r="DH304">
        <v>6.6287875175476074E-2</v>
      </c>
      <c r="DI304">
        <v>7.0075757801532745E-2</v>
      </c>
      <c r="DJ304">
        <v>7.5757578015327454E-2</v>
      </c>
      <c r="DK304">
        <v>6.4393937587738037E-2</v>
      </c>
      <c r="DL304">
        <v>6.8181820213794708E-2</v>
      </c>
      <c r="DM304">
        <v>5.8712121099233627E-2</v>
      </c>
      <c r="DN304">
        <v>5.8712121099233627E-2</v>
      </c>
      <c r="DO304">
        <v>7.9545453190803528E-2</v>
      </c>
      <c r="DP304">
        <v>8.3333335816860199E-2</v>
      </c>
      <c r="DQ304">
        <v>0.14204545319080353</v>
      </c>
      <c r="DR304">
        <v>5.681818351149559E-2</v>
      </c>
      <c r="DS304">
        <v>0.11174242198467255</v>
      </c>
      <c r="DT304">
        <v>7.5757578015327454E-2</v>
      </c>
      <c r="DU304">
        <v>6.0606062412261963E-2</v>
      </c>
      <c r="DV304">
        <v>0.13636364042758942</v>
      </c>
      <c r="DW304">
        <v>6.6287875175476074E-2</v>
      </c>
      <c r="DX304">
        <v>7.7651515603065491E-2</v>
      </c>
      <c r="DY304">
        <v>7.1969695389270782E-2</v>
      </c>
      <c r="DZ304">
        <v>7.5757578015327454E-2</v>
      </c>
      <c r="EA304">
        <v>8.3333335816860199E-2</v>
      </c>
      <c r="EB304">
        <v>8.7121210992336273E-2</v>
      </c>
      <c r="EC304">
        <v>6.6287875175476074E-2</v>
      </c>
      <c r="ED304">
        <v>7.386363297700882E-2</v>
      </c>
      <c r="EE304">
        <v>0.1041666641831398</v>
      </c>
      <c r="EF304">
        <v>6.8181820213794708E-2</v>
      </c>
      <c r="EG304">
        <v>9.848485141992569E-2</v>
      </c>
      <c r="EH304">
        <v>7.1969695389270782E-2</v>
      </c>
      <c r="EI304">
        <v>6.25E-2</v>
      </c>
      <c r="EJ304">
        <v>6.25E-2</v>
      </c>
      <c r="EK304">
        <v>7.5757578015327454E-2</v>
      </c>
      <c r="EL304">
        <v>6.8181820213794708E-2</v>
      </c>
      <c r="EM304">
        <v>8.901514858007431E-2</v>
      </c>
      <c r="EN304">
        <v>6.25E-2</v>
      </c>
      <c r="EO304">
        <v>0.11931817978620529</v>
      </c>
      <c r="EP304">
        <v>7.0075757801532745E-2</v>
      </c>
      <c r="EQ304">
        <v>5.8712121099233627E-2</v>
      </c>
      <c r="ER304">
        <v>6.4393937587738037E-2</v>
      </c>
      <c r="ES304">
        <v>8.1439390778541565E-2</v>
      </c>
      <c r="ET304">
        <v>6.4393937587738037E-2</v>
      </c>
      <c r="EU304">
        <v>6.4393937587738037E-2</v>
      </c>
      <c r="EV304">
        <v>8.5227273404598236E-2</v>
      </c>
      <c r="EW304">
        <v>7.1969695389270782E-2</v>
      </c>
      <c r="EX304">
        <v>8.3333335816860199E-2</v>
      </c>
      <c r="EY304">
        <v>7.5757578015327454E-2</v>
      </c>
      <c r="EZ304">
        <v>8.5227273404598236E-2</v>
      </c>
      <c r="FA304">
        <v>5.3030304610729218E-2</v>
      </c>
      <c r="FB304">
        <v>8.1439390778541565E-2</v>
      </c>
      <c r="FC304">
        <v>6.25E-2</v>
      </c>
      <c r="FD304">
        <v>8.901514858007431E-2</v>
      </c>
      <c r="FE304">
        <v>8.1439390778541565E-2</v>
      </c>
      <c r="FF304">
        <v>8.5227273404598236E-2</v>
      </c>
      <c r="FG304">
        <v>9.0909093618392944E-2</v>
      </c>
      <c r="FH304">
        <v>6.6287875175476074E-2</v>
      </c>
      <c r="FI304">
        <v>9.2803031206130981E-2</v>
      </c>
      <c r="FJ304">
        <v>5.681818351149559E-2</v>
      </c>
      <c r="FK304">
        <v>7.7651515603065491E-2</v>
      </c>
      <c r="FL304">
        <v>7.5757578015327454E-2</v>
      </c>
      <c r="FM304">
        <v>0.13068181276321411</v>
      </c>
      <c r="FN304">
        <v>5.681818351149559E-2</v>
      </c>
      <c r="FO304">
        <v>6.6287875175476074E-2</v>
      </c>
      <c r="FP304">
        <v>5.8712121099233627E-2</v>
      </c>
      <c r="FQ304">
        <v>8.3333335816860199E-2</v>
      </c>
      <c r="FR304">
        <v>6.0606062412261963E-2</v>
      </c>
      <c r="FS304">
        <v>0.11363636702299118</v>
      </c>
      <c r="FT304">
        <v>7.386363297700882E-2</v>
      </c>
      <c r="FU304">
        <v>9.6590906381607056E-2</v>
      </c>
      <c r="FV304">
        <v>7.1969695389270782E-2</v>
      </c>
      <c r="FW304">
        <v>9.2803031206130981E-2</v>
      </c>
      <c r="FX304">
        <v>8.5227273404598236E-2</v>
      </c>
      <c r="FY304">
        <v>6.0606062412261963E-2</v>
      </c>
      <c r="FZ304">
        <v>4.3560605496168137E-2</v>
      </c>
      <c r="GA304">
        <v>0.125</v>
      </c>
      <c r="GB304">
        <v>8.1439390778541565E-2</v>
      </c>
      <c r="GC304">
        <v>8.3333335816860199E-2</v>
      </c>
      <c r="GD304">
        <v>7.5757578015327454E-2</v>
      </c>
      <c r="GE304">
        <v>7.0075757801532745E-2</v>
      </c>
      <c r="GF304">
        <v>9.2803031206130981E-2</v>
      </c>
      <c r="GG304">
        <v>6.25E-2</v>
      </c>
      <c r="GH304">
        <v>8.3333335816860199E-2</v>
      </c>
      <c r="GI304">
        <v>7.9545453190803528E-2</v>
      </c>
      <c r="GJ304">
        <v>8.5227273404598236E-2</v>
      </c>
      <c r="GK304">
        <v>7.7651515603065491E-2</v>
      </c>
      <c r="GL304">
        <v>5.681818351149559E-2</v>
      </c>
      <c r="GM304">
        <v>8.901514858007431E-2</v>
      </c>
      <c r="GN304">
        <v>6.0606062412261963E-2</v>
      </c>
      <c r="GO304">
        <v>7.1969695389270782E-2</v>
      </c>
      <c r="GP304">
        <v>6.25E-2</v>
      </c>
      <c r="GQ304">
        <v>0.10227272659540176</v>
      </c>
      <c r="GR304">
        <v>7.1969695389270782E-2</v>
      </c>
      <c r="GS304">
        <v>6.6287875175476074E-2</v>
      </c>
      <c r="GT304">
        <v>6.8181820213794708E-2</v>
      </c>
      <c r="GU304">
        <v>6.25E-2</v>
      </c>
      <c r="GV304">
        <v>5.681818351149559E-2</v>
      </c>
      <c r="GW304">
        <v>4.7348484396934509E-2</v>
      </c>
      <c r="GX304">
        <v>6.6287875175476074E-2</v>
      </c>
      <c r="GY304">
        <v>4.9242425709962845E-2</v>
      </c>
      <c r="GZ304">
        <v>9.6590906381607056E-2</v>
      </c>
      <c r="HA304">
        <v>5.681818351149559E-2</v>
      </c>
      <c r="HB304">
        <v>9.4696968793869019E-2</v>
      </c>
      <c r="HC304">
        <v>6.8181820213794708E-2</v>
      </c>
      <c r="HD304">
        <v>9.4696968793869019E-2</v>
      </c>
      <c r="HE304">
        <v>9.848485141992569E-2</v>
      </c>
      <c r="HF304">
        <v>6.6287875175476074E-2</v>
      </c>
      <c r="HG304">
        <v>8.1439390778541565E-2</v>
      </c>
      <c r="HH304">
        <v>8.1439390778541565E-2</v>
      </c>
      <c r="HI304">
        <v>7.7651515603065491E-2</v>
      </c>
      <c r="HJ304">
        <v>5.681818351149559E-2</v>
      </c>
      <c r="HK304">
        <v>7.5757578015327454E-2</v>
      </c>
      <c r="HL304">
        <v>9.848485141992569E-2</v>
      </c>
      <c r="HM304">
        <v>6.25E-2</v>
      </c>
      <c r="HN304">
        <v>7.386363297700882E-2</v>
      </c>
      <c r="HO304">
        <v>0.14772726595401764</v>
      </c>
      <c r="HP304">
        <v>6.0606062412261963E-2</v>
      </c>
      <c r="HQ304">
        <v>8.5227273404598236E-2</v>
      </c>
      <c r="HR304">
        <v>6.4393937587738037E-2</v>
      </c>
      <c r="HS304">
        <v>6.25E-2</v>
      </c>
      <c r="HT304">
        <v>0.12878787517547607</v>
      </c>
      <c r="HU304">
        <v>5.1136363297700882E-2</v>
      </c>
      <c r="HV304">
        <v>5.681818351149559E-2</v>
      </c>
      <c r="HW304">
        <v>7.386363297700882E-2</v>
      </c>
      <c r="HX304">
        <v>7.0075757801532745E-2</v>
      </c>
      <c r="HY304">
        <v>5.4924242198467255E-2</v>
      </c>
      <c r="HZ304">
        <v>6.0606062412261963E-2</v>
      </c>
      <c r="IA304">
        <v>6.25E-2</v>
      </c>
      <c r="IB304">
        <v>5.4924242198467255E-2</v>
      </c>
      <c r="IC304">
        <v>8.5227273404598236E-2</v>
      </c>
      <c r="ID304">
        <v>7.1969695389270782E-2</v>
      </c>
      <c r="IE304">
        <v>9.0909093618392944E-2</v>
      </c>
      <c r="IF304">
        <v>6.6287875175476074E-2</v>
      </c>
      <c r="IG304">
        <v>7.1969695389270782E-2</v>
      </c>
      <c r="IH304">
        <v>0.10984848439693451</v>
      </c>
      <c r="II304">
        <v>7.0075757801532745E-2</v>
      </c>
      <c r="IJ304">
        <v>0.10984848439693451</v>
      </c>
      <c r="IK304">
        <v>7.0075757801532745E-2</v>
      </c>
      <c r="IL304">
        <v>8.5227273404598236E-2</v>
      </c>
      <c r="IM304">
        <v>0.10227272659540176</v>
      </c>
      <c r="IN304">
        <v>8.7121210992336273E-2</v>
      </c>
      <c r="IO304">
        <v>5.8712121099233627E-2</v>
      </c>
      <c r="IP304">
        <v>7.5757578015327454E-2</v>
      </c>
      <c r="IQ304">
        <v>5.1136363297700882E-2</v>
      </c>
      <c r="IR304">
        <v>4.9242425709962845E-2</v>
      </c>
      <c r="IS304">
        <v>8.5227273404598236E-2</v>
      </c>
      <c r="IT304">
        <v>6.4393937587738037E-2</v>
      </c>
      <c r="IU304">
        <v>7.9545453190803528E-2</v>
      </c>
      <c r="IV304">
        <v>6.8181820213794708E-2</v>
      </c>
      <c r="IW304">
        <v>7.5757578015327454E-2</v>
      </c>
      <c r="IX304">
        <v>7.1969695389270782E-2</v>
      </c>
      <c r="IY304">
        <v>8.7121210992336273E-2</v>
      </c>
      <c r="IZ304">
        <v>9.4696968793869019E-2</v>
      </c>
      <c r="JA304">
        <v>5.681818351149559E-2</v>
      </c>
      <c r="JB304">
        <v>7.5757578015327454E-2</v>
      </c>
      <c r="JC304">
        <v>7.386363297700882E-2</v>
      </c>
      <c r="JD304">
        <v>7.9545453190803528E-2</v>
      </c>
      <c r="JE304">
        <v>4.9242425709962845E-2</v>
      </c>
      <c r="JF304">
        <v>5.8712121099233627E-2</v>
      </c>
      <c r="JG304">
        <v>8.3333335816860199E-2</v>
      </c>
      <c r="JH304">
        <v>5.8712121099233627E-2</v>
      </c>
      <c r="JI304">
        <v>7.1969695389270782E-2</v>
      </c>
      <c r="JJ304">
        <v>0.10037878900766373</v>
      </c>
      <c r="JK304">
        <v>8.7121210992336273E-2</v>
      </c>
      <c r="JL304">
        <v>7.5757578015327454E-2</v>
      </c>
      <c r="JM304">
        <v>5.681818351149559E-2</v>
      </c>
      <c r="JN304">
        <v>6.8181820213794708E-2</v>
      </c>
      <c r="JO304">
        <v>0.10227272659540176</v>
      </c>
      <c r="JP304">
        <v>6.4393937587738037E-2</v>
      </c>
      <c r="JQ304">
        <v>7.5757578015327454E-2</v>
      </c>
      <c r="JR304">
        <v>9.4696968793869019E-2</v>
      </c>
      <c r="JS304">
        <v>7.1969695389270782E-2</v>
      </c>
      <c r="JT304">
        <v>8.7121210992336273E-2</v>
      </c>
      <c r="JU304">
        <v>7.5757578015327454E-2</v>
      </c>
      <c r="JV304">
        <v>5.4924242198467255E-2</v>
      </c>
      <c r="JW304">
        <v>0.10984848439693451</v>
      </c>
      <c r="JX304">
        <v>5.681818351149559E-2</v>
      </c>
      <c r="JY304">
        <v>6.25E-2</v>
      </c>
      <c r="JZ304">
        <v>7.9545453190803528E-2</v>
      </c>
      <c r="KA304">
        <v>7.386363297700882E-2</v>
      </c>
      <c r="KB304">
        <v>9.2803031206130981E-2</v>
      </c>
      <c r="KC304">
        <v>6.25E-2</v>
      </c>
      <c r="KD304">
        <v>7.9545453190803528E-2</v>
      </c>
      <c r="KE304">
        <v>7.7651515603065491E-2</v>
      </c>
      <c r="KF304">
        <v>6.25E-2</v>
      </c>
    </row>
    <row r="305" spans="4:308" x14ac:dyDescent="0.25">
      <c r="D305" s="41" t="str" cm="1">
        <f t="array" ref="D305">IF(H305="","",IF(AND(E305&lt;AVERAGE(E304,E306)*($L$19/100),$D$23:D304=""),H305,""))</f>
        <v/>
      </c>
      <c r="E305" s="78">
        <f t="shared" si="5"/>
        <v>3.2468194588966132E-3</v>
      </c>
      <c r="F305" s="79"/>
      <c r="H305">
        <v>283</v>
      </c>
      <c r="I305">
        <v>7.7296819458896618E-2</v>
      </c>
      <c r="K305">
        <v>8.3333335816860199E-2</v>
      </c>
      <c r="L305">
        <v>4.3560605496168137E-2</v>
      </c>
      <c r="M305">
        <v>7.5757578015327454E-2</v>
      </c>
      <c r="N305">
        <v>5.3030304610729218E-2</v>
      </c>
      <c r="O305">
        <v>9.6590906381607056E-2</v>
      </c>
      <c r="P305">
        <v>6.4393937587738037E-2</v>
      </c>
      <c r="Q305">
        <v>0.12121212482452393</v>
      </c>
      <c r="R305">
        <v>6.6287875175476074E-2</v>
      </c>
      <c r="S305">
        <v>8.5227273404598236E-2</v>
      </c>
      <c r="T305">
        <v>7.9545453190803528E-2</v>
      </c>
      <c r="U305">
        <v>5.681818351149559E-2</v>
      </c>
      <c r="V305">
        <v>7.1969695389270782E-2</v>
      </c>
      <c r="W305">
        <v>0.13257575035095215</v>
      </c>
      <c r="X305">
        <v>9.6590906381607056E-2</v>
      </c>
      <c r="Y305">
        <v>7.7651515603065491E-2</v>
      </c>
      <c r="Z305">
        <v>7.1969695389270782E-2</v>
      </c>
      <c r="AA305">
        <v>7.0075757801532745E-2</v>
      </c>
      <c r="AB305">
        <v>5.4924242198467255E-2</v>
      </c>
      <c r="AC305">
        <v>8.1439390778541565E-2</v>
      </c>
      <c r="AD305">
        <v>6.8181820213794708E-2</v>
      </c>
      <c r="AE305">
        <v>5.3030304610729218E-2</v>
      </c>
      <c r="AF305">
        <v>6.0606062412261963E-2</v>
      </c>
      <c r="AG305">
        <v>4.3560605496168137E-2</v>
      </c>
      <c r="AH305">
        <v>0.10037878900766373</v>
      </c>
      <c r="AI305">
        <v>6.4393937587738037E-2</v>
      </c>
      <c r="AJ305">
        <v>5.681818351149559E-2</v>
      </c>
      <c r="AK305">
        <v>7.5757578015327454E-2</v>
      </c>
      <c r="AL305">
        <v>7.5757578015327454E-2</v>
      </c>
      <c r="AM305">
        <v>5.681818351149559E-2</v>
      </c>
      <c r="AN305">
        <v>7.7651515603065491E-2</v>
      </c>
      <c r="AO305">
        <v>9.2803031206130981E-2</v>
      </c>
      <c r="AP305">
        <v>5.3030304610729218E-2</v>
      </c>
      <c r="AQ305">
        <v>0.10227272659540176</v>
      </c>
      <c r="AR305">
        <v>6.0606062412261963E-2</v>
      </c>
      <c r="AS305">
        <v>7.386363297700882E-2</v>
      </c>
      <c r="AT305">
        <v>5.4924242198467255E-2</v>
      </c>
      <c r="AU305">
        <v>7.0075757801532745E-2</v>
      </c>
      <c r="AV305">
        <v>8.1439390778541565E-2</v>
      </c>
      <c r="AW305">
        <v>8.1439390778541565E-2</v>
      </c>
      <c r="AX305">
        <v>5.1136363297700882E-2</v>
      </c>
      <c r="AY305">
        <v>0.1041666641831398</v>
      </c>
      <c r="AZ305">
        <v>7.386363297700882E-2</v>
      </c>
      <c r="BA305">
        <v>6.8181820213794708E-2</v>
      </c>
      <c r="BB305">
        <v>9.4696968793869019E-2</v>
      </c>
      <c r="BC305">
        <v>9.2803031206130981E-2</v>
      </c>
      <c r="BD305">
        <v>8.1439390778541565E-2</v>
      </c>
      <c r="BE305">
        <v>7.1969695389270782E-2</v>
      </c>
      <c r="BF305">
        <v>7.1969695389270782E-2</v>
      </c>
      <c r="BG305">
        <v>7.0075757801532745E-2</v>
      </c>
      <c r="BH305">
        <v>7.1969695389270782E-2</v>
      </c>
      <c r="BI305">
        <v>6.0606062412261963E-2</v>
      </c>
      <c r="BJ305">
        <v>8.901514858007431E-2</v>
      </c>
      <c r="BK305">
        <v>0.13257575035095215</v>
      </c>
      <c r="BL305">
        <v>0.10037878900766373</v>
      </c>
      <c r="BM305">
        <v>0.10227272659540176</v>
      </c>
      <c r="BN305">
        <v>7.0075757801532745E-2</v>
      </c>
      <c r="BO305">
        <v>7.386363297700882E-2</v>
      </c>
      <c r="BP305">
        <v>9.0909093618392944E-2</v>
      </c>
      <c r="BQ305">
        <v>7.9545453190803528E-2</v>
      </c>
      <c r="BR305">
        <v>7.1969695389270782E-2</v>
      </c>
      <c r="BS305">
        <v>6.4393937587738037E-2</v>
      </c>
      <c r="BT305">
        <v>0.14204545319080353</v>
      </c>
      <c r="BU305">
        <v>7.9545453190803528E-2</v>
      </c>
      <c r="BV305">
        <v>0.11742424219846725</v>
      </c>
      <c r="BW305">
        <v>7.7651515603065491E-2</v>
      </c>
      <c r="BX305">
        <v>0.10037878900766373</v>
      </c>
      <c r="BY305">
        <v>7.5757578015327454E-2</v>
      </c>
      <c r="BZ305">
        <v>9.6590906381607056E-2</v>
      </c>
      <c r="CA305">
        <v>8.7121210992336273E-2</v>
      </c>
      <c r="CB305">
        <v>5.681818351149559E-2</v>
      </c>
      <c r="CC305">
        <v>6.4393937587738037E-2</v>
      </c>
      <c r="CD305">
        <v>8.901514858007431E-2</v>
      </c>
      <c r="CE305">
        <v>6.0606062412261963E-2</v>
      </c>
      <c r="CF305">
        <v>7.5757578015327454E-2</v>
      </c>
      <c r="CG305">
        <v>7.386363297700882E-2</v>
      </c>
      <c r="CH305">
        <v>7.1969695389270782E-2</v>
      </c>
      <c r="CI305">
        <v>6.6287875175476074E-2</v>
      </c>
      <c r="CJ305">
        <v>8.3333335816860199E-2</v>
      </c>
      <c r="CK305">
        <v>8.5227273404598236E-2</v>
      </c>
      <c r="CL305">
        <v>7.9545453190803528E-2</v>
      </c>
      <c r="CM305">
        <v>6.25E-2</v>
      </c>
      <c r="CN305">
        <v>6.8181820213794708E-2</v>
      </c>
      <c r="CO305">
        <v>7.0075757801532745E-2</v>
      </c>
      <c r="CP305">
        <v>7.0075757801532745E-2</v>
      </c>
      <c r="CQ305">
        <v>7.7651515603065491E-2</v>
      </c>
      <c r="CR305">
        <v>8.3333335816860199E-2</v>
      </c>
      <c r="CS305">
        <v>6.4393937587738037E-2</v>
      </c>
      <c r="CT305">
        <v>8.3333335816860199E-2</v>
      </c>
      <c r="CU305">
        <v>0.12878787517547607</v>
      </c>
      <c r="CV305">
        <v>7.9545453190803528E-2</v>
      </c>
      <c r="CW305">
        <v>6.4393937587738037E-2</v>
      </c>
      <c r="CX305">
        <v>0.10795454680919647</v>
      </c>
      <c r="CY305">
        <v>4.9242425709962845E-2</v>
      </c>
      <c r="CZ305">
        <v>7.7651515603065491E-2</v>
      </c>
      <c r="DA305">
        <v>7.386363297700882E-2</v>
      </c>
      <c r="DB305">
        <v>7.9545453190803528E-2</v>
      </c>
      <c r="DC305">
        <v>8.5227273404598236E-2</v>
      </c>
      <c r="DD305">
        <v>4.1666667908430099E-2</v>
      </c>
      <c r="DE305">
        <v>7.0075757801532745E-2</v>
      </c>
      <c r="DF305">
        <v>8.3333335816860199E-2</v>
      </c>
      <c r="DG305">
        <v>6.8181820213794708E-2</v>
      </c>
      <c r="DH305">
        <v>9.0909093618392944E-2</v>
      </c>
      <c r="DI305">
        <v>6.0606062412261963E-2</v>
      </c>
      <c r="DJ305">
        <v>7.386363297700882E-2</v>
      </c>
      <c r="DK305">
        <v>7.9545453190803528E-2</v>
      </c>
      <c r="DL305">
        <v>0.11931817978620529</v>
      </c>
      <c r="DM305">
        <v>6.0606062412261963E-2</v>
      </c>
      <c r="DN305">
        <v>7.0075757801532745E-2</v>
      </c>
      <c r="DO305">
        <v>5.681818351149559E-2</v>
      </c>
      <c r="DP305">
        <v>0.10795454680919647</v>
      </c>
      <c r="DQ305">
        <v>8.1439390778541565E-2</v>
      </c>
      <c r="DR305">
        <v>7.9545453190803528E-2</v>
      </c>
      <c r="DS305">
        <v>6.8181820213794708E-2</v>
      </c>
      <c r="DT305">
        <v>7.386363297700882E-2</v>
      </c>
      <c r="DU305">
        <v>6.0606062412261963E-2</v>
      </c>
      <c r="DV305">
        <v>7.0075757801532745E-2</v>
      </c>
      <c r="DW305">
        <v>7.5757578015327454E-2</v>
      </c>
      <c r="DX305">
        <v>7.7651515603065491E-2</v>
      </c>
      <c r="DY305">
        <v>5.3030304610729218E-2</v>
      </c>
      <c r="DZ305">
        <v>6.6287875175476074E-2</v>
      </c>
      <c r="EA305">
        <v>6.25E-2</v>
      </c>
      <c r="EB305">
        <v>6.25E-2</v>
      </c>
      <c r="EC305">
        <v>5.8712121099233627E-2</v>
      </c>
      <c r="ED305">
        <v>9.4696968793869019E-2</v>
      </c>
      <c r="EE305">
        <v>6.25E-2</v>
      </c>
      <c r="EF305">
        <v>7.386363297700882E-2</v>
      </c>
      <c r="EG305">
        <v>7.9545453190803528E-2</v>
      </c>
      <c r="EH305">
        <v>6.8181820213794708E-2</v>
      </c>
      <c r="EI305">
        <v>8.1439390778541565E-2</v>
      </c>
      <c r="EJ305">
        <v>6.4393937587738037E-2</v>
      </c>
      <c r="EK305">
        <v>0.14204545319080353</v>
      </c>
      <c r="EL305">
        <v>7.386363297700882E-2</v>
      </c>
      <c r="EM305">
        <v>8.3333335816860199E-2</v>
      </c>
      <c r="EN305">
        <v>0.1041666641831398</v>
      </c>
      <c r="EO305">
        <v>5.3030304610729218E-2</v>
      </c>
      <c r="EP305">
        <v>0.1041666641831398</v>
      </c>
      <c r="EQ305">
        <v>6.6287875175476074E-2</v>
      </c>
      <c r="ER305">
        <v>7.1969695389270782E-2</v>
      </c>
      <c r="ES305">
        <v>6.6287875175476074E-2</v>
      </c>
      <c r="ET305">
        <v>4.5454546809196472E-2</v>
      </c>
      <c r="EU305">
        <v>0.10037878900766373</v>
      </c>
      <c r="EV305">
        <v>5.3030304610729218E-2</v>
      </c>
      <c r="EW305">
        <v>7.1969695389270782E-2</v>
      </c>
      <c r="EX305">
        <v>9.4696968793869019E-2</v>
      </c>
      <c r="EY305">
        <v>7.7651515603065491E-2</v>
      </c>
      <c r="EZ305">
        <v>8.5227273404598236E-2</v>
      </c>
      <c r="FA305">
        <v>7.0075757801532745E-2</v>
      </c>
      <c r="FB305">
        <v>6.25E-2</v>
      </c>
      <c r="FC305">
        <v>7.5757578015327454E-2</v>
      </c>
      <c r="FD305">
        <v>7.9545453190803528E-2</v>
      </c>
      <c r="FE305">
        <v>6.8181820213794708E-2</v>
      </c>
      <c r="FF305">
        <v>8.5227273404598236E-2</v>
      </c>
      <c r="FG305">
        <v>6.4393937587738037E-2</v>
      </c>
      <c r="FH305">
        <v>9.848485141992569E-2</v>
      </c>
      <c r="FI305">
        <v>8.5227273404598236E-2</v>
      </c>
      <c r="FJ305">
        <v>7.7651515603065491E-2</v>
      </c>
      <c r="FK305">
        <v>7.386363297700882E-2</v>
      </c>
      <c r="FL305">
        <v>5.1136363297700882E-2</v>
      </c>
      <c r="FM305">
        <v>0.12121212482452393</v>
      </c>
      <c r="FN305">
        <v>0.10037878900766373</v>
      </c>
      <c r="FO305">
        <v>8.7121210992336273E-2</v>
      </c>
      <c r="FP305">
        <v>7.1969695389270782E-2</v>
      </c>
      <c r="FQ305">
        <v>7.0075757801532745E-2</v>
      </c>
      <c r="FR305">
        <v>0.12689393758773804</v>
      </c>
      <c r="FS305">
        <v>7.0075757801532745E-2</v>
      </c>
      <c r="FT305">
        <v>8.3333335816860199E-2</v>
      </c>
      <c r="FU305">
        <v>5.8712121099233627E-2</v>
      </c>
      <c r="FV305">
        <v>8.1439390778541565E-2</v>
      </c>
      <c r="FW305">
        <v>8.901514858007431E-2</v>
      </c>
      <c r="FX305">
        <v>6.4393937587738037E-2</v>
      </c>
      <c r="FY305">
        <v>7.7651515603065491E-2</v>
      </c>
      <c r="FZ305">
        <v>7.386363297700882E-2</v>
      </c>
      <c r="GA305">
        <v>8.1439390778541565E-2</v>
      </c>
      <c r="GB305">
        <v>7.7651515603065491E-2</v>
      </c>
      <c r="GC305">
        <v>7.7651515603065491E-2</v>
      </c>
      <c r="GD305">
        <v>6.4393937587738037E-2</v>
      </c>
      <c r="GE305">
        <v>6.25E-2</v>
      </c>
      <c r="GF305">
        <v>8.3333335816860199E-2</v>
      </c>
      <c r="GG305">
        <v>7.1969695389270782E-2</v>
      </c>
      <c r="GH305">
        <v>8.7121210992336273E-2</v>
      </c>
      <c r="GI305">
        <v>7.1969695389270782E-2</v>
      </c>
      <c r="GJ305">
        <v>3.9772726595401764E-2</v>
      </c>
      <c r="GK305">
        <v>7.7651515603065491E-2</v>
      </c>
      <c r="GL305">
        <v>7.7651515603065491E-2</v>
      </c>
      <c r="GM305">
        <v>7.0075757801532745E-2</v>
      </c>
      <c r="GN305">
        <v>9.0909093618392944E-2</v>
      </c>
      <c r="GO305">
        <v>8.5227273404598236E-2</v>
      </c>
      <c r="GP305">
        <v>7.0075757801532745E-2</v>
      </c>
      <c r="GQ305">
        <v>4.5454546809196472E-2</v>
      </c>
      <c r="GR305">
        <v>6.25E-2</v>
      </c>
      <c r="GS305">
        <v>0.11174242198467255</v>
      </c>
      <c r="GT305">
        <v>5.1136363297700882E-2</v>
      </c>
      <c r="GU305">
        <v>8.3333335816860199E-2</v>
      </c>
      <c r="GV305">
        <v>7.0075757801532745E-2</v>
      </c>
      <c r="GW305">
        <v>7.386363297700882E-2</v>
      </c>
      <c r="GX305">
        <v>0.10037878900766373</v>
      </c>
      <c r="GY305">
        <v>6.25E-2</v>
      </c>
      <c r="GZ305">
        <v>5.4924242198467255E-2</v>
      </c>
      <c r="HA305">
        <v>0.10037878900766373</v>
      </c>
      <c r="HB305">
        <v>6.6287875175476074E-2</v>
      </c>
      <c r="HC305">
        <v>5.681818351149559E-2</v>
      </c>
      <c r="HD305">
        <v>7.0075757801532745E-2</v>
      </c>
      <c r="HE305">
        <v>8.901514858007431E-2</v>
      </c>
      <c r="HF305">
        <v>6.8181820213794708E-2</v>
      </c>
      <c r="HG305">
        <v>7.0075757801532745E-2</v>
      </c>
      <c r="HH305">
        <v>8.3333335816860199E-2</v>
      </c>
      <c r="HI305">
        <v>0.14772726595401764</v>
      </c>
      <c r="HJ305">
        <v>7.9545453190803528E-2</v>
      </c>
      <c r="HK305">
        <v>0.10037878900766373</v>
      </c>
      <c r="HL305">
        <v>7.7651515603065491E-2</v>
      </c>
      <c r="HM305">
        <v>8.7121210992336273E-2</v>
      </c>
      <c r="HN305">
        <v>7.9545453190803528E-2</v>
      </c>
      <c r="HO305">
        <v>6.0606062412261963E-2</v>
      </c>
      <c r="HP305">
        <v>6.4393937587738037E-2</v>
      </c>
      <c r="HQ305">
        <v>5.681818351149559E-2</v>
      </c>
      <c r="HR305">
        <v>9.0909093618392944E-2</v>
      </c>
      <c r="HS305">
        <v>7.7651515603065491E-2</v>
      </c>
      <c r="HT305">
        <v>8.1439390778541565E-2</v>
      </c>
      <c r="HU305">
        <v>8.5227273404598236E-2</v>
      </c>
      <c r="HV305">
        <v>6.4393937587738037E-2</v>
      </c>
      <c r="HW305">
        <v>0.11553030461072922</v>
      </c>
      <c r="HX305">
        <v>9.4696968793869019E-2</v>
      </c>
      <c r="HY305">
        <v>7.9545453190803528E-2</v>
      </c>
      <c r="HZ305">
        <v>5.681818351149559E-2</v>
      </c>
      <c r="IA305">
        <v>5.1136363297700882E-2</v>
      </c>
      <c r="IB305">
        <v>7.386363297700882E-2</v>
      </c>
      <c r="IC305">
        <v>5.4924242198467255E-2</v>
      </c>
      <c r="ID305">
        <v>6.6287875175476074E-2</v>
      </c>
      <c r="IE305">
        <v>8.5227273404598236E-2</v>
      </c>
      <c r="IF305">
        <v>7.9545453190803528E-2</v>
      </c>
      <c r="IG305">
        <v>5.3030304610729218E-2</v>
      </c>
      <c r="IH305">
        <v>8.7121210992336273E-2</v>
      </c>
      <c r="II305">
        <v>7.386363297700882E-2</v>
      </c>
      <c r="IJ305">
        <v>6.4393937587738037E-2</v>
      </c>
      <c r="IK305">
        <v>8.3333335816860199E-2</v>
      </c>
      <c r="IL305">
        <v>8.901514858007431E-2</v>
      </c>
      <c r="IM305">
        <v>7.386363297700882E-2</v>
      </c>
      <c r="IN305">
        <v>6.0606062412261963E-2</v>
      </c>
      <c r="IO305">
        <v>7.9545453190803528E-2</v>
      </c>
      <c r="IP305">
        <v>8.1439390778541565E-2</v>
      </c>
      <c r="IQ305">
        <v>9.2803031206130981E-2</v>
      </c>
      <c r="IR305">
        <v>7.5757578015327454E-2</v>
      </c>
      <c r="IS305">
        <v>6.4393937587738037E-2</v>
      </c>
      <c r="IT305">
        <v>7.5757578015327454E-2</v>
      </c>
      <c r="IU305">
        <v>7.7651515603065491E-2</v>
      </c>
      <c r="IV305">
        <v>6.4393937587738037E-2</v>
      </c>
      <c r="IW305">
        <v>6.6287875175476074E-2</v>
      </c>
      <c r="IX305">
        <v>7.5757578015327454E-2</v>
      </c>
      <c r="IY305">
        <v>7.5757578015327454E-2</v>
      </c>
      <c r="IZ305">
        <v>7.386363297700882E-2</v>
      </c>
      <c r="JA305">
        <v>5.8712121099233627E-2</v>
      </c>
      <c r="JB305">
        <v>9.848485141992569E-2</v>
      </c>
      <c r="JC305">
        <v>7.386363297700882E-2</v>
      </c>
      <c r="JD305">
        <v>7.9545453190803528E-2</v>
      </c>
      <c r="JE305">
        <v>8.6693547666072845E-2</v>
      </c>
      <c r="JF305">
        <v>9.2741936445236206E-2</v>
      </c>
      <c r="JG305">
        <v>5.4435484111309052E-2</v>
      </c>
      <c r="JH305">
        <v>8.0645158886909485E-2</v>
      </c>
      <c r="JI305">
        <v>9.2741936445236206E-2</v>
      </c>
      <c r="JJ305">
        <v>7.2580642998218536E-2</v>
      </c>
      <c r="JK305">
        <v>9.4758063554763794E-2</v>
      </c>
      <c r="JL305">
        <v>7.8629031777381897E-2</v>
      </c>
      <c r="JM305">
        <v>0.11895161122083664</v>
      </c>
      <c r="JN305">
        <v>5.8467742055654526E-2</v>
      </c>
      <c r="JO305">
        <v>7.0564515888690948E-2</v>
      </c>
      <c r="JP305">
        <v>8.0645158886909485E-2</v>
      </c>
      <c r="JQ305">
        <v>6.8548388779163361E-2</v>
      </c>
      <c r="JR305">
        <v>6.6532261669635773E-2</v>
      </c>
      <c r="JS305">
        <v>7.2580642998218536E-2</v>
      </c>
      <c r="JT305">
        <v>6.8548388779163361E-2</v>
      </c>
      <c r="JU305">
        <v>7.8629031777381897E-2</v>
      </c>
      <c r="JV305">
        <v>7.4596777558326721E-2</v>
      </c>
      <c r="JW305">
        <v>9.4758063554763794E-2</v>
      </c>
      <c r="JX305">
        <v>8.6693547666072845E-2</v>
      </c>
      <c r="JY305">
        <v>9.2741936445236206E-2</v>
      </c>
      <c r="JZ305">
        <v>7.2580642998218536E-2</v>
      </c>
      <c r="KA305">
        <v>8.266129344701767E-2</v>
      </c>
      <c r="KB305">
        <v>8.8709674775600433E-2</v>
      </c>
      <c r="KC305">
        <v>9.8790325224399567E-2</v>
      </c>
      <c r="KD305">
        <v>6.0483869165182114E-2</v>
      </c>
      <c r="KE305">
        <v>6.8548388779163361E-2</v>
      </c>
      <c r="KF305">
        <v>6.8548388779163361E-2</v>
      </c>
      <c r="KG305">
        <v>8.6693547666072845E-2</v>
      </c>
    </row>
    <row r="306" spans="4:308" x14ac:dyDescent="0.25">
      <c r="D306" s="41" t="str" cm="1">
        <f t="array" ref="D306">IF(H306="","",IF(AND(E306&lt;AVERAGE(E305,E307)*($L$19/100),$D$23:D305=""),H306,""))</f>
        <v/>
      </c>
      <c r="E306" s="78">
        <f t="shared" si="5"/>
        <v>3.8207249588529807E-3</v>
      </c>
      <c r="F306" s="79"/>
      <c r="H306">
        <v>284</v>
      </c>
      <c r="I306">
        <v>7.7870724958852985E-2</v>
      </c>
      <c r="K306">
        <v>5.681818351149559E-2</v>
      </c>
      <c r="L306">
        <v>6.25E-2</v>
      </c>
      <c r="M306">
        <v>7.1969695389270782E-2</v>
      </c>
      <c r="N306">
        <v>0.12121212482452393</v>
      </c>
      <c r="O306">
        <v>7.386363297700882E-2</v>
      </c>
      <c r="P306">
        <v>9.0909093618392944E-2</v>
      </c>
      <c r="Q306">
        <v>5.681818351149559E-2</v>
      </c>
      <c r="R306">
        <v>7.386363297700882E-2</v>
      </c>
      <c r="S306">
        <v>7.386363297700882E-2</v>
      </c>
      <c r="T306">
        <v>6.8181820213794708E-2</v>
      </c>
      <c r="U306">
        <v>6.4393937587738037E-2</v>
      </c>
      <c r="V306">
        <v>7.9545453190803528E-2</v>
      </c>
      <c r="W306">
        <v>8.1439390778541565E-2</v>
      </c>
      <c r="X306">
        <v>6.8181820213794708E-2</v>
      </c>
      <c r="Y306">
        <v>6.6287875175476074E-2</v>
      </c>
      <c r="Z306">
        <v>6.8181820213794708E-2</v>
      </c>
      <c r="AA306">
        <v>5.681818351149559E-2</v>
      </c>
      <c r="AB306">
        <v>0.12121212482452393</v>
      </c>
      <c r="AC306">
        <v>7.7651515603065491E-2</v>
      </c>
      <c r="AD306">
        <v>6.0606062412261963E-2</v>
      </c>
      <c r="AE306">
        <v>0.13257575035095215</v>
      </c>
      <c r="AF306">
        <v>6.25E-2</v>
      </c>
      <c r="AG306">
        <v>0.11174242198467255</v>
      </c>
      <c r="AH306">
        <v>6.0606062412261963E-2</v>
      </c>
      <c r="AI306">
        <v>6.6287875175476074E-2</v>
      </c>
      <c r="AJ306">
        <v>5.8712121099233627E-2</v>
      </c>
      <c r="AK306">
        <v>8.901514858007431E-2</v>
      </c>
      <c r="AL306">
        <v>7.5757578015327454E-2</v>
      </c>
      <c r="AM306">
        <v>5.3030304610729218E-2</v>
      </c>
      <c r="AN306">
        <v>9.0909093618392944E-2</v>
      </c>
      <c r="AO306">
        <v>6.25E-2</v>
      </c>
      <c r="AP306">
        <v>0.125</v>
      </c>
      <c r="AQ306">
        <v>6.25E-2</v>
      </c>
      <c r="AR306">
        <v>9.848485141992569E-2</v>
      </c>
      <c r="AS306">
        <v>6.25E-2</v>
      </c>
      <c r="AT306">
        <v>4.9242425709962845E-2</v>
      </c>
      <c r="AU306">
        <v>0.10037878900766373</v>
      </c>
      <c r="AV306">
        <v>8.3333335816860199E-2</v>
      </c>
      <c r="AW306">
        <v>9.848485141992569E-2</v>
      </c>
      <c r="AX306">
        <v>6.25E-2</v>
      </c>
      <c r="AY306">
        <v>7.9545453190803528E-2</v>
      </c>
      <c r="AZ306">
        <v>0.10037878900766373</v>
      </c>
      <c r="BA306">
        <v>8.5227273404598236E-2</v>
      </c>
      <c r="BB306">
        <v>9.6590906381607056E-2</v>
      </c>
      <c r="BC306">
        <v>7.7651515603065491E-2</v>
      </c>
      <c r="BD306">
        <v>7.5757578015327454E-2</v>
      </c>
      <c r="BE306">
        <v>9.0909093618392944E-2</v>
      </c>
      <c r="BF306">
        <v>6.6287875175476074E-2</v>
      </c>
      <c r="BG306">
        <v>0.10606060922145844</v>
      </c>
      <c r="BH306">
        <v>6.8181820213794708E-2</v>
      </c>
      <c r="BI306">
        <v>7.386363297700882E-2</v>
      </c>
      <c r="BJ306">
        <v>7.9545453190803528E-2</v>
      </c>
      <c r="BK306">
        <v>5.4924242198467255E-2</v>
      </c>
      <c r="BL306">
        <v>8.7121210992336273E-2</v>
      </c>
      <c r="BM306">
        <v>9.0909093618392944E-2</v>
      </c>
      <c r="BN306">
        <v>4.9242425709962845E-2</v>
      </c>
      <c r="BO306">
        <v>8.3333335816860199E-2</v>
      </c>
      <c r="BP306">
        <v>6.25E-2</v>
      </c>
      <c r="BQ306">
        <v>7.0075757801532745E-2</v>
      </c>
      <c r="BR306">
        <v>0.12121212482452393</v>
      </c>
      <c r="BS306">
        <v>8.7121210992336273E-2</v>
      </c>
      <c r="BT306">
        <v>0.13257575035095215</v>
      </c>
      <c r="BU306">
        <v>6.8181820213794708E-2</v>
      </c>
      <c r="BV306">
        <v>6.4393937587738037E-2</v>
      </c>
      <c r="BW306">
        <v>0.12310606241226196</v>
      </c>
      <c r="BX306">
        <v>7.5757578015327454E-2</v>
      </c>
      <c r="BY306">
        <v>7.386363297700882E-2</v>
      </c>
      <c r="BZ306">
        <v>7.5757578015327454E-2</v>
      </c>
      <c r="CA306">
        <v>4.9242425709962845E-2</v>
      </c>
      <c r="CB306">
        <v>6.0606062412261963E-2</v>
      </c>
      <c r="CC306">
        <v>7.7651515603065491E-2</v>
      </c>
      <c r="CD306">
        <v>7.5757578015327454E-2</v>
      </c>
      <c r="CE306">
        <v>6.0606062412261963E-2</v>
      </c>
      <c r="CF306">
        <v>0.16477273404598236</v>
      </c>
      <c r="CG306">
        <v>6.6287875175476074E-2</v>
      </c>
      <c r="CH306">
        <v>7.386363297700882E-2</v>
      </c>
      <c r="CI306">
        <v>9.0909093618392944E-2</v>
      </c>
      <c r="CJ306">
        <v>9.0909093618392944E-2</v>
      </c>
      <c r="CK306">
        <v>0.11742424219846725</v>
      </c>
      <c r="CL306">
        <v>5.8712121099233627E-2</v>
      </c>
      <c r="CM306">
        <v>7.9545453190803528E-2</v>
      </c>
      <c r="CN306">
        <v>7.1969695389270782E-2</v>
      </c>
      <c r="CO306">
        <v>7.9545453190803528E-2</v>
      </c>
      <c r="CP306">
        <v>6.25E-2</v>
      </c>
      <c r="CQ306">
        <v>9.2803031206130981E-2</v>
      </c>
      <c r="CR306">
        <v>5.1136363297700882E-2</v>
      </c>
      <c r="CS306">
        <v>0.11174242198467255</v>
      </c>
      <c r="CT306">
        <v>7.386363297700882E-2</v>
      </c>
      <c r="CU306">
        <v>8.5227273404598236E-2</v>
      </c>
      <c r="CV306">
        <v>8.1439390778541565E-2</v>
      </c>
      <c r="CW306">
        <v>6.4393937587738037E-2</v>
      </c>
      <c r="CX306">
        <v>6.8181820213794708E-2</v>
      </c>
      <c r="CY306">
        <v>9.6590906381607056E-2</v>
      </c>
      <c r="CZ306">
        <v>9.4696968793869019E-2</v>
      </c>
      <c r="DA306">
        <v>7.5757578015327454E-2</v>
      </c>
      <c r="DB306">
        <v>0.11363636702299118</v>
      </c>
      <c r="DC306">
        <v>6.0606062412261963E-2</v>
      </c>
      <c r="DD306">
        <v>5.681818351149559E-2</v>
      </c>
      <c r="DE306">
        <v>5.8712121099233627E-2</v>
      </c>
      <c r="DF306">
        <v>6.8181820213794708E-2</v>
      </c>
      <c r="DG306">
        <v>9.6590906381607056E-2</v>
      </c>
      <c r="DH306">
        <v>5.4924242198467255E-2</v>
      </c>
      <c r="DI306">
        <v>0.11363636702299118</v>
      </c>
      <c r="DJ306">
        <v>6.6287875175476074E-2</v>
      </c>
      <c r="DK306">
        <v>4.5454546809196472E-2</v>
      </c>
      <c r="DL306">
        <v>9.2803031206130981E-2</v>
      </c>
      <c r="DM306">
        <v>0.12689393758773804</v>
      </c>
      <c r="DN306">
        <v>5.681818351149559E-2</v>
      </c>
      <c r="DO306">
        <v>8.1439390778541565E-2</v>
      </c>
      <c r="DP306">
        <v>9.4696968793869019E-2</v>
      </c>
      <c r="DQ306">
        <v>6.6287875175476074E-2</v>
      </c>
      <c r="DR306">
        <v>5.3030304610729218E-2</v>
      </c>
      <c r="DS306">
        <v>7.386363297700882E-2</v>
      </c>
      <c r="DT306">
        <v>5.8712121099233627E-2</v>
      </c>
      <c r="DU306">
        <v>7.386363297700882E-2</v>
      </c>
      <c r="DV306">
        <v>8.901514858007431E-2</v>
      </c>
      <c r="DW306">
        <v>6.4393937587738037E-2</v>
      </c>
      <c r="DX306">
        <v>5.8712121099233627E-2</v>
      </c>
      <c r="DY306">
        <v>7.0075757801532745E-2</v>
      </c>
      <c r="DZ306">
        <v>7.386363297700882E-2</v>
      </c>
      <c r="EA306">
        <v>6.25E-2</v>
      </c>
      <c r="EB306">
        <v>5.1136363297700882E-2</v>
      </c>
      <c r="EC306">
        <v>0.11553030461072922</v>
      </c>
      <c r="ED306">
        <v>8.901514858007431E-2</v>
      </c>
      <c r="EE306">
        <v>7.0075757801532745E-2</v>
      </c>
      <c r="EF306">
        <v>7.0075757801532745E-2</v>
      </c>
      <c r="EG306">
        <v>0.13257575035095215</v>
      </c>
      <c r="EH306">
        <v>7.1969695389270782E-2</v>
      </c>
      <c r="EI306">
        <v>4.7348484396934509E-2</v>
      </c>
      <c r="EJ306">
        <v>8.5227273404598236E-2</v>
      </c>
      <c r="EK306">
        <v>0.11553030461072922</v>
      </c>
      <c r="EL306">
        <v>6.25E-2</v>
      </c>
      <c r="EM306">
        <v>7.5757578015327454E-2</v>
      </c>
      <c r="EN306">
        <v>7.9545453190803528E-2</v>
      </c>
      <c r="EO306">
        <v>7.1969695389270782E-2</v>
      </c>
      <c r="EP306">
        <v>7.5757578015327454E-2</v>
      </c>
      <c r="EQ306">
        <v>0.10606060922145844</v>
      </c>
      <c r="ER306">
        <v>7.386363297700882E-2</v>
      </c>
      <c r="ES306">
        <v>6.8181820213794708E-2</v>
      </c>
      <c r="ET306">
        <v>0.10037878900766373</v>
      </c>
      <c r="EU306">
        <v>8.901514858007431E-2</v>
      </c>
      <c r="EV306">
        <v>5.4924242198467255E-2</v>
      </c>
      <c r="EW306">
        <v>6.0606062412261963E-2</v>
      </c>
      <c r="EX306">
        <v>5.8712121099233627E-2</v>
      </c>
      <c r="EY306">
        <v>6.25E-2</v>
      </c>
      <c r="EZ306">
        <v>7.5757578015327454E-2</v>
      </c>
      <c r="FA306">
        <v>7.0075757801532745E-2</v>
      </c>
      <c r="FB306">
        <v>9.848485141992569E-2</v>
      </c>
      <c r="FC306">
        <v>0.10606060922145844</v>
      </c>
      <c r="FD306">
        <v>7.9545453190803528E-2</v>
      </c>
      <c r="FE306">
        <v>0.125</v>
      </c>
      <c r="FF306">
        <v>8.3333335816860199E-2</v>
      </c>
      <c r="FG306">
        <v>7.386363297700882E-2</v>
      </c>
      <c r="FH306">
        <v>0.10984848439693451</v>
      </c>
      <c r="FI306">
        <v>5.8712121099233627E-2</v>
      </c>
      <c r="FJ306">
        <v>7.386363297700882E-2</v>
      </c>
      <c r="FK306">
        <v>0.10606060922145844</v>
      </c>
      <c r="FL306">
        <v>4.9242425709962845E-2</v>
      </c>
      <c r="FM306">
        <v>7.1969695389270782E-2</v>
      </c>
      <c r="FN306">
        <v>5.8712121099233627E-2</v>
      </c>
      <c r="FO306">
        <v>6.0606062412261963E-2</v>
      </c>
      <c r="FP306">
        <v>7.9545453190803528E-2</v>
      </c>
      <c r="FQ306">
        <v>7.5757578015327454E-2</v>
      </c>
      <c r="FR306">
        <v>7.1969695389270782E-2</v>
      </c>
      <c r="FS306">
        <v>8.901514858007431E-2</v>
      </c>
      <c r="FT306">
        <v>8.5227273404598236E-2</v>
      </c>
      <c r="FU306">
        <v>6.8181820213794708E-2</v>
      </c>
      <c r="FV306">
        <v>7.386363297700882E-2</v>
      </c>
      <c r="FW306">
        <v>8.901514858007431E-2</v>
      </c>
      <c r="FX306">
        <v>5.3030304610729218E-2</v>
      </c>
      <c r="FY306">
        <v>9.6590906381607056E-2</v>
      </c>
      <c r="FZ306">
        <v>0.10037878900766373</v>
      </c>
      <c r="GA306">
        <v>7.386363297700882E-2</v>
      </c>
      <c r="GB306">
        <v>6.0606062412261963E-2</v>
      </c>
      <c r="GC306">
        <v>7.9545453190803528E-2</v>
      </c>
      <c r="GD306">
        <v>6.25E-2</v>
      </c>
      <c r="GE306">
        <v>3.9772726595401764E-2</v>
      </c>
      <c r="GF306">
        <v>6.0606062412261963E-2</v>
      </c>
      <c r="GG306">
        <v>6.6287875175476074E-2</v>
      </c>
      <c r="GH306">
        <v>8.1439390778541565E-2</v>
      </c>
      <c r="GI306">
        <v>7.0075757801532745E-2</v>
      </c>
      <c r="GJ306">
        <v>3.7878789007663727E-2</v>
      </c>
      <c r="GK306">
        <v>9.848485141992569E-2</v>
      </c>
      <c r="GL306">
        <v>0.13257575035095215</v>
      </c>
      <c r="GM306">
        <v>5.4924242198467255E-2</v>
      </c>
      <c r="GN306">
        <v>7.5757578015327454E-2</v>
      </c>
      <c r="GO306">
        <v>7.1969695389270782E-2</v>
      </c>
      <c r="GP306">
        <v>6.4393937587738037E-2</v>
      </c>
      <c r="GQ306">
        <v>6.6287875175476074E-2</v>
      </c>
      <c r="GR306">
        <v>9.6590906381607056E-2</v>
      </c>
      <c r="GS306">
        <v>7.386363297700882E-2</v>
      </c>
      <c r="GT306">
        <v>9.0909093618392944E-2</v>
      </c>
      <c r="GU306">
        <v>7.1969695389270782E-2</v>
      </c>
      <c r="GV306">
        <v>6.4393937587738037E-2</v>
      </c>
      <c r="GW306">
        <v>7.386363297700882E-2</v>
      </c>
      <c r="GX306">
        <v>5.3030304610729218E-2</v>
      </c>
      <c r="GY306">
        <v>0.10795454680919647</v>
      </c>
      <c r="GZ306">
        <v>0.10037878900766373</v>
      </c>
      <c r="HA306">
        <v>7.1969695389270782E-2</v>
      </c>
      <c r="HB306">
        <v>9.0909093618392944E-2</v>
      </c>
      <c r="HC306">
        <v>9.6590906381607056E-2</v>
      </c>
      <c r="HD306">
        <v>9.0909093618392944E-2</v>
      </c>
      <c r="HE306">
        <v>7.0075757801532745E-2</v>
      </c>
      <c r="HF306">
        <v>7.0075757801532745E-2</v>
      </c>
      <c r="HG306">
        <v>7.0075757801532745E-2</v>
      </c>
      <c r="HH306">
        <v>6.6287875175476074E-2</v>
      </c>
      <c r="HI306">
        <v>0.14204545319080353</v>
      </c>
      <c r="HJ306">
        <v>4.1666667908430099E-2</v>
      </c>
      <c r="HK306">
        <v>7.1969695389270782E-2</v>
      </c>
      <c r="HL306">
        <v>8.7121210992336273E-2</v>
      </c>
      <c r="HM306">
        <v>5.681818351149559E-2</v>
      </c>
      <c r="HN306">
        <v>7.7651515603065491E-2</v>
      </c>
      <c r="HO306">
        <v>9.2803031206130981E-2</v>
      </c>
      <c r="HP306">
        <v>5.3030304610729218E-2</v>
      </c>
      <c r="HQ306">
        <v>8.901514858007431E-2</v>
      </c>
      <c r="HR306">
        <v>4.5454546809196472E-2</v>
      </c>
      <c r="HS306">
        <v>7.7651515603065491E-2</v>
      </c>
      <c r="HT306">
        <v>6.4393937587738037E-2</v>
      </c>
      <c r="HU306">
        <v>6.8181820213794708E-2</v>
      </c>
      <c r="HV306">
        <v>7.7651515603065491E-2</v>
      </c>
      <c r="HW306">
        <v>5.4924242198467255E-2</v>
      </c>
      <c r="HX306">
        <v>4.9242425709962845E-2</v>
      </c>
      <c r="HY306">
        <v>6.4516127109527588E-2</v>
      </c>
      <c r="HZ306">
        <v>6.4516127109527588E-2</v>
      </c>
      <c r="IA306">
        <v>8.4677420556545258E-2</v>
      </c>
      <c r="IB306">
        <v>7.6612904667854309E-2</v>
      </c>
      <c r="IC306">
        <v>6.25E-2</v>
      </c>
      <c r="ID306">
        <v>8.6693547666072845E-2</v>
      </c>
      <c r="IE306">
        <v>5.0403226166963577E-2</v>
      </c>
      <c r="IF306">
        <v>7.4596777558326721E-2</v>
      </c>
      <c r="IG306">
        <v>7.2580642998218536E-2</v>
      </c>
      <c r="IH306">
        <v>7.0564515888690948E-2</v>
      </c>
      <c r="II306">
        <v>5.2419353276491165E-2</v>
      </c>
      <c r="IJ306">
        <v>6.25E-2</v>
      </c>
      <c r="IK306">
        <v>9.8790325224399567E-2</v>
      </c>
      <c r="IL306">
        <v>8.266129344701767E-2</v>
      </c>
      <c r="IM306">
        <v>8.6693547666072845E-2</v>
      </c>
      <c r="IN306">
        <v>8.6693547666072845E-2</v>
      </c>
      <c r="IO306">
        <v>7.0564515888690948E-2</v>
      </c>
      <c r="IP306">
        <v>7.2580642998218536E-2</v>
      </c>
      <c r="IQ306">
        <v>7.0564515888690948E-2</v>
      </c>
      <c r="IR306">
        <v>6.25E-2</v>
      </c>
      <c r="IS306">
        <v>7.8629031777381897E-2</v>
      </c>
      <c r="IT306">
        <v>6.25E-2</v>
      </c>
      <c r="IU306">
        <v>4.4354837387800217E-2</v>
      </c>
      <c r="IV306">
        <v>9.0725809335708618E-2</v>
      </c>
      <c r="IW306">
        <v>8.4677420556545258E-2</v>
      </c>
      <c r="IX306">
        <v>6.25E-2</v>
      </c>
      <c r="IY306">
        <v>7.0564515888690948E-2</v>
      </c>
      <c r="IZ306">
        <v>6.6532261669635773E-2</v>
      </c>
      <c r="JA306">
        <v>9.6774190664291382E-2</v>
      </c>
      <c r="JB306">
        <v>6.8548388779163361E-2</v>
      </c>
      <c r="JC306">
        <v>7.8629031777381897E-2</v>
      </c>
      <c r="JD306">
        <v>7.8629031777381897E-2</v>
      </c>
      <c r="JE306">
        <v>5.8467742055654526E-2</v>
      </c>
      <c r="JF306">
        <v>6.25E-2</v>
      </c>
      <c r="JG306">
        <v>5.6451611220836639E-2</v>
      </c>
      <c r="JH306">
        <v>0.13508065044879913</v>
      </c>
      <c r="JI306">
        <v>6.25E-2</v>
      </c>
      <c r="JJ306">
        <v>8.266129344701767E-2</v>
      </c>
      <c r="JK306">
        <v>0.11088709533214569</v>
      </c>
      <c r="JL306">
        <v>5.4435484111309052E-2</v>
      </c>
      <c r="JM306">
        <v>6.25E-2</v>
      </c>
      <c r="JN306">
        <v>6.6532261669635773E-2</v>
      </c>
      <c r="JO306">
        <v>0.10685484111309052</v>
      </c>
      <c r="JP306">
        <v>0.14717741310596466</v>
      </c>
      <c r="JQ306">
        <v>8.8709674775600433E-2</v>
      </c>
      <c r="JR306">
        <v>8.4677420556545258E-2</v>
      </c>
      <c r="JS306">
        <v>7.8629031777381897E-2</v>
      </c>
      <c r="JT306">
        <v>6.4516127109527588E-2</v>
      </c>
      <c r="JU306">
        <v>8.6693547666072845E-2</v>
      </c>
      <c r="JV306">
        <v>9.0725809335708618E-2</v>
      </c>
      <c r="JW306">
        <v>0.1088709682226181</v>
      </c>
      <c r="JX306">
        <v>0.11290322244167328</v>
      </c>
      <c r="JY306">
        <v>6.0483869165182114E-2</v>
      </c>
      <c r="JZ306">
        <v>6.4516127109527588E-2</v>
      </c>
      <c r="KA306">
        <v>6.6532261669635773E-2</v>
      </c>
      <c r="KB306">
        <v>8.8709674775600433E-2</v>
      </c>
      <c r="KC306">
        <v>7.4596777558326721E-2</v>
      </c>
      <c r="KD306">
        <v>6.4516127109527588E-2</v>
      </c>
      <c r="KE306">
        <v>8.6693547666072845E-2</v>
      </c>
      <c r="KF306">
        <v>7.2580642998218536E-2</v>
      </c>
      <c r="KG306">
        <v>5.8467742055654526E-2</v>
      </c>
      <c r="KH306">
        <v>0.11290322244167328</v>
      </c>
    </row>
    <row r="307" spans="4:308" x14ac:dyDescent="0.25">
      <c r="D307" s="41" t="str" cm="1">
        <f t="array" ref="D307">IF(H307="","",IF(AND(E307&lt;AVERAGE(E306,E308)*($L$19/100),$D$23:D306=""),H307,""))</f>
        <v/>
      </c>
      <c r="E307" s="78">
        <f t="shared" si="5"/>
        <v>3.8244575747272413E-3</v>
      </c>
      <c r="F307" s="79"/>
      <c r="H307">
        <v>285</v>
      </c>
      <c r="I307">
        <v>7.7874457574727246E-2</v>
      </c>
      <c r="K307">
        <v>7.0075757801532745E-2</v>
      </c>
      <c r="L307">
        <v>8.3333335816860199E-2</v>
      </c>
      <c r="M307">
        <v>8.901514858007431E-2</v>
      </c>
      <c r="N307">
        <v>5.8712121099233627E-2</v>
      </c>
      <c r="O307">
        <v>5.681818351149559E-2</v>
      </c>
      <c r="P307">
        <v>9.6590906381607056E-2</v>
      </c>
      <c r="Q307">
        <v>8.1439390778541565E-2</v>
      </c>
      <c r="R307">
        <v>6.8181820213794708E-2</v>
      </c>
      <c r="S307">
        <v>5.4924242198467255E-2</v>
      </c>
      <c r="T307">
        <v>6.4393937587738037E-2</v>
      </c>
      <c r="U307">
        <v>4.9242425709962845E-2</v>
      </c>
      <c r="V307">
        <v>8.7121210992336273E-2</v>
      </c>
      <c r="W307">
        <v>4.7348484396934509E-2</v>
      </c>
      <c r="X307">
        <v>7.386363297700882E-2</v>
      </c>
      <c r="Y307">
        <v>6.4393937587738037E-2</v>
      </c>
      <c r="Z307">
        <v>7.7651515603065491E-2</v>
      </c>
      <c r="AA307">
        <v>7.9545453190803528E-2</v>
      </c>
      <c r="AB307">
        <v>6.4393937587738037E-2</v>
      </c>
      <c r="AC307">
        <v>6.8181820213794708E-2</v>
      </c>
      <c r="AD307">
        <v>0.1458333283662796</v>
      </c>
      <c r="AE307">
        <v>7.1969695389270782E-2</v>
      </c>
      <c r="AF307">
        <v>9.2803031206130981E-2</v>
      </c>
      <c r="AG307">
        <v>4.9242425709962845E-2</v>
      </c>
      <c r="AH307">
        <v>0.11174242198467255</v>
      </c>
      <c r="AI307">
        <v>8.1439390778541565E-2</v>
      </c>
      <c r="AJ307">
        <v>5.681818351149559E-2</v>
      </c>
      <c r="AK307">
        <v>8.5227273404598236E-2</v>
      </c>
      <c r="AL307">
        <v>6.6287875175476074E-2</v>
      </c>
      <c r="AM307">
        <v>6.8181820213794708E-2</v>
      </c>
      <c r="AN307">
        <v>9.4696968793869019E-2</v>
      </c>
      <c r="AO307">
        <v>4.5454546809196472E-2</v>
      </c>
      <c r="AP307">
        <v>7.9545453190803528E-2</v>
      </c>
      <c r="AQ307">
        <v>7.0075757801532745E-2</v>
      </c>
      <c r="AR307">
        <v>5.3030304610729218E-2</v>
      </c>
      <c r="AS307">
        <v>0.11363636702299118</v>
      </c>
      <c r="AT307">
        <v>7.0075757801532745E-2</v>
      </c>
      <c r="AU307">
        <v>7.7651515603065491E-2</v>
      </c>
      <c r="AV307">
        <v>6.8181820213794708E-2</v>
      </c>
      <c r="AW307">
        <v>0.11553030461072922</v>
      </c>
      <c r="AX307">
        <v>7.5757578015327454E-2</v>
      </c>
      <c r="AY307">
        <v>7.5757578015327454E-2</v>
      </c>
      <c r="AZ307">
        <v>0.21969696879386902</v>
      </c>
      <c r="BA307">
        <v>5.3030304610729218E-2</v>
      </c>
      <c r="BB307">
        <v>7.9545453190803528E-2</v>
      </c>
      <c r="BC307">
        <v>6.8181820213794708E-2</v>
      </c>
      <c r="BD307">
        <v>9.848485141992569E-2</v>
      </c>
      <c r="BE307">
        <v>8.1439390778541565E-2</v>
      </c>
      <c r="BF307">
        <v>0.11174242198467255</v>
      </c>
      <c r="BG307">
        <v>8.1439390778541565E-2</v>
      </c>
      <c r="BH307">
        <v>0.10227272659540176</v>
      </c>
      <c r="BI307">
        <v>0.15719696879386902</v>
      </c>
      <c r="BJ307">
        <v>6.6287875175476074E-2</v>
      </c>
      <c r="BK307">
        <v>7.1969695389270782E-2</v>
      </c>
      <c r="BL307">
        <v>5.681818351149559E-2</v>
      </c>
      <c r="BM307">
        <v>5.3030304610729218E-2</v>
      </c>
      <c r="BN307">
        <v>0.11174242198467255</v>
      </c>
      <c r="BO307">
        <v>7.5757578015327454E-2</v>
      </c>
      <c r="BP307">
        <v>8.3333335816860199E-2</v>
      </c>
      <c r="BQ307">
        <v>6.4393937587738037E-2</v>
      </c>
      <c r="BR307">
        <v>7.386363297700882E-2</v>
      </c>
      <c r="BS307">
        <v>4.9242425709962845E-2</v>
      </c>
      <c r="BT307">
        <v>8.901514858007431E-2</v>
      </c>
      <c r="BU307">
        <v>0.10795454680919647</v>
      </c>
      <c r="BV307">
        <v>7.1969695389270782E-2</v>
      </c>
      <c r="BW307">
        <v>8.5227273404598236E-2</v>
      </c>
      <c r="BX307">
        <v>9.0909093618392944E-2</v>
      </c>
      <c r="BY307">
        <v>5.1136363297700882E-2</v>
      </c>
      <c r="BZ307">
        <v>7.9545453190803528E-2</v>
      </c>
      <c r="CA307">
        <v>6.8181820213794708E-2</v>
      </c>
      <c r="CB307">
        <v>0.125</v>
      </c>
      <c r="CC307">
        <v>5.4924242198467255E-2</v>
      </c>
      <c r="CD307">
        <v>7.386363297700882E-2</v>
      </c>
      <c r="CE307">
        <v>6.25E-2</v>
      </c>
      <c r="CF307">
        <v>7.7651515603065491E-2</v>
      </c>
      <c r="CG307">
        <v>7.9545453190803528E-2</v>
      </c>
      <c r="CH307">
        <v>7.0075757801532745E-2</v>
      </c>
      <c r="CI307">
        <v>8.1439390778541565E-2</v>
      </c>
      <c r="CJ307">
        <v>9.0909093618392944E-2</v>
      </c>
      <c r="CK307">
        <v>7.1969695389270782E-2</v>
      </c>
      <c r="CL307">
        <v>7.386363297700882E-2</v>
      </c>
      <c r="CM307">
        <v>5.681818351149559E-2</v>
      </c>
      <c r="CN307">
        <v>7.386363297700882E-2</v>
      </c>
      <c r="CO307">
        <v>9.0909093618392944E-2</v>
      </c>
      <c r="CP307">
        <v>6.6287875175476074E-2</v>
      </c>
      <c r="CQ307">
        <v>5.3030304610729218E-2</v>
      </c>
      <c r="CR307">
        <v>8.5227273404598236E-2</v>
      </c>
      <c r="CS307">
        <v>7.0075757801532745E-2</v>
      </c>
      <c r="CT307">
        <v>6.0606062412261963E-2</v>
      </c>
      <c r="CU307">
        <v>6.6287875175476074E-2</v>
      </c>
      <c r="CV307">
        <v>7.386363297700882E-2</v>
      </c>
      <c r="CW307">
        <v>8.901514858007431E-2</v>
      </c>
      <c r="CX307">
        <v>6.8181820213794708E-2</v>
      </c>
      <c r="CY307">
        <v>9.6590906381607056E-2</v>
      </c>
      <c r="CZ307">
        <v>7.5757578015327454E-2</v>
      </c>
      <c r="DA307">
        <v>0.10037878900766373</v>
      </c>
      <c r="DB307">
        <v>8.7121210992336273E-2</v>
      </c>
      <c r="DC307">
        <v>7.1969695389270782E-2</v>
      </c>
      <c r="DD307">
        <v>6.25E-2</v>
      </c>
      <c r="DE307">
        <v>5.1136363297700882E-2</v>
      </c>
      <c r="DF307">
        <v>6.0606062412261963E-2</v>
      </c>
      <c r="DG307">
        <v>8.1439390778541565E-2</v>
      </c>
      <c r="DH307">
        <v>5.8712121099233627E-2</v>
      </c>
      <c r="DI307">
        <v>6.4393937587738037E-2</v>
      </c>
      <c r="DJ307">
        <v>9.848485141992569E-2</v>
      </c>
      <c r="DK307">
        <v>8.901514858007431E-2</v>
      </c>
      <c r="DL307">
        <v>7.0075757801532745E-2</v>
      </c>
      <c r="DM307">
        <v>7.7651515603065491E-2</v>
      </c>
      <c r="DN307">
        <v>5.4924242198467255E-2</v>
      </c>
      <c r="DO307">
        <v>8.901514858007431E-2</v>
      </c>
      <c r="DP307">
        <v>7.9545453190803528E-2</v>
      </c>
      <c r="DQ307">
        <v>5.3030304610729218E-2</v>
      </c>
      <c r="DR307">
        <v>6.8181820213794708E-2</v>
      </c>
      <c r="DS307">
        <v>6.4393937587738037E-2</v>
      </c>
      <c r="DT307">
        <v>6.6287875175476074E-2</v>
      </c>
      <c r="DU307">
        <v>8.3333335816860199E-2</v>
      </c>
      <c r="DV307">
        <v>8.5227273404598236E-2</v>
      </c>
      <c r="DW307">
        <v>6.4393937587738037E-2</v>
      </c>
      <c r="DX307">
        <v>0.10606060922145844</v>
      </c>
      <c r="DY307">
        <v>5.8712121099233627E-2</v>
      </c>
      <c r="DZ307">
        <v>7.1969695389270782E-2</v>
      </c>
      <c r="EA307">
        <v>0.11174242198467255</v>
      </c>
      <c r="EB307">
        <v>6.4393937587738037E-2</v>
      </c>
      <c r="EC307">
        <v>9.2803031206130981E-2</v>
      </c>
      <c r="ED307">
        <v>7.5757578015327454E-2</v>
      </c>
      <c r="EE307">
        <v>4.9242425709962845E-2</v>
      </c>
      <c r="EF307">
        <v>0.125</v>
      </c>
      <c r="EG307">
        <v>4.9242425709962845E-2</v>
      </c>
      <c r="EH307">
        <v>0.11363636702299118</v>
      </c>
      <c r="EI307">
        <v>7.0075757801532745E-2</v>
      </c>
      <c r="EJ307">
        <v>8.3333335816860199E-2</v>
      </c>
      <c r="EK307">
        <v>8.901514858007431E-2</v>
      </c>
      <c r="EL307">
        <v>6.0606062412261963E-2</v>
      </c>
      <c r="EM307">
        <v>0.10037878900766373</v>
      </c>
      <c r="EN307">
        <v>8.901514858007431E-2</v>
      </c>
      <c r="EO307">
        <v>0.10227272659540176</v>
      </c>
      <c r="EP307">
        <v>6.4393937587738037E-2</v>
      </c>
      <c r="EQ307">
        <v>6.0606062412261963E-2</v>
      </c>
      <c r="ER307">
        <v>6.25E-2</v>
      </c>
      <c r="ES307">
        <v>0.11363636702299118</v>
      </c>
      <c r="ET307">
        <v>8.7121210992336273E-2</v>
      </c>
      <c r="EU307">
        <v>6.0606062412261963E-2</v>
      </c>
      <c r="EV307">
        <v>8.7121210992336273E-2</v>
      </c>
      <c r="EW307">
        <v>5.681818351149559E-2</v>
      </c>
      <c r="EX307">
        <v>5.681818351149559E-2</v>
      </c>
      <c r="EY307">
        <v>8.5227273404598236E-2</v>
      </c>
      <c r="EZ307">
        <v>7.5757578015327454E-2</v>
      </c>
      <c r="FA307">
        <v>6.25E-2</v>
      </c>
      <c r="FB307">
        <v>5.8712121099233627E-2</v>
      </c>
      <c r="FC307">
        <v>9.4696968793869019E-2</v>
      </c>
      <c r="FD307">
        <v>0.10227272659540176</v>
      </c>
      <c r="FE307">
        <v>6.25E-2</v>
      </c>
      <c r="FF307">
        <v>9.0909093618392944E-2</v>
      </c>
      <c r="FG307">
        <v>9.4696968793869019E-2</v>
      </c>
      <c r="FH307">
        <v>5.8712121099233627E-2</v>
      </c>
      <c r="FI307">
        <v>8.1439390778541565E-2</v>
      </c>
      <c r="FJ307">
        <v>6.4393937587738037E-2</v>
      </c>
      <c r="FK307">
        <v>8.901514858007431E-2</v>
      </c>
      <c r="FL307">
        <v>9.4696968793869019E-2</v>
      </c>
      <c r="FM307">
        <v>0.13068181276321411</v>
      </c>
      <c r="FN307">
        <v>6.8181820213794708E-2</v>
      </c>
      <c r="FO307">
        <v>0.10984848439693451</v>
      </c>
      <c r="FP307">
        <v>9.0909093618392944E-2</v>
      </c>
      <c r="FQ307">
        <v>8.3333335816860199E-2</v>
      </c>
      <c r="FR307">
        <v>6.8181820213794708E-2</v>
      </c>
      <c r="FS307">
        <v>5.3030304610729218E-2</v>
      </c>
      <c r="FT307">
        <v>6.0606062412261963E-2</v>
      </c>
      <c r="FU307">
        <v>0.10606060922145844</v>
      </c>
      <c r="FV307">
        <v>6.0606062412261963E-2</v>
      </c>
      <c r="FW307">
        <v>7.5757578015327454E-2</v>
      </c>
      <c r="FX307">
        <v>9.0909093618392944E-2</v>
      </c>
      <c r="FY307">
        <v>0.12310606241226196</v>
      </c>
      <c r="FZ307">
        <v>7.386363297700882E-2</v>
      </c>
      <c r="GA307">
        <v>7.1969695389270782E-2</v>
      </c>
      <c r="GB307">
        <v>6.4393937587738037E-2</v>
      </c>
      <c r="GC307">
        <v>6.0606062412261963E-2</v>
      </c>
      <c r="GD307">
        <v>5.8712121099233627E-2</v>
      </c>
      <c r="GE307">
        <v>7.9545453190803528E-2</v>
      </c>
      <c r="GF307">
        <v>5.681818351149559E-2</v>
      </c>
      <c r="GG307">
        <v>5.1136363297700882E-2</v>
      </c>
      <c r="GH307">
        <v>0.13068181276321411</v>
      </c>
      <c r="GI307">
        <v>5.8712121099233627E-2</v>
      </c>
      <c r="GJ307">
        <v>7.5757578015327454E-2</v>
      </c>
      <c r="GK307">
        <v>9.2803031206130981E-2</v>
      </c>
      <c r="GL307">
        <v>5.8712121099233627E-2</v>
      </c>
      <c r="GM307">
        <v>0.12878787517547607</v>
      </c>
      <c r="GN307">
        <v>6.0606062412261963E-2</v>
      </c>
      <c r="GO307">
        <v>7.9545453190803528E-2</v>
      </c>
      <c r="GP307">
        <v>7.1969695389270782E-2</v>
      </c>
      <c r="GQ307">
        <v>8.3333335816860199E-2</v>
      </c>
      <c r="GR307">
        <v>6.0606062412261963E-2</v>
      </c>
      <c r="GS307">
        <v>7.4596777558326721E-2</v>
      </c>
      <c r="GT307">
        <v>6.0483869165182114E-2</v>
      </c>
      <c r="GU307">
        <v>8.6693547666072845E-2</v>
      </c>
      <c r="GV307">
        <v>9.0725809335708618E-2</v>
      </c>
      <c r="GW307">
        <v>8.4677420556545258E-2</v>
      </c>
      <c r="GX307">
        <v>7.8629031777381897E-2</v>
      </c>
      <c r="GY307">
        <v>8.266129344701767E-2</v>
      </c>
      <c r="GZ307">
        <v>8.266129344701767E-2</v>
      </c>
      <c r="HA307">
        <v>7.8629031777381897E-2</v>
      </c>
      <c r="HB307">
        <v>6.8548388779163361E-2</v>
      </c>
      <c r="HC307">
        <v>9.8790325224399567E-2</v>
      </c>
      <c r="HD307">
        <v>4.6370968222618103E-2</v>
      </c>
      <c r="HE307">
        <v>7.8629031777381897E-2</v>
      </c>
      <c r="HF307">
        <v>0.10282257944345474</v>
      </c>
      <c r="HG307">
        <v>9.0725809335708618E-2</v>
      </c>
      <c r="HH307">
        <v>5.8467742055654526E-2</v>
      </c>
      <c r="HI307">
        <v>0.11290322244167328</v>
      </c>
      <c r="HJ307">
        <v>6.4516127109527588E-2</v>
      </c>
      <c r="HK307">
        <v>4.6370968222618103E-2</v>
      </c>
      <c r="HL307">
        <v>7.8629031777381897E-2</v>
      </c>
      <c r="HM307">
        <v>7.4596777558326721E-2</v>
      </c>
      <c r="HN307">
        <v>6.8548388779163361E-2</v>
      </c>
      <c r="HO307">
        <v>0.12096773833036423</v>
      </c>
      <c r="HP307">
        <v>9.4758063554763794E-2</v>
      </c>
      <c r="HQ307">
        <v>4.4354837387800217E-2</v>
      </c>
      <c r="HR307">
        <v>7.2580642998218536E-2</v>
      </c>
      <c r="HS307">
        <v>7.8629031777381897E-2</v>
      </c>
      <c r="HT307">
        <v>8.266129344701767E-2</v>
      </c>
      <c r="HU307">
        <v>6.0483869165182114E-2</v>
      </c>
      <c r="HV307">
        <v>0.11088709533214569</v>
      </c>
      <c r="HW307">
        <v>9.8790325224399567E-2</v>
      </c>
      <c r="HX307">
        <v>6.8548388779163361E-2</v>
      </c>
      <c r="HY307">
        <v>6.0483869165182114E-2</v>
      </c>
      <c r="HZ307">
        <v>0.10080645233392715</v>
      </c>
      <c r="IA307">
        <v>6.6532261669635773E-2</v>
      </c>
      <c r="IB307">
        <v>5.6451611220836639E-2</v>
      </c>
      <c r="IC307">
        <v>9.8790325224399567E-2</v>
      </c>
      <c r="ID307">
        <v>6.4516127109527588E-2</v>
      </c>
      <c r="IE307">
        <v>8.266129344701767E-2</v>
      </c>
      <c r="IF307">
        <v>7.0564515888690948E-2</v>
      </c>
      <c r="IG307">
        <v>7.4596777558326721E-2</v>
      </c>
      <c r="IH307">
        <v>9.6774190664291382E-2</v>
      </c>
      <c r="II307">
        <v>8.8709674775600433E-2</v>
      </c>
      <c r="IJ307">
        <v>6.0483869165182114E-2</v>
      </c>
      <c r="IK307">
        <v>5.4435484111309052E-2</v>
      </c>
      <c r="IL307">
        <v>8.0645158886909485E-2</v>
      </c>
      <c r="IM307">
        <v>6.6532261669635773E-2</v>
      </c>
      <c r="IN307">
        <v>7.8629031777381897E-2</v>
      </c>
      <c r="IO307">
        <v>0.1088709682226181</v>
      </c>
      <c r="IP307">
        <v>8.0645158886909485E-2</v>
      </c>
      <c r="IQ307">
        <v>5.8467742055654526E-2</v>
      </c>
      <c r="IR307">
        <v>9.0725809335708618E-2</v>
      </c>
      <c r="IS307">
        <v>9.2741936445236206E-2</v>
      </c>
      <c r="IT307">
        <v>5.2419353276491165E-2</v>
      </c>
      <c r="IU307">
        <v>5.8467742055654526E-2</v>
      </c>
      <c r="IV307">
        <v>6.0483869165182114E-2</v>
      </c>
      <c r="IW307">
        <v>7.8629031777381897E-2</v>
      </c>
      <c r="IX307">
        <v>7.6612904667854309E-2</v>
      </c>
      <c r="IY307">
        <v>0.12096773833036423</v>
      </c>
      <c r="IZ307">
        <v>8.0645158886909485E-2</v>
      </c>
      <c r="JA307">
        <v>7.8629031777381897E-2</v>
      </c>
      <c r="JB307">
        <v>9.0725809335708618E-2</v>
      </c>
      <c r="JC307">
        <v>7.2580642998218536E-2</v>
      </c>
      <c r="JD307">
        <v>9.6774190664291382E-2</v>
      </c>
      <c r="JE307">
        <v>5.4435484111309052E-2</v>
      </c>
      <c r="JF307">
        <v>7.4596777558326721E-2</v>
      </c>
      <c r="JG307">
        <v>5.2419353276491165E-2</v>
      </c>
      <c r="JH307">
        <v>5.2419353276491165E-2</v>
      </c>
      <c r="JI307">
        <v>6.6532261669635773E-2</v>
      </c>
      <c r="JJ307">
        <v>6.25E-2</v>
      </c>
      <c r="JK307">
        <v>0.1088709682226181</v>
      </c>
      <c r="JL307">
        <v>8.266129344701767E-2</v>
      </c>
      <c r="JM307">
        <v>7.2580642998218536E-2</v>
      </c>
      <c r="JN307">
        <v>0.11290322244167328</v>
      </c>
      <c r="JO307">
        <v>6.6532261669635773E-2</v>
      </c>
      <c r="JP307">
        <v>0.11491935700178146</v>
      </c>
      <c r="JQ307">
        <v>7.2580642998218536E-2</v>
      </c>
      <c r="JR307">
        <v>9.8790325224399567E-2</v>
      </c>
      <c r="JS307">
        <v>6.4516127109527588E-2</v>
      </c>
      <c r="JT307">
        <v>5.4435484111309052E-2</v>
      </c>
      <c r="JU307">
        <v>0.1088709682226181</v>
      </c>
      <c r="JV307">
        <v>6.0483869165182114E-2</v>
      </c>
      <c r="JW307">
        <v>5.2419353276491165E-2</v>
      </c>
      <c r="JX307">
        <v>5.4435484111309052E-2</v>
      </c>
      <c r="JY307">
        <v>4.8387095332145691E-2</v>
      </c>
      <c r="JZ307">
        <v>8.266129344701767E-2</v>
      </c>
      <c r="KA307">
        <v>6.4516127109527588E-2</v>
      </c>
      <c r="KB307">
        <v>7.0564515888690948E-2</v>
      </c>
      <c r="KC307">
        <v>5.6451611220836639E-2</v>
      </c>
      <c r="KD307">
        <v>0.10282257944345474</v>
      </c>
      <c r="KE307">
        <v>6.25E-2</v>
      </c>
      <c r="KF307">
        <v>7.0564515888690948E-2</v>
      </c>
      <c r="KG307">
        <v>5.2419353276491165E-2</v>
      </c>
      <c r="KH307">
        <v>8.8709674775600433E-2</v>
      </c>
      <c r="KI307">
        <v>6.8548388779163361E-2</v>
      </c>
    </row>
    <row r="308" spans="4:308" x14ac:dyDescent="0.25">
      <c r="D308" s="41" t="str" cm="1">
        <f t="array" ref="D308">IF(H308="","",IF(AND(E308&lt;AVERAGE(E307,E309)*($L$19/100),$D$23:D307=""),H308,""))</f>
        <v/>
      </c>
      <c r="E308" s="78">
        <f t="shared" si="5"/>
        <v>3.6179638278234227E-3</v>
      </c>
      <c r="F308" s="79"/>
      <c r="H308">
        <v>286</v>
      </c>
      <c r="I308">
        <v>7.7667963827823427E-2</v>
      </c>
      <c r="K308">
        <v>7.5757578015327454E-2</v>
      </c>
      <c r="L308">
        <v>5.4924242198467255E-2</v>
      </c>
      <c r="M308">
        <v>6.0606062412261963E-2</v>
      </c>
      <c r="N308">
        <v>8.7121210992336273E-2</v>
      </c>
      <c r="O308">
        <v>7.1969695389270782E-2</v>
      </c>
      <c r="P308">
        <v>5.4924242198467255E-2</v>
      </c>
      <c r="Q308">
        <v>8.5227273404598236E-2</v>
      </c>
      <c r="R308">
        <v>5.8712121099233627E-2</v>
      </c>
      <c r="S308">
        <v>6.25E-2</v>
      </c>
      <c r="T308">
        <v>7.1969695389270782E-2</v>
      </c>
      <c r="U308">
        <v>0.10037878900766373</v>
      </c>
      <c r="V308">
        <v>5.4924242198467255E-2</v>
      </c>
      <c r="W308">
        <v>8.3333335816860199E-2</v>
      </c>
      <c r="X308">
        <v>9.2803031206130981E-2</v>
      </c>
      <c r="Y308">
        <v>7.9545453190803528E-2</v>
      </c>
      <c r="Z308">
        <v>8.5227273404598236E-2</v>
      </c>
      <c r="AA308">
        <v>9.6590906381607056E-2</v>
      </c>
      <c r="AB308">
        <v>7.0075757801532745E-2</v>
      </c>
      <c r="AC308">
        <v>7.5757578015327454E-2</v>
      </c>
      <c r="AD308">
        <v>5.3030304610729218E-2</v>
      </c>
      <c r="AE308">
        <v>9.4696968793869019E-2</v>
      </c>
      <c r="AF308">
        <v>9.848485141992569E-2</v>
      </c>
      <c r="AG308">
        <v>6.4393937587738037E-2</v>
      </c>
      <c r="AH308">
        <v>8.7121210992336273E-2</v>
      </c>
      <c r="AI308">
        <v>7.9545453190803528E-2</v>
      </c>
      <c r="AJ308">
        <v>8.3333335816860199E-2</v>
      </c>
      <c r="AK308">
        <v>7.0075757801532745E-2</v>
      </c>
      <c r="AL308">
        <v>0.12121212482452393</v>
      </c>
      <c r="AM308">
        <v>5.3030304610729218E-2</v>
      </c>
      <c r="AN308">
        <v>8.1439390778541565E-2</v>
      </c>
      <c r="AO308">
        <v>0.10984848439693451</v>
      </c>
      <c r="AP308">
        <v>7.1969695389270782E-2</v>
      </c>
      <c r="AQ308">
        <v>9.2803031206130981E-2</v>
      </c>
      <c r="AR308">
        <v>8.5227273404598236E-2</v>
      </c>
      <c r="AS308">
        <v>9.4696968793869019E-2</v>
      </c>
      <c r="AT308">
        <v>6.0606062412261963E-2</v>
      </c>
      <c r="AU308">
        <v>8.5227273404598236E-2</v>
      </c>
      <c r="AV308">
        <v>0.10606060922145844</v>
      </c>
      <c r="AW308">
        <v>7.386363297700882E-2</v>
      </c>
      <c r="AX308">
        <v>8.1439390778541565E-2</v>
      </c>
      <c r="AY308">
        <v>0.16098484396934509</v>
      </c>
      <c r="AZ308">
        <v>7.7651515603065491E-2</v>
      </c>
      <c r="BA308">
        <v>6.25E-2</v>
      </c>
      <c r="BB308">
        <v>6.25E-2</v>
      </c>
      <c r="BC308">
        <v>7.5757578015327454E-2</v>
      </c>
      <c r="BD308">
        <v>7.0075757801532745E-2</v>
      </c>
      <c r="BE308">
        <v>5.681818351149559E-2</v>
      </c>
      <c r="BF308">
        <v>0.13257575035095215</v>
      </c>
      <c r="BG308">
        <v>7.9545453190803528E-2</v>
      </c>
      <c r="BH308">
        <v>5.4924242198467255E-2</v>
      </c>
      <c r="BI308">
        <v>6.25E-2</v>
      </c>
      <c r="BJ308">
        <v>5.681818351149559E-2</v>
      </c>
      <c r="BK308">
        <v>6.6287875175476074E-2</v>
      </c>
      <c r="BL308">
        <v>4.3560605496168137E-2</v>
      </c>
      <c r="BM308">
        <v>7.0075757801532745E-2</v>
      </c>
      <c r="BN308">
        <v>7.9545453190803528E-2</v>
      </c>
      <c r="BO308">
        <v>8.7121210992336273E-2</v>
      </c>
      <c r="BP308">
        <v>9.2803031206130981E-2</v>
      </c>
      <c r="BQ308">
        <v>0.14204545319080353</v>
      </c>
      <c r="BR308">
        <v>6.8181820213794708E-2</v>
      </c>
      <c r="BS308">
        <v>7.9545453190803528E-2</v>
      </c>
      <c r="BT308">
        <v>8.901514858007431E-2</v>
      </c>
      <c r="BU308">
        <v>5.3030304610729218E-2</v>
      </c>
      <c r="BV308">
        <v>8.3333335816860199E-2</v>
      </c>
      <c r="BW308">
        <v>7.7651515603065491E-2</v>
      </c>
      <c r="BX308">
        <v>5.8712121099233627E-2</v>
      </c>
      <c r="BY308">
        <v>6.8181820213794708E-2</v>
      </c>
      <c r="BZ308">
        <v>0.10606060922145844</v>
      </c>
      <c r="CA308">
        <v>6.4393937587738037E-2</v>
      </c>
      <c r="CB308">
        <v>6.25E-2</v>
      </c>
      <c r="CC308">
        <v>8.1439390778541565E-2</v>
      </c>
      <c r="CD308">
        <v>7.9545453190803528E-2</v>
      </c>
      <c r="CE308">
        <v>7.7651515603065491E-2</v>
      </c>
      <c r="CF308">
        <v>7.386363297700882E-2</v>
      </c>
      <c r="CG308">
        <v>6.8181820213794708E-2</v>
      </c>
      <c r="CH308">
        <v>8.5227273404598236E-2</v>
      </c>
      <c r="CI308">
        <v>7.9545453190803528E-2</v>
      </c>
      <c r="CJ308">
        <v>9.2803031206130981E-2</v>
      </c>
      <c r="CK308">
        <v>7.5757578015327454E-2</v>
      </c>
      <c r="CL308">
        <v>5.1136363297700882E-2</v>
      </c>
      <c r="CM308">
        <v>6.4393937587738037E-2</v>
      </c>
      <c r="CN308">
        <v>6.6287875175476074E-2</v>
      </c>
      <c r="CO308">
        <v>7.0075757801532745E-2</v>
      </c>
      <c r="CP308">
        <v>7.386363297700882E-2</v>
      </c>
      <c r="CQ308">
        <v>0.12310606241226196</v>
      </c>
      <c r="CR308">
        <v>8.1439390778541565E-2</v>
      </c>
      <c r="CS308">
        <v>8.1439390778541565E-2</v>
      </c>
      <c r="CT308">
        <v>6.25E-2</v>
      </c>
      <c r="CU308">
        <v>9.0909093618392944E-2</v>
      </c>
      <c r="CV308">
        <v>8.3333335816860199E-2</v>
      </c>
      <c r="CW308">
        <v>0.11553030461072922</v>
      </c>
      <c r="CX308">
        <v>5.681818351149559E-2</v>
      </c>
      <c r="CY308">
        <v>0.10984848439693451</v>
      </c>
      <c r="CZ308">
        <v>5.8712121099233627E-2</v>
      </c>
      <c r="DA308">
        <v>8.7121210992336273E-2</v>
      </c>
      <c r="DB308">
        <v>7.0075757801532745E-2</v>
      </c>
      <c r="DC308">
        <v>8.3333335816860199E-2</v>
      </c>
      <c r="DD308">
        <v>6.0606062412261963E-2</v>
      </c>
      <c r="DE308">
        <v>0.10606060922145844</v>
      </c>
      <c r="DF308">
        <v>7.1969695389270782E-2</v>
      </c>
      <c r="DG308">
        <v>6.6287875175476074E-2</v>
      </c>
      <c r="DH308">
        <v>8.5227273404598236E-2</v>
      </c>
      <c r="DI308">
        <v>7.7651515603065491E-2</v>
      </c>
      <c r="DJ308">
        <v>6.25E-2</v>
      </c>
      <c r="DK308">
        <v>6.8181820213794708E-2</v>
      </c>
      <c r="DL308">
        <v>6.0606062412261963E-2</v>
      </c>
      <c r="DM308">
        <v>6.25E-2</v>
      </c>
      <c r="DN308">
        <v>0.10795454680919647</v>
      </c>
      <c r="DO308">
        <v>5.1136363297700882E-2</v>
      </c>
      <c r="DP308">
        <v>9.848485141992569E-2</v>
      </c>
      <c r="DQ308">
        <v>8.5227273404598236E-2</v>
      </c>
      <c r="DR308">
        <v>6.4393937587738037E-2</v>
      </c>
      <c r="DS308">
        <v>8.7121210992336273E-2</v>
      </c>
      <c r="DT308">
        <v>6.4393937587738037E-2</v>
      </c>
      <c r="DU308">
        <v>5.1136363297700882E-2</v>
      </c>
      <c r="DV308">
        <v>7.386363297700882E-2</v>
      </c>
      <c r="DW308">
        <v>6.6287875175476074E-2</v>
      </c>
      <c r="DX308">
        <v>0.1041666641831398</v>
      </c>
      <c r="DY308">
        <v>6.4393937587738037E-2</v>
      </c>
      <c r="DZ308">
        <v>7.5757578015327454E-2</v>
      </c>
      <c r="EA308">
        <v>8.3333335816860199E-2</v>
      </c>
      <c r="EB308">
        <v>9.6590906381607056E-2</v>
      </c>
      <c r="EC308">
        <v>0.10037878900766373</v>
      </c>
      <c r="ED308">
        <v>8.5227273404598236E-2</v>
      </c>
      <c r="EE308">
        <v>7.5757578015327454E-2</v>
      </c>
      <c r="EF308">
        <v>7.5757578015327454E-2</v>
      </c>
      <c r="EG308">
        <v>7.1969695389270782E-2</v>
      </c>
      <c r="EH308">
        <v>6.6287875175476074E-2</v>
      </c>
      <c r="EI308">
        <v>0.10227272659540176</v>
      </c>
      <c r="EJ308">
        <v>9.6590906381607056E-2</v>
      </c>
      <c r="EK308">
        <v>5.681818351149559E-2</v>
      </c>
      <c r="EL308">
        <v>0.10037878900766373</v>
      </c>
      <c r="EM308">
        <v>7.1969695389270782E-2</v>
      </c>
      <c r="EN308">
        <v>8.901514858007431E-2</v>
      </c>
      <c r="EO308">
        <v>7.386363297700882E-2</v>
      </c>
      <c r="EP308">
        <v>6.4393937587738037E-2</v>
      </c>
      <c r="EQ308">
        <v>5.681818351149559E-2</v>
      </c>
      <c r="ER308">
        <v>0.11553030461072922</v>
      </c>
      <c r="ES308">
        <v>6.25E-2</v>
      </c>
      <c r="ET308">
        <v>6.4393937587738037E-2</v>
      </c>
      <c r="EU308">
        <v>8.3333335816860199E-2</v>
      </c>
      <c r="EV308">
        <v>7.5757578015327454E-2</v>
      </c>
      <c r="EW308">
        <v>0.1041666641831398</v>
      </c>
      <c r="EX308">
        <v>6.4393937587738037E-2</v>
      </c>
      <c r="EY308">
        <v>7.9545453190803528E-2</v>
      </c>
      <c r="EZ308">
        <v>8.3333335816860199E-2</v>
      </c>
      <c r="FA308">
        <v>6.25E-2</v>
      </c>
      <c r="FB308">
        <v>7.386363297700882E-2</v>
      </c>
      <c r="FC308">
        <v>7.9545453190803528E-2</v>
      </c>
      <c r="FD308">
        <v>6.8181820213794708E-2</v>
      </c>
      <c r="FE308">
        <v>7.1969695389270782E-2</v>
      </c>
      <c r="FF308">
        <v>0.1041666641831398</v>
      </c>
      <c r="FG308">
        <v>6.0606062412261963E-2</v>
      </c>
      <c r="FH308">
        <v>0.11174242198467255</v>
      </c>
      <c r="FI308">
        <v>0.1041666641831398</v>
      </c>
      <c r="FJ308">
        <v>5.4924242198467255E-2</v>
      </c>
      <c r="FK308">
        <v>9.848485141992569E-2</v>
      </c>
      <c r="FL308">
        <v>5.1136363297700882E-2</v>
      </c>
      <c r="FM308">
        <v>7.6612904667854309E-2</v>
      </c>
      <c r="FN308">
        <v>7.4596777558326721E-2</v>
      </c>
      <c r="FO308">
        <v>0.11088709533214569</v>
      </c>
      <c r="FP308">
        <v>4.6370968222618103E-2</v>
      </c>
      <c r="FQ308">
        <v>0.10080645233392715</v>
      </c>
      <c r="FR308">
        <v>6.6532261669635773E-2</v>
      </c>
      <c r="FS308">
        <v>8.4677420556545258E-2</v>
      </c>
      <c r="FT308">
        <v>6.0483869165182114E-2</v>
      </c>
      <c r="FU308">
        <v>6.0483869165182114E-2</v>
      </c>
      <c r="FV308">
        <v>0.1088709682226181</v>
      </c>
      <c r="FW308">
        <v>6.6532261669635773E-2</v>
      </c>
      <c r="FX308">
        <v>0.10282257944345474</v>
      </c>
      <c r="FY308">
        <v>6.4516127109527588E-2</v>
      </c>
      <c r="FZ308">
        <v>7.8629031777381897E-2</v>
      </c>
      <c r="GA308">
        <v>6.0483869165182114E-2</v>
      </c>
      <c r="GB308">
        <v>6.8548388779163361E-2</v>
      </c>
      <c r="GC308">
        <v>7.6612904667854309E-2</v>
      </c>
      <c r="GD308">
        <v>5.8467742055654526E-2</v>
      </c>
      <c r="GE308">
        <v>8.266129344701767E-2</v>
      </c>
      <c r="GF308">
        <v>8.266129344701767E-2</v>
      </c>
      <c r="GG308">
        <v>6.6532261669635773E-2</v>
      </c>
      <c r="GH308">
        <v>8.266129344701767E-2</v>
      </c>
      <c r="GI308">
        <v>8.0645158886909485E-2</v>
      </c>
      <c r="GJ308">
        <v>6.6532261669635773E-2</v>
      </c>
      <c r="GK308">
        <v>7.2580642998218536E-2</v>
      </c>
      <c r="GL308">
        <v>6.4516127109527588E-2</v>
      </c>
      <c r="GM308">
        <v>7.0564515888690948E-2</v>
      </c>
      <c r="GN308">
        <v>7.2580642998218536E-2</v>
      </c>
      <c r="GO308">
        <v>6.25E-2</v>
      </c>
      <c r="GP308">
        <v>0.11491935700178146</v>
      </c>
      <c r="GQ308">
        <v>7.2580642998218536E-2</v>
      </c>
      <c r="GR308">
        <v>9.6774190664291382E-2</v>
      </c>
      <c r="GS308">
        <v>7.2580642998218536E-2</v>
      </c>
      <c r="GT308">
        <v>7.6612904667854309E-2</v>
      </c>
      <c r="GU308">
        <v>7.4596777558326721E-2</v>
      </c>
      <c r="GV308">
        <v>0.11491935700178146</v>
      </c>
      <c r="GW308">
        <v>6.8548388779163361E-2</v>
      </c>
      <c r="GX308">
        <v>7.2580642998218536E-2</v>
      </c>
      <c r="GY308">
        <v>9.2741936445236206E-2</v>
      </c>
      <c r="GZ308">
        <v>6.6532261669635773E-2</v>
      </c>
      <c r="HA308">
        <v>9.0725809335708618E-2</v>
      </c>
      <c r="HB308">
        <v>6.0483869165182114E-2</v>
      </c>
      <c r="HC308">
        <v>0.12096773833036423</v>
      </c>
      <c r="HD308">
        <v>6.25E-2</v>
      </c>
      <c r="HE308">
        <v>8.0645158886909485E-2</v>
      </c>
      <c r="HF308">
        <v>8.266129344701767E-2</v>
      </c>
      <c r="HG308">
        <v>7.8629031777381897E-2</v>
      </c>
      <c r="HH308">
        <v>5.6451611220836639E-2</v>
      </c>
      <c r="HI308">
        <v>6.8548388779163361E-2</v>
      </c>
      <c r="HJ308">
        <v>6.25E-2</v>
      </c>
      <c r="HK308">
        <v>4.8387095332145691E-2</v>
      </c>
      <c r="HL308">
        <v>5.8467742055654526E-2</v>
      </c>
      <c r="HM308">
        <v>0.1088709682226181</v>
      </c>
      <c r="HN308">
        <v>9.0725809335708618E-2</v>
      </c>
      <c r="HO308">
        <v>5.8467742055654526E-2</v>
      </c>
      <c r="HP308">
        <v>9.4758063554763794E-2</v>
      </c>
      <c r="HQ308">
        <v>5.2419353276491165E-2</v>
      </c>
      <c r="HR308">
        <v>7.6612904667854309E-2</v>
      </c>
      <c r="HS308">
        <v>6.25E-2</v>
      </c>
      <c r="HT308">
        <v>8.4677420556545258E-2</v>
      </c>
      <c r="HU308">
        <v>8.0645158886909485E-2</v>
      </c>
      <c r="HV308">
        <v>6.25E-2</v>
      </c>
      <c r="HW308">
        <v>6.8548388779163361E-2</v>
      </c>
      <c r="HX308">
        <v>8.4677420556545258E-2</v>
      </c>
      <c r="HY308">
        <v>6.25E-2</v>
      </c>
      <c r="HZ308">
        <v>5.4435484111309052E-2</v>
      </c>
      <c r="IA308">
        <v>6.6532261669635773E-2</v>
      </c>
      <c r="IB308">
        <v>6.8548388779163361E-2</v>
      </c>
      <c r="IC308">
        <v>5.4435484111309052E-2</v>
      </c>
      <c r="ID308">
        <v>7.6612904667854309E-2</v>
      </c>
      <c r="IE308">
        <v>6.8548388779163361E-2</v>
      </c>
      <c r="IF308">
        <v>6.0483869165182114E-2</v>
      </c>
      <c r="IG308">
        <v>5.2419353276491165E-2</v>
      </c>
      <c r="IH308">
        <v>7.2580642998218536E-2</v>
      </c>
      <c r="II308">
        <v>8.4677420556545258E-2</v>
      </c>
      <c r="IJ308">
        <v>5.8467742055654526E-2</v>
      </c>
      <c r="IK308">
        <v>7.2580642998218536E-2</v>
      </c>
      <c r="IL308">
        <v>9.4758063554763794E-2</v>
      </c>
      <c r="IM308">
        <v>8.266129344701767E-2</v>
      </c>
      <c r="IN308">
        <v>9.8790325224399567E-2</v>
      </c>
      <c r="IO308">
        <v>0.12298387289047241</v>
      </c>
      <c r="IP308">
        <v>8.0645158886909485E-2</v>
      </c>
      <c r="IQ308">
        <v>9.4758063554763794E-2</v>
      </c>
      <c r="IR308">
        <v>5.4435484111309052E-2</v>
      </c>
      <c r="IS308">
        <v>8.0645158886909485E-2</v>
      </c>
      <c r="IT308">
        <v>6.0483869165182114E-2</v>
      </c>
      <c r="IU308">
        <v>8.266129344701767E-2</v>
      </c>
      <c r="IV308">
        <v>6.8548388779163361E-2</v>
      </c>
      <c r="IW308">
        <v>0.10080645233392715</v>
      </c>
      <c r="IX308">
        <v>6.25E-2</v>
      </c>
      <c r="IY308">
        <v>9.8790325224399567E-2</v>
      </c>
      <c r="IZ308">
        <v>5.4435484111309052E-2</v>
      </c>
      <c r="JA308">
        <v>9.0725809335708618E-2</v>
      </c>
      <c r="JB308">
        <v>9.0725809335708618E-2</v>
      </c>
      <c r="JC308">
        <v>6.6532261669635773E-2</v>
      </c>
      <c r="JD308">
        <v>5.8467742055654526E-2</v>
      </c>
      <c r="JE308">
        <v>5.2419353276491165E-2</v>
      </c>
      <c r="JF308">
        <v>6.0483869165182114E-2</v>
      </c>
      <c r="JG308">
        <v>0.125</v>
      </c>
      <c r="JH308">
        <v>8.8709674775600433E-2</v>
      </c>
      <c r="JI308">
        <v>6.0483869165182114E-2</v>
      </c>
      <c r="JJ308">
        <v>7.6612904667854309E-2</v>
      </c>
      <c r="JK308">
        <v>0.10685484111309052</v>
      </c>
      <c r="JL308">
        <v>5.0403226166963577E-2</v>
      </c>
      <c r="JM308">
        <v>8.266129344701767E-2</v>
      </c>
      <c r="JN308">
        <v>5.4435484111309052E-2</v>
      </c>
      <c r="JO308">
        <v>8.4677420556545258E-2</v>
      </c>
      <c r="JP308">
        <v>7.2580642998218536E-2</v>
      </c>
      <c r="JQ308">
        <v>7.4596777558326721E-2</v>
      </c>
      <c r="JR308">
        <v>9.4758063554763794E-2</v>
      </c>
      <c r="JS308">
        <v>5.8467742055654526E-2</v>
      </c>
      <c r="JT308">
        <v>7.4596777558326721E-2</v>
      </c>
      <c r="JU308">
        <v>5.6451611220836639E-2</v>
      </c>
      <c r="JV308">
        <v>8.266129344701767E-2</v>
      </c>
      <c r="JW308">
        <v>8.6693547666072845E-2</v>
      </c>
      <c r="JX308">
        <v>5.6451611220836639E-2</v>
      </c>
      <c r="JY308">
        <v>6.0483869165182114E-2</v>
      </c>
      <c r="JZ308">
        <v>7.0564515888690948E-2</v>
      </c>
      <c r="KA308">
        <v>8.4677420556545258E-2</v>
      </c>
      <c r="KB308">
        <v>7.2580642998218536E-2</v>
      </c>
      <c r="KC308">
        <v>8.266129344701767E-2</v>
      </c>
      <c r="KD308">
        <v>0.12096773833036423</v>
      </c>
      <c r="KE308">
        <v>7.6612904667854309E-2</v>
      </c>
      <c r="KF308">
        <v>6.6532261669635773E-2</v>
      </c>
      <c r="KG308">
        <v>0.11290322244167328</v>
      </c>
      <c r="KH308">
        <v>7.4596777558326721E-2</v>
      </c>
      <c r="KI308">
        <v>0.11491935700178146</v>
      </c>
      <c r="KJ308">
        <v>7.0564515888690948E-2</v>
      </c>
    </row>
    <row r="309" spans="4:308" x14ac:dyDescent="0.25">
      <c r="D309" s="41" t="str" cm="1">
        <f t="array" ref="D309">IF(H309="","",IF(AND(E309&lt;AVERAGE(E308,E310)*($L$19/100),$D$23:D308=""),H309,""))</f>
        <v/>
      </c>
      <c r="E309" s="78">
        <f t="shared" si="5"/>
        <v>3.5097664796932132E-3</v>
      </c>
      <c r="F309" s="79"/>
      <c r="H309">
        <v>287</v>
      </c>
      <c r="I309">
        <v>7.7559766479693218E-2</v>
      </c>
      <c r="K309">
        <v>8.1439390778541565E-2</v>
      </c>
      <c r="L309">
        <v>8.7121210992336273E-2</v>
      </c>
      <c r="M309">
        <v>8.3333335816860199E-2</v>
      </c>
      <c r="N309">
        <v>6.0606062412261963E-2</v>
      </c>
      <c r="O309">
        <v>6.4393937587738037E-2</v>
      </c>
      <c r="P309">
        <v>6.4393937587738037E-2</v>
      </c>
      <c r="Q309">
        <v>6.8181820213794708E-2</v>
      </c>
      <c r="R309">
        <v>5.3030304610729218E-2</v>
      </c>
      <c r="S309">
        <v>9.6590906381607056E-2</v>
      </c>
      <c r="T309">
        <v>6.4393937587738037E-2</v>
      </c>
      <c r="U309">
        <v>7.386363297700882E-2</v>
      </c>
      <c r="V309">
        <v>8.7121210992336273E-2</v>
      </c>
      <c r="W309">
        <v>9.0909093618392944E-2</v>
      </c>
      <c r="X309">
        <v>0.11363636702299118</v>
      </c>
      <c r="Y309">
        <v>6.4393937587738037E-2</v>
      </c>
      <c r="Z309">
        <v>7.386363297700882E-2</v>
      </c>
      <c r="AA309">
        <v>9.6590906381607056E-2</v>
      </c>
      <c r="AB309">
        <v>6.6287875175476074E-2</v>
      </c>
      <c r="AC309">
        <v>0.10227272659540176</v>
      </c>
      <c r="AD309">
        <v>0.10227272659540176</v>
      </c>
      <c r="AE309">
        <v>5.8712121099233627E-2</v>
      </c>
      <c r="AF309">
        <v>7.7651515603065491E-2</v>
      </c>
      <c r="AG309">
        <v>7.386363297700882E-2</v>
      </c>
      <c r="AH309">
        <v>8.7121210992336273E-2</v>
      </c>
      <c r="AI309">
        <v>8.5227273404598236E-2</v>
      </c>
      <c r="AJ309">
        <v>7.7651515603065491E-2</v>
      </c>
      <c r="AK309">
        <v>7.1969695389270782E-2</v>
      </c>
      <c r="AL309">
        <v>0.10227272659540176</v>
      </c>
      <c r="AM309">
        <v>7.7651515603065491E-2</v>
      </c>
      <c r="AN309">
        <v>8.5227273404598236E-2</v>
      </c>
      <c r="AO309">
        <v>9.4696968793869019E-2</v>
      </c>
      <c r="AP309">
        <v>5.8712121099233627E-2</v>
      </c>
      <c r="AQ309">
        <v>7.0075757801532745E-2</v>
      </c>
      <c r="AR309">
        <v>0.10984848439693451</v>
      </c>
      <c r="AS309">
        <v>7.1969695389270782E-2</v>
      </c>
      <c r="AT309">
        <v>7.5757578015327454E-2</v>
      </c>
      <c r="AU309">
        <v>6.4393937587738037E-2</v>
      </c>
      <c r="AV309">
        <v>6.4393937587738037E-2</v>
      </c>
      <c r="AW309">
        <v>8.1439390778541565E-2</v>
      </c>
      <c r="AX309">
        <v>0.12878787517547607</v>
      </c>
      <c r="AY309">
        <v>5.3030304610729218E-2</v>
      </c>
      <c r="AZ309">
        <v>0.13446970283985138</v>
      </c>
      <c r="BA309">
        <v>7.7651515603065491E-2</v>
      </c>
      <c r="BB309">
        <v>0.10037878900766373</v>
      </c>
      <c r="BC309">
        <v>6.8181820213794708E-2</v>
      </c>
      <c r="BD309">
        <v>5.681818351149559E-2</v>
      </c>
      <c r="BE309">
        <v>6.25E-2</v>
      </c>
      <c r="BF309">
        <v>6.0606062412261963E-2</v>
      </c>
      <c r="BG309">
        <v>6.0606062412261963E-2</v>
      </c>
      <c r="BH309">
        <v>8.7121210992336273E-2</v>
      </c>
      <c r="BI309">
        <v>5.8712121099233627E-2</v>
      </c>
      <c r="BJ309">
        <v>7.9545453190803528E-2</v>
      </c>
      <c r="BK309">
        <v>9.0909093618392944E-2</v>
      </c>
      <c r="BL309">
        <v>7.0075757801532745E-2</v>
      </c>
      <c r="BM309">
        <v>7.9545453190803528E-2</v>
      </c>
      <c r="BN309">
        <v>5.681818351149559E-2</v>
      </c>
      <c r="BO309">
        <v>9.2803031206130981E-2</v>
      </c>
      <c r="BP309">
        <v>9.0909093618392944E-2</v>
      </c>
      <c r="BQ309">
        <v>8.901514858007431E-2</v>
      </c>
      <c r="BR309">
        <v>6.4393937587738037E-2</v>
      </c>
      <c r="BS309">
        <v>8.1439390778541565E-2</v>
      </c>
      <c r="BT309">
        <v>8.3333335816860199E-2</v>
      </c>
      <c r="BU309">
        <v>0.10795454680919647</v>
      </c>
      <c r="BV309">
        <v>9.6590906381607056E-2</v>
      </c>
      <c r="BW309">
        <v>5.4924242198467255E-2</v>
      </c>
      <c r="BX309">
        <v>8.5227273404598236E-2</v>
      </c>
      <c r="BY309">
        <v>9.2803031206130981E-2</v>
      </c>
      <c r="BZ309">
        <v>6.6287875175476074E-2</v>
      </c>
      <c r="CA309">
        <v>8.7121210992336273E-2</v>
      </c>
      <c r="CB309">
        <v>7.9545453190803528E-2</v>
      </c>
      <c r="CC309">
        <v>0.10984848439693451</v>
      </c>
      <c r="CD309">
        <v>6.4393937587738037E-2</v>
      </c>
      <c r="CE309">
        <v>0.10037878900766373</v>
      </c>
      <c r="CF309">
        <v>5.681818351149559E-2</v>
      </c>
      <c r="CG309">
        <v>5.1136363297700882E-2</v>
      </c>
      <c r="CH309">
        <v>8.5227273404598236E-2</v>
      </c>
      <c r="CI309">
        <v>5.4924242198467255E-2</v>
      </c>
      <c r="CJ309">
        <v>5.3030304610729218E-2</v>
      </c>
      <c r="CK309">
        <v>5.681818351149559E-2</v>
      </c>
      <c r="CL309">
        <v>0.1041666641831398</v>
      </c>
      <c r="CM309">
        <v>7.386363297700882E-2</v>
      </c>
      <c r="CN309">
        <v>5.681818351149559E-2</v>
      </c>
      <c r="CO309">
        <v>8.1439390778541565E-2</v>
      </c>
      <c r="CP309">
        <v>7.5757578015327454E-2</v>
      </c>
      <c r="CQ309">
        <v>5.8712121099233627E-2</v>
      </c>
      <c r="CR309">
        <v>8.901514858007431E-2</v>
      </c>
      <c r="CS309">
        <v>8.3333335816860199E-2</v>
      </c>
      <c r="CT309">
        <v>6.8181820213794708E-2</v>
      </c>
      <c r="CU309">
        <v>5.4924242198467255E-2</v>
      </c>
      <c r="CV309">
        <v>5.1136363297700882E-2</v>
      </c>
      <c r="CW309">
        <v>9.0909093618392944E-2</v>
      </c>
      <c r="CX309">
        <v>8.901514858007431E-2</v>
      </c>
      <c r="CY309">
        <v>9.0909093618392944E-2</v>
      </c>
      <c r="CZ309">
        <v>8.1439390778541565E-2</v>
      </c>
      <c r="DA309">
        <v>5.4924242198467255E-2</v>
      </c>
      <c r="DB309">
        <v>7.9545453190803528E-2</v>
      </c>
      <c r="DC309">
        <v>6.8181820213794708E-2</v>
      </c>
      <c r="DD309">
        <v>6.25E-2</v>
      </c>
      <c r="DE309">
        <v>9.0909093618392944E-2</v>
      </c>
      <c r="DF309">
        <v>8.3333335816860199E-2</v>
      </c>
      <c r="DG309">
        <v>8.3333335816860199E-2</v>
      </c>
      <c r="DH309">
        <v>5.3030304610729218E-2</v>
      </c>
      <c r="DI309">
        <v>6.4393937587738037E-2</v>
      </c>
      <c r="DJ309">
        <v>8.901514858007431E-2</v>
      </c>
      <c r="DK309">
        <v>7.9545453190803528E-2</v>
      </c>
      <c r="DL309">
        <v>0.10795454680919647</v>
      </c>
      <c r="DM309">
        <v>9.2803031206130981E-2</v>
      </c>
      <c r="DN309">
        <v>6.8181820213794708E-2</v>
      </c>
      <c r="DO309">
        <v>8.5227273404598236E-2</v>
      </c>
      <c r="DP309">
        <v>8.3333335816860199E-2</v>
      </c>
      <c r="DQ309">
        <v>8.901514858007431E-2</v>
      </c>
      <c r="DR309">
        <v>6.4393937587738037E-2</v>
      </c>
      <c r="DS309">
        <v>5.3030304610729218E-2</v>
      </c>
      <c r="DT309">
        <v>7.5757578015327454E-2</v>
      </c>
      <c r="DU309">
        <v>0.10227272659540176</v>
      </c>
      <c r="DV309">
        <v>8.7121210992336273E-2</v>
      </c>
      <c r="DW309">
        <v>7.0075757801532745E-2</v>
      </c>
      <c r="DX309">
        <v>7.1969695389270782E-2</v>
      </c>
      <c r="DY309">
        <v>9.0909093618392944E-2</v>
      </c>
      <c r="DZ309">
        <v>6.25E-2</v>
      </c>
      <c r="EA309">
        <v>6.0606062412261963E-2</v>
      </c>
      <c r="EB309">
        <v>6.8181820213794708E-2</v>
      </c>
      <c r="EC309">
        <v>9.2803031206130981E-2</v>
      </c>
      <c r="ED309">
        <v>6.6287875175476074E-2</v>
      </c>
      <c r="EE309">
        <v>0.10227272659540176</v>
      </c>
      <c r="EF309">
        <v>8.3333335816860199E-2</v>
      </c>
      <c r="EG309">
        <v>9.6774190664291382E-2</v>
      </c>
      <c r="EH309">
        <v>4.6370968222618103E-2</v>
      </c>
      <c r="EI309">
        <v>8.6693547666072845E-2</v>
      </c>
      <c r="EJ309">
        <v>0.10282257944345474</v>
      </c>
      <c r="EK309">
        <v>7.8629031777381897E-2</v>
      </c>
      <c r="EL309">
        <v>0.11693548411130905</v>
      </c>
      <c r="EM309">
        <v>9.2741936445236206E-2</v>
      </c>
      <c r="EN309">
        <v>0.10685484111309052</v>
      </c>
      <c r="EO309">
        <v>7.2580642998218536E-2</v>
      </c>
      <c r="EP309">
        <v>7.8629031777381897E-2</v>
      </c>
      <c r="EQ309">
        <v>5.4435484111309052E-2</v>
      </c>
      <c r="ER309">
        <v>7.0564515888690948E-2</v>
      </c>
      <c r="ES309">
        <v>6.6532261669635773E-2</v>
      </c>
      <c r="ET309">
        <v>6.4516127109527588E-2</v>
      </c>
      <c r="EU309">
        <v>7.0564515888690948E-2</v>
      </c>
      <c r="EV309">
        <v>8.6693547666072845E-2</v>
      </c>
      <c r="EW309">
        <v>6.8548388779163361E-2</v>
      </c>
      <c r="EX309">
        <v>6.0483869165182114E-2</v>
      </c>
      <c r="EY309">
        <v>6.0483869165182114E-2</v>
      </c>
      <c r="EZ309">
        <v>8.0645158886909485E-2</v>
      </c>
      <c r="FA309">
        <v>5.0403226166963577E-2</v>
      </c>
      <c r="FB309">
        <v>0.11693548411130905</v>
      </c>
      <c r="FC309">
        <v>7.2580642998218536E-2</v>
      </c>
      <c r="FD309">
        <v>0.13306452333927155</v>
      </c>
      <c r="FE309">
        <v>9.6774190664291382E-2</v>
      </c>
      <c r="FF309">
        <v>6.25E-2</v>
      </c>
      <c r="FG309">
        <v>0.19758065044879913</v>
      </c>
      <c r="FH309">
        <v>4.8387095332145691E-2</v>
      </c>
      <c r="FI309">
        <v>7.4596777558326721E-2</v>
      </c>
      <c r="FJ309">
        <v>5.6451611220836639E-2</v>
      </c>
      <c r="FK309">
        <v>6.25E-2</v>
      </c>
      <c r="FL309">
        <v>6.8548388779163361E-2</v>
      </c>
      <c r="FM309">
        <v>6.25E-2</v>
      </c>
      <c r="FN309">
        <v>7.4596777558326721E-2</v>
      </c>
      <c r="FO309">
        <v>8.4677420556545258E-2</v>
      </c>
      <c r="FP309">
        <v>6.6532261669635773E-2</v>
      </c>
      <c r="FQ309">
        <v>0.10685484111309052</v>
      </c>
      <c r="FR309">
        <v>8.0645158886909485E-2</v>
      </c>
      <c r="FS309">
        <v>7.8629031777381897E-2</v>
      </c>
      <c r="FT309">
        <v>4.6370968222618103E-2</v>
      </c>
      <c r="FU309">
        <v>7.8629031777381897E-2</v>
      </c>
      <c r="FV309">
        <v>7.4596777558326721E-2</v>
      </c>
      <c r="FW309">
        <v>7.2580642998218536E-2</v>
      </c>
      <c r="FX309">
        <v>6.8548388779163361E-2</v>
      </c>
      <c r="FY309">
        <v>7.6612904667854309E-2</v>
      </c>
      <c r="FZ309">
        <v>0.1088709682226181</v>
      </c>
      <c r="GA309">
        <v>7.4596777558326721E-2</v>
      </c>
      <c r="GB309">
        <v>7.8629031777381897E-2</v>
      </c>
      <c r="GC309">
        <v>4.8387095332145691E-2</v>
      </c>
      <c r="GD309">
        <v>7.0564515888690948E-2</v>
      </c>
      <c r="GE309">
        <v>0.10483870655298233</v>
      </c>
      <c r="GF309">
        <v>5.8467742055654526E-2</v>
      </c>
      <c r="GG309">
        <v>9.4758063554763794E-2</v>
      </c>
      <c r="GH309">
        <v>6.8548388779163361E-2</v>
      </c>
      <c r="GI309">
        <v>0.10282257944345474</v>
      </c>
      <c r="GJ309">
        <v>8.6693547666072845E-2</v>
      </c>
      <c r="GK309">
        <v>7.6612904667854309E-2</v>
      </c>
      <c r="GL309">
        <v>5.2419353276491165E-2</v>
      </c>
      <c r="GM309">
        <v>5.2419353276491165E-2</v>
      </c>
      <c r="GN309">
        <v>7.2580642998218536E-2</v>
      </c>
      <c r="GO309">
        <v>5.0403226166963577E-2</v>
      </c>
      <c r="GP309">
        <v>8.8709674775600433E-2</v>
      </c>
      <c r="GQ309">
        <v>9.2741936445236206E-2</v>
      </c>
      <c r="GR309">
        <v>7.0564515888690948E-2</v>
      </c>
      <c r="GS309">
        <v>0.10282257944345474</v>
      </c>
      <c r="GT309">
        <v>9.6774190664291382E-2</v>
      </c>
      <c r="GU309">
        <v>8.0645158886909485E-2</v>
      </c>
      <c r="GV309">
        <v>5.8467742055654526E-2</v>
      </c>
      <c r="GW309">
        <v>7.2580642998218536E-2</v>
      </c>
      <c r="GX309">
        <v>4.6370968222618103E-2</v>
      </c>
      <c r="GY309">
        <v>6.25E-2</v>
      </c>
      <c r="GZ309">
        <v>7.4596777558326721E-2</v>
      </c>
      <c r="HA309">
        <v>6.8548388779163361E-2</v>
      </c>
      <c r="HB309">
        <v>7.6612904667854309E-2</v>
      </c>
      <c r="HC309">
        <v>6.8548388779163361E-2</v>
      </c>
      <c r="HD309">
        <v>7.0564515888690948E-2</v>
      </c>
      <c r="HE309">
        <v>3.8306452333927155E-2</v>
      </c>
      <c r="HF309">
        <v>7.8629031777381897E-2</v>
      </c>
      <c r="HG309">
        <v>0.14717741310596466</v>
      </c>
      <c r="HH309">
        <v>7.4596777558326721E-2</v>
      </c>
      <c r="HI309">
        <v>8.266129344701767E-2</v>
      </c>
      <c r="HJ309">
        <v>5.8467742055654526E-2</v>
      </c>
      <c r="HK309">
        <v>6.4516127109527588E-2</v>
      </c>
      <c r="HL309">
        <v>8.8709674775600433E-2</v>
      </c>
      <c r="HM309">
        <v>7.0564515888690948E-2</v>
      </c>
      <c r="HN309">
        <v>8.266129344701767E-2</v>
      </c>
      <c r="HO309">
        <v>6.25E-2</v>
      </c>
      <c r="HP309">
        <v>5.8467742055654526E-2</v>
      </c>
      <c r="HQ309">
        <v>7.4596777558326721E-2</v>
      </c>
      <c r="HR309">
        <v>7.0564515888690948E-2</v>
      </c>
      <c r="HS309">
        <v>7.6612904667854309E-2</v>
      </c>
      <c r="HT309">
        <v>0.11693548411130905</v>
      </c>
      <c r="HU309">
        <v>6.8548388779163361E-2</v>
      </c>
      <c r="HV309">
        <v>8.6693547666072845E-2</v>
      </c>
      <c r="HW309">
        <v>0.11290322244167328</v>
      </c>
      <c r="HX309">
        <v>5.6451611220836639E-2</v>
      </c>
      <c r="HY309">
        <v>0.10080645233392715</v>
      </c>
      <c r="HZ309">
        <v>0.11088709533214569</v>
      </c>
      <c r="IA309">
        <v>7.6612904667854309E-2</v>
      </c>
      <c r="IB309">
        <v>4.8387095332145691E-2</v>
      </c>
      <c r="IC309">
        <v>7.2580642998218536E-2</v>
      </c>
      <c r="ID309">
        <v>8.4677420556545258E-2</v>
      </c>
      <c r="IE309">
        <v>7.2580642998218536E-2</v>
      </c>
      <c r="IF309">
        <v>9.6774190664291382E-2</v>
      </c>
      <c r="IG309">
        <v>5.2419353276491165E-2</v>
      </c>
      <c r="IH309">
        <v>7.6612904667854309E-2</v>
      </c>
      <c r="II309">
        <v>7.0564515888690948E-2</v>
      </c>
      <c r="IJ309">
        <v>5.8467742055654526E-2</v>
      </c>
      <c r="IK309">
        <v>8.266129344701767E-2</v>
      </c>
      <c r="IL309">
        <v>9.4758063554763794E-2</v>
      </c>
      <c r="IM309">
        <v>8.4677420556545258E-2</v>
      </c>
      <c r="IN309">
        <v>6.8548388779163361E-2</v>
      </c>
      <c r="IO309">
        <v>8.266129344701767E-2</v>
      </c>
      <c r="IP309">
        <v>5.6451611220836639E-2</v>
      </c>
      <c r="IQ309">
        <v>7.2580642998218536E-2</v>
      </c>
      <c r="IR309">
        <v>7.4596777558326721E-2</v>
      </c>
      <c r="IS309">
        <v>6.4516127109527588E-2</v>
      </c>
      <c r="IT309">
        <v>8.8709674775600433E-2</v>
      </c>
      <c r="IU309">
        <v>6.8548388779163361E-2</v>
      </c>
      <c r="IV309">
        <v>8.6693547666072845E-2</v>
      </c>
      <c r="IW309">
        <v>7.0564515888690948E-2</v>
      </c>
      <c r="IX309">
        <v>6.6532261669635773E-2</v>
      </c>
      <c r="IY309">
        <v>7.0564515888690948E-2</v>
      </c>
      <c r="IZ309">
        <v>8.0645158886909485E-2</v>
      </c>
      <c r="JA309">
        <v>6.8548388779163361E-2</v>
      </c>
      <c r="JB309">
        <v>6.0483869165182114E-2</v>
      </c>
      <c r="JC309">
        <v>8.0645158886909485E-2</v>
      </c>
      <c r="JD309">
        <v>5.8467742055654526E-2</v>
      </c>
      <c r="JE309">
        <v>9.0725809335708618E-2</v>
      </c>
      <c r="JF309">
        <v>7.4596777558326721E-2</v>
      </c>
      <c r="JG309">
        <v>5.4435484111309052E-2</v>
      </c>
      <c r="JH309">
        <v>7.2580642998218536E-2</v>
      </c>
      <c r="JI309">
        <v>7.0564515888690948E-2</v>
      </c>
      <c r="JJ309">
        <v>9.6774190664291382E-2</v>
      </c>
      <c r="JK309">
        <v>4.2338710278272629E-2</v>
      </c>
      <c r="JL309">
        <v>6.25E-2</v>
      </c>
      <c r="JM309">
        <v>7.2580642998218536E-2</v>
      </c>
      <c r="JN309">
        <v>4.4354837387800217E-2</v>
      </c>
      <c r="JO309">
        <v>0.13709677755832672</v>
      </c>
      <c r="JP309">
        <v>7.0564515888690948E-2</v>
      </c>
      <c r="JQ309">
        <v>6.25E-2</v>
      </c>
      <c r="JR309">
        <v>0.11088709533214569</v>
      </c>
      <c r="JS309">
        <v>6.6532261669635773E-2</v>
      </c>
      <c r="JT309">
        <v>8.0645158886909485E-2</v>
      </c>
      <c r="JU309">
        <v>7.0564515888690948E-2</v>
      </c>
      <c r="JV309">
        <v>5.2419353276491165E-2</v>
      </c>
      <c r="JW309">
        <v>7.0564515888690948E-2</v>
      </c>
      <c r="JX309">
        <v>5.6451611220836639E-2</v>
      </c>
      <c r="JY309">
        <v>8.0645158886909485E-2</v>
      </c>
      <c r="JZ309">
        <v>6.8548388779163361E-2</v>
      </c>
      <c r="KA309">
        <v>7.4596777558326721E-2</v>
      </c>
      <c r="KB309">
        <v>6.8548388779163361E-2</v>
      </c>
      <c r="KC309">
        <v>5.6451611220836639E-2</v>
      </c>
      <c r="KD309">
        <v>9.8790325224399567E-2</v>
      </c>
      <c r="KE309">
        <v>8.0645158886909485E-2</v>
      </c>
      <c r="KF309">
        <v>7.4596777558326721E-2</v>
      </c>
      <c r="KG309">
        <v>0.125</v>
      </c>
      <c r="KH309">
        <v>6.4516127109527588E-2</v>
      </c>
      <c r="KI309">
        <v>8.6693547666072845E-2</v>
      </c>
      <c r="KJ309">
        <v>9.0725809335708618E-2</v>
      </c>
      <c r="KK309">
        <v>9.8790325224399567E-2</v>
      </c>
    </row>
    <row r="310" spans="4:308" x14ac:dyDescent="0.25">
      <c r="D310" s="41" t="str" cm="1">
        <f t="array" ref="D310">IF(H310="","",IF(AND(E310&lt;AVERAGE(E309,E311)*($L$19/100),$D$23:D309=""),H310,""))</f>
        <v/>
      </c>
      <c r="E310" s="78">
        <f t="shared" si="5"/>
        <v>3.236643247740964E-3</v>
      </c>
      <c r="F310" s="79"/>
      <c r="H310">
        <v>288</v>
      </c>
      <c r="I310">
        <v>7.7286643247740969E-2</v>
      </c>
      <c r="K310">
        <v>4.9242425709962845E-2</v>
      </c>
      <c r="L310">
        <v>7.5757578015327454E-2</v>
      </c>
      <c r="M310">
        <v>7.5757578015327454E-2</v>
      </c>
      <c r="N310">
        <v>4.9242425709962845E-2</v>
      </c>
      <c r="O310">
        <v>7.1969695389270782E-2</v>
      </c>
      <c r="P310">
        <v>4.1666667908430099E-2</v>
      </c>
      <c r="Q310">
        <v>7.9545453190803528E-2</v>
      </c>
      <c r="R310">
        <v>6.4393937587738037E-2</v>
      </c>
      <c r="S310">
        <v>4.5454546809196472E-2</v>
      </c>
      <c r="T310">
        <v>6.8181820213794708E-2</v>
      </c>
      <c r="U310">
        <v>9.0909093618392944E-2</v>
      </c>
      <c r="V310">
        <v>7.5757578015327454E-2</v>
      </c>
      <c r="W310">
        <v>7.0075757801532745E-2</v>
      </c>
      <c r="X310">
        <v>6.6287875175476074E-2</v>
      </c>
      <c r="Y310">
        <v>7.9545453190803528E-2</v>
      </c>
      <c r="Z310">
        <v>0.10037878900766373</v>
      </c>
      <c r="AA310">
        <v>7.0075757801532745E-2</v>
      </c>
      <c r="AB310">
        <v>8.3333335816860199E-2</v>
      </c>
      <c r="AC310">
        <v>5.1136363297700882E-2</v>
      </c>
      <c r="AD310">
        <v>7.386363297700882E-2</v>
      </c>
      <c r="AE310">
        <v>9.2803031206130981E-2</v>
      </c>
      <c r="AF310">
        <v>0.11553030461072922</v>
      </c>
      <c r="AG310">
        <v>7.9545453190803528E-2</v>
      </c>
      <c r="AH310">
        <v>6.25E-2</v>
      </c>
      <c r="AI310">
        <v>6.25E-2</v>
      </c>
      <c r="AJ310">
        <v>9.4696968793869019E-2</v>
      </c>
      <c r="AK310">
        <v>6.0606062412261963E-2</v>
      </c>
      <c r="AL310">
        <v>5.8712121099233627E-2</v>
      </c>
      <c r="AM310">
        <v>9.0909093618392944E-2</v>
      </c>
      <c r="AN310">
        <v>8.7121210992336273E-2</v>
      </c>
      <c r="AO310">
        <v>6.6287875175476074E-2</v>
      </c>
      <c r="AP310">
        <v>6.4393937587738037E-2</v>
      </c>
      <c r="AQ310">
        <v>8.5227273404598236E-2</v>
      </c>
      <c r="AR310">
        <v>6.6287875175476074E-2</v>
      </c>
      <c r="AS310">
        <v>8.3333335816860199E-2</v>
      </c>
      <c r="AT310">
        <v>8.1439390778541565E-2</v>
      </c>
      <c r="AU310">
        <v>0.12121212482452393</v>
      </c>
      <c r="AV310">
        <v>5.1136363297700882E-2</v>
      </c>
      <c r="AW310">
        <v>0.1041666641831398</v>
      </c>
      <c r="AX310">
        <v>7.386363297700882E-2</v>
      </c>
      <c r="AY310">
        <v>8.1439390778541565E-2</v>
      </c>
      <c r="AZ310">
        <v>6.8181820213794708E-2</v>
      </c>
      <c r="BA310">
        <v>6.4393937587738037E-2</v>
      </c>
      <c r="BB310">
        <v>0.10227272659540176</v>
      </c>
      <c r="BC310">
        <v>7.7651515603065491E-2</v>
      </c>
      <c r="BD310">
        <v>7.9545453190803528E-2</v>
      </c>
      <c r="BE310">
        <v>5.3030304610729218E-2</v>
      </c>
      <c r="BF310">
        <v>7.1969695389270782E-2</v>
      </c>
      <c r="BG310">
        <v>0.12689393758773804</v>
      </c>
      <c r="BH310">
        <v>6.8181820213794708E-2</v>
      </c>
      <c r="BI310">
        <v>6.8181820213794708E-2</v>
      </c>
      <c r="BJ310">
        <v>9.6590906381607056E-2</v>
      </c>
      <c r="BK310">
        <v>7.5757578015327454E-2</v>
      </c>
      <c r="BL310">
        <v>9.2803031206130981E-2</v>
      </c>
      <c r="BM310">
        <v>6.8181820213794708E-2</v>
      </c>
      <c r="BN310">
        <v>8.1439390778541565E-2</v>
      </c>
      <c r="BO310">
        <v>8.3333335816860199E-2</v>
      </c>
      <c r="BP310">
        <v>5.1136363297700882E-2</v>
      </c>
      <c r="BQ310">
        <v>0.12878787517547607</v>
      </c>
      <c r="BR310">
        <v>6.4393937587738037E-2</v>
      </c>
      <c r="BS310">
        <v>7.0075757801532745E-2</v>
      </c>
      <c r="BT310">
        <v>0.10606060922145844</v>
      </c>
      <c r="BU310">
        <v>6.8181820213794708E-2</v>
      </c>
      <c r="BV310">
        <v>5.681818351149559E-2</v>
      </c>
      <c r="BW310">
        <v>6.4393937587738037E-2</v>
      </c>
      <c r="BX310">
        <v>4.9242425709962845E-2</v>
      </c>
      <c r="BY310">
        <v>6.8181820213794708E-2</v>
      </c>
      <c r="BZ310">
        <v>4.9242425709962845E-2</v>
      </c>
      <c r="CA310">
        <v>7.386363297700882E-2</v>
      </c>
      <c r="CB310">
        <v>9.2803031206130981E-2</v>
      </c>
      <c r="CC310">
        <v>6.8181820213794708E-2</v>
      </c>
      <c r="CD310">
        <v>6.6287875175476074E-2</v>
      </c>
      <c r="CE310">
        <v>0.11742424219846725</v>
      </c>
      <c r="CF310">
        <v>9.4696968793869019E-2</v>
      </c>
      <c r="CG310">
        <v>6.8181820213794708E-2</v>
      </c>
      <c r="CH310">
        <v>8.7121210992336273E-2</v>
      </c>
      <c r="CI310">
        <v>0.1041666641831398</v>
      </c>
      <c r="CJ310">
        <v>7.1969695389270782E-2</v>
      </c>
      <c r="CK310">
        <v>0.10227272659540176</v>
      </c>
      <c r="CL310">
        <v>7.386363297700882E-2</v>
      </c>
      <c r="CM310">
        <v>6.4393937587738037E-2</v>
      </c>
      <c r="CN310">
        <v>5.681818351149559E-2</v>
      </c>
      <c r="CO310">
        <v>6.25E-2</v>
      </c>
      <c r="CP310">
        <v>8.1439390778541565E-2</v>
      </c>
      <c r="CQ310">
        <v>6.8181820213794708E-2</v>
      </c>
      <c r="CR310">
        <v>8.7121210992336273E-2</v>
      </c>
      <c r="CS310">
        <v>8.3333335816860199E-2</v>
      </c>
      <c r="CT310">
        <v>6.6287875175476074E-2</v>
      </c>
      <c r="CU310">
        <v>0.11174242198467255</v>
      </c>
      <c r="CV310">
        <v>4.7348484396934509E-2</v>
      </c>
      <c r="CW310">
        <v>0.11363636702299118</v>
      </c>
      <c r="CX310">
        <v>8.7121210992336273E-2</v>
      </c>
      <c r="CY310">
        <v>8.5227273404598236E-2</v>
      </c>
      <c r="CZ310">
        <v>8.5227273404598236E-2</v>
      </c>
      <c r="DA310">
        <v>0.12096773833036423</v>
      </c>
      <c r="DB310">
        <v>7.8629031777381897E-2</v>
      </c>
      <c r="DC310">
        <v>6.25E-2</v>
      </c>
      <c r="DD310">
        <v>8.8709674775600433E-2</v>
      </c>
      <c r="DE310">
        <v>6.25E-2</v>
      </c>
      <c r="DF310">
        <v>5.4435484111309052E-2</v>
      </c>
      <c r="DG310">
        <v>8.6693547666072845E-2</v>
      </c>
      <c r="DH310">
        <v>7.4596777558326721E-2</v>
      </c>
      <c r="DI310">
        <v>7.0564515888690948E-2</v>
      </c>
      <c r="DJ310">
        <v>9.2741936445236206E-2</v>
      </c>
      <c r="DK310">
        <v>5.2419353276491165E-2</v>
      </c>
      <c r="DL310">
        <v>0.10685484111309052</v>
      </c>
      <c r="DM310">
        <v>8.0645158886909485E-2</v>
      </c>
      <c r="DN310">
        <v>6.8548388779163361E-2</v>
      </c>
      <c r="DO310">
        <v>5.8467742055654526E-2</v>
      </c>
      <c r="DP310">
        <v>6.4516127109527588E-2</v>
      </c>
      <c r="DQ310">
        <v>8.4677420556545258E-2</v>
      </c>
      <c r="DR310">
        <v>9.2741936445236206E-2</v>
      </c>
      <c r="DS310">
        <v>8.6693547666072845E-2</v>
      </c>
      <c r="DT310">
        <v>9.6774190664291382E-2</v>
      </c>
      <c r="DU310">
        <v>8.6693547666072845E-2</v>
      </c>
      <c r="DV310">
        <v>7.2580642998218536E-2</v>
      </c>
      <c r="DW310">
        <v>0.125</v>
      </c>
      <c r="DX310">
        <v>9.0725809335708618E-2</v>
      </c>
      <c r="DY310">
        <v>8.0645158886909485E-2</v>
      </c>
      <c r="DZ310">
        <v>9.6774190664291382E-2</v>
      </c>
      <c r="EA310">
        <v>6.6532261669635773E-2</v>
      </c>
      <c r="EB310">
        <v>7.6612904667854309E-2</v>
      </c>
      <c r="EC310">
        <v>8.6693547666072845E-2</v>
      </c>
      <c r="ED310">
        <v>4.2338710278272629E-2</v>
      </c>
      <c r="EE310">
        <v>6.4516127109527588E-2</v>
      </c>
      <c r="EF310">
        <v>7.6612904667854309E-2</v>
      </c>
      <c r="EG310">
        <v>7.2580642998218536E-2</v>
      </c>
      <c r="EH310">
        <v>7.2580642998218536E-2</v>
      </c>
      <c r="EI310">
        <v>0.14717741310596466</v>
      </c>
      <c r="EJ310">
        <v>7.0564515888690948E-2</v>
      </c>
      <c r="EK310">
        <v>6.8548388779163361E-2</v>
      </c>
      <c r="EL310">
        <v>0.11088709533214569</v>
      </c>
      <c r="EM310">
        <v>6.0483869165182114E-2</v>
      </c>
      <c r="EN310">
        <v>9.6774190664291382E-2</v>
      </c>
      <c r="EO310">
        <v>7.4596777558326721E-2</v>
      </c>
      <c r="EP310">
        <v>7.2580642998218536E-2</v>
      </c>
      <c r="EQ310">
        <v>6.6532261669635773E-2</v>
      </c>
      <c r="ER310">
        <v>7.2580642998218536E-2</v>
      </c>
      <c r="ES310">
        <v>4.8387095332145691E-2</v>
      </c>
      <c r="ET310">
        <v>6.6532261669635773E-2</v>
      </c>
      <c r="EU310">
        <v>0.11491935700178146</v>
      </c>
      <c r="EV310">
        <v>4.2338710278272629E-2</v>
      </c>
      <c r="EW310">
        <v>7.6612904667854309E-2</v>
      </c>
      <c r="EX310">
        <v>0.12701612710952759</v>
      </c>
      <c r="EY310">
        <v>6.0483869165182114E-2</v>
      </c>
      <c r="EZ310">
        <v>8.4677420556545258E-2</v>
      </c>
      <c r="FA310">
        <v>6.6532261669635773E-2</v>
      </c>
      <c r="FB310">
        <v>9.2741936445236206E-2</v>
      </c>
      <c r="FC310">
        <v>9.0725809335708618E-2</v>
      </c>
      <c r="FD310">
        <v>6.6532261669635773E-2</v>
      </c>
      <c r="FE310">
        <v>0.12298387289047241</v>
      </c>
      <c r="FF310">
        <v>7.2580642998218536E-2</v>
      </c>
      <c r="FG310">
        <v>5.4435484111309052E-2</v>
      </c>
      <c r="FH310">
        <v>5.2419353276491165E-2</v>
      </c>
      <c r="FI310">
        <v>7.8629031777381897E-2</v>
      </c>
      <c r="FJ310">
        <v>5.0403226166963577E-2</v>
      </c>
      <c r="FK310">
        <v>0.10483870655298233</v>
      </c>
      <c r="FL310">
        <v>8.0645158886909485E-2</v>
      </c>
      <c r="FM310">
        <v>5.0403226166963577E-2</v>
      </c>
      <c r="FN310">
        <v>9.0725809335708618E-2</v>
      </c>
      <c r="FO310">
        <v>6.6532261669635773E-2</v>
      </c>
      <c r="FP310">
        <v>9.6774190664291382E-2</v>
      </c>
      <c r="FQ310">
        <v>0.10282257944345474</v>
      </c>
      <c r="FR310">
        <v>7.0564515888690948E-2</v>
      </c>
      <c r="FS310">
        <v>7.4596777558326721E-2</v>
      </c>
      <c r="FT310">
        <v>0.10483870655298233</v>
      </c>
      <c r="FU310">
        <v>8.0645158886909485E-2</v>
      </c>
      <c r="FV310">
        <v>0.10483870655298233</v>
      </c>
      <c r="FW310">
        <v>7.8629031777381897E-2</v>
      </c>
      <c r="FX310">
        <v>5.6451611220836639E-2</v>
      </c>
      <c r="FY310">
        <v>8.6693547666072845E-2</v>
      </c>
      <c r="FZ310">
        <v>6.6532261669635773E-2</v>
      </c>
      <c r="GA310">
        <v>9.2741936445236206E-2</v>
      </c>
      <c r="GB310">
        <v>6.25E-2</v>
      </c>
      <c r="GC310">
        <v>7.0564515888690948E-2</v>
      </c>
      <c r="GD310">
        <v>9.0725809335708618E-2</v>
      </c>
      <c r="GE310">
        <v>0.10483870655298233</v>
      </c>
      <c r="GF310">
        <v>7.6612904667854309E-2</v>
      </c>
      <c r="GG310">
        <v>6.0483869165182114E-2</v>
      </c>
      <c r="GH310">
        <v>4.4354837387800217E-2</v>
      </c>
      <c r="GI310">
        <v>6.8548388779163361E-2</v>
      </c>
      <c r="GJ310">
        <v>7.8629031777381897E-2</v>
      </c>
      <c r="GK310">
        <v>6.6532261669635773E-2</v>
      </c>
      <c r="GL310">
        <v>8.8709674775600433E-2</v>
      </c>
      <c r="GM310">
        <v>4.6370968222618103E-2</v>
      </c>
      <c r="GN310">
        <v>9.4758063554763794E-2</v>
      </c>
      <c r="GO310">
        <v>9.6774190664291382E-2</v>
      </c>
      <c r="GP310">
        <v>0.11491935700178146</v>
      </c>
      <c r="GQ310">
        <v>8.0645158886909485E-2</v>
      </c>
      <c r="GR310">
        <v>7.6612904667854309E-2</v>
      </c>
      <c r="GS310">
        <v>8.266129344701767E-2</v>
      </c>
      <c r="GT310">
        <v>5.6451611220836639E-2</v>
      </c>
      <c r="GU310">
        <v>5.0403226166963577E-2</v>
      </c>
      <c r="GV310">
        <v>7.0564515888690948E-2</v>
      </c>
      <c r="GW310">
        <v>5.8467742055654526E-2</v>
      </c>
      <c r="GX310">
        <v>8.8709674775600433E-2</v>
      </c>
      <c r="GY310">
        <v>8.0645158886909485E-2</v>
      </c>
      <c r="GZ310">
        <v>7.0564515888690948E-2</v>
      </c>
      <c r="HA310">
        <v>8.266129344701767E-2</v>
      </c>
      <c r="HB310">
        <v>6.0483869165182114E-2</v>
      </c>
      <c r="HC310">
        <v>7.0564515888690948E-2</v>
      </c>
      <c r="HD310">
        <v>7.6612904667854309E-2</v>
      </c>
      <c r="HE310">
        <v>6.0483869165182114E-2</v>
      </c>
      <c r="HF310">
        <v>6.0483869165182114E-2</v>
      </c>
      <c r="HG310">
        <v>0.10483870655298233</v>
      </c>
      <c r="HH310">
        <v>7.6612904667854309E-2</v>
      </c>
      <c r="HI310">
        <v>8.4677420556545258E-2</v>
      </c>
      <c r="HJ310">
        <v>6.4516127109527588E-2</v>
      </c>
      <c r="HK310">
        <v>6.25E-2</v>
      </c>
      <c r="HL310">
        <v>8.6693547666072845E-2</v>
      </c>
      <c r="HM310">
        <v>7.4596777558326721E-2</v>
      </c>
      <c r="HN310">
        <v>6.6532261669635773E-2</v>
      </c>
      <c r="HO310">
        <v>8.0645158886909485E-2</v>
      </c>
      <c r="HP310">
        <v>8.6693547666072845E-2</v>
      </c>
      <c r="HQ310">
        <v>5.8467742055654526E-2</v>
      </c>
      <c r="HR310">
        <v>7.4596777558326721E-2</v>
      </c>
      <c r="HS310">
        <v>5.8467742055654526E-2</v>
      </c>
      <c r="HT310">
        <v>7.4596777558326721E-2</v>
      </c>
      <c r="HU310">
        <v>8.6693547666072845E-2</v>
      </c>
      <c r="HV310">
        <v>7.8629031777381897E-2</v>
      </c>
      <c r="HW310">
        <v>8.6693547666072845E-2</v>
      </c>
      <c r="HX310">
        <v>7.2580642998218536E-2</v>
      </c>
      <c r="HY310">
        <v>7.8629031777381897E-2</v>
      </c>
      <c r="HZ310">
        <v>6.4516127109527588E-2</v>
      </c>
      <c r="IA310">
        <v>7.2580642998218536E-2</v>
      </c>
      <c r="IB310">
        <v>5.8467742055654526E-2</v>
      </c>
      <c r="IC310">
        <v>7.6612904667854309E-2</v>
      </c>
      <c r="ID310">
        <v>6.0483869165182114E-2</v>
      </c>
      <c r="IE310">
        <v>0.11895161122083664</v>
      </c>
      <c r="IF310">
        <v>7.0564515888690948E-2</v>
      </c>
      <c r="IG310">
        <v>7.4596777558326721E-2</v>
      </c>
      <c r="IH310">
        <v>7.0564515888690948E-2</v>
      </c>
      <c r="II310">
        <v>5.8467742055654526E-2</v>
      </c>
      <c r="IJ310">
        <v>7.4596777558326721E-2</v>
      </c>
      <c r="IK310">
        <v>0.10685484111309052</v>
      </c>
      <c r="IL310">
        <v>6.0483869165182114E-2</v>
      </c>
      <c r="IM310">
        <v>7.0564515888690948E-2</v>
      </c>
      <c r="IN310">
        <v>7.4596777558326721E-2</v>
      </c>
      <c r="IO310">
        <v>6.4516127109527588E-2</v>
      </c>
      <c r="IP310">
        <v>6.8548388779163361E-2</v>
      </c>
      <c r="IQ310">
        <v>5.8467742055654526E-2</v>
      </c>
      <c r="IR310">
        <v>7.4596777558326721E-2</v>
      </c>
      <c r="IS310">
        <v>5.8467742055654526E-2</v>
      </c>
      <c r="IT310">
        <v>6.8548388779163361E-2</v>
      </c>
      <c r="IU310">
        <v>6.4516127109527588E-2</v>
      </c>
      <c r="IV310">
        <v>9.8790325224399567E-2</v>
      </c>
      <c r="IW310">
        <v>8.266129344701767E-2</v>
      </c>
      <c r="IX310">
        <v>5.6451611220836639E-2</v>
      </c>
      <c r="IY310">
        <v>9.0725809335708618E-2</v>
      </c>
      <c r="IZ310">
        <v>6.0483869165182114E-2</v>
      </c>
      <c r="JA310">
        <v>6.8548388779163361E-2</v>
      </c>
      <c r="JB310">
        <v>5.4435484111309052E-2</v>
      </c>
      <c r="JC310">
        <v>0.10483870655298233</v>
      </c>
      <c r="JD310">
        <v>6.6532261669635773E-2</v>
      </c>
      <c r="JE310">
        <v>5.4435484111309052E-2</v>
      </c>
      <c r="JF310">
        <v>6.8548388779163361E-2</v>
      </c>
      <c r="JG310">
        <v>6.6532261669635773E-2</v>
      </c>
      <c r="JH310">
        <v>8.6693547666072845E-2</v>
      </c>
      <c r="JI310">
        <v>6.0483869165182114E-2</v>
      </c>
      <c r="JJ310">
        <v>7.0564515888690948E-2</v>
      </c>
      <c r="JK310">
        <v>8.4677420556545258E-2</v>
      </c>
      <c r="JL310">
        <v>6.0483869165182114E-2</v>
      </c>
      <c r="JM310">
        <v>5.6451611220836639E-2</v>
      </c>
      <c r="JN310">
        <v>0.11290322244167328</v>
      </c>
      <c r="JO310">
        <v>6.25E-2</v>
      </c>
      <c r="JP310">
        <v>5.8467742055654526E-2</v>
      </c>
      <c r="JQ310">
        <v>0.10685484111309052</v>
      </c>
      <c r="JR310">
        <v>5.8467742055654526E-2</v>
      </c>
      <c r="JS310">
        <v>6.25E-2</v>
      </c>
      <c r="JT310">
        <v>9.0725809335708618E-2</v>
      </c>
      <c r="JU310">
        <v>6.4516127109527588E-2</v>
      </c>
      <c r="JV310">
        <v>0.13104838132858276</v>
      </c>
      <c r="JW310">
        <v>7.6612904667854309E-2</v>
      </c>
      <c r="JX310">
        <v>6.4516127109527588E-2</v>
      </c>
      <c r="JY310">
        <v>8.6693547666072845E-2</v>
      </c>
      <c r="JZ310">
        <v>0.13709677755832672</v>
      </c>
      <c r="KA310">
        <v>6.0483869165182114E-2</v>
      </c>
      <c r="KB310">
        <v>6.0483869165182114E-2</v>
      </c>
      <c r="KC310">
        <v>8.4677420556545258E-2</v>
      </c>
      <c r="KD310">
        <v>7.6612904667854309E-2</v>
      </c>
      <c r="KE310">
        <v>9.4758063554763794E-2</v>
      </c>
      <c r="KF310">
        <v>8.8709674775600433E-2</v>
      </c>
      <c r="KG310">
        <v>6.0483869165182114E-2</v>
      </c>
      <c r="KH310">
        <v>7.4596777558326721E-2</v>
      </c>
      <c r="KI310">
        <v>0.11693548411130905</v>
      </c>
      <c r="KJ310">
        <v>8.266129344701767E-2</v>
      </c>
      <c r="KK310">
        <v>9.6774190664291382E-2</v>
      </c>
      <c r="KL310">
        <v>7.8629031777381897E-2</v>
      </c>
    </row>
    <row r="311" spans="4:308" x14ac:dyDescent="0.25">
      <c r="D311" s="41" t="str" cm="1">
        <f t="array" ref="D311">IF(H311="","",IF(AND(E311&lt;AVERAGE(E310,E312)*($L$19/100),$D$23:D310=""),H311,""))</f>
        <v/>
      </c>
      <c r="E311" s="78">
        <f t="shared" si="5"/>
        <v>3.392862454376408E-3</v>
      </c>
      <c r="F311" s="79"/>
      <c r="H311">
        <v>289</v>
      </c>
      <c r="I311">
        <v>7.7442862454376413E-2</v>
      </c>
      <c r="K311">
        <v>7.1969695389270782E-2</v>
      </c>
      <c r="L311">
        <v>6.8181820213794708E-2</v>
      </c>
      <c r="M311">
        <v>7.1969695389270782E-2</v>
      </c>
      <c r="N311">
        <v>5.4924242198467255E-2</v>
      </c>
      <c r="O311">
        <v>5.8712121099233627E-2</v>
      </c>
      <c r="P311">
        <v>7.7651515603065491E-2</v>
      </c>
      <c r="Q311">
        <v>9.0909093618392944E-2</v>
      </c>
      <c r="R311">
        <v>6.25E-2</v>
      </c>
      <c r="S311">
        <v>5.3030304610729218E-2</v>
      </c>
      <c r="T311">
        <v>7.5757578015327454E-2</v>
      </c>
      <c r="U311">
        <v>7.386363297700882E-2</v>
      </c>
      <c r="V311">
        <v>7.0075757801532745E-2</v>
      </c>
      <c r="W311">
        <v>0.10795454680919647</v>
      </c>
      <c r="X311">
        <v>6.6287875175476074E-2</v>
      </c>
      <c r="Y311">
        <v>8.5227273404598236E-2</v>
      </c>
      <c r="Z311">
        <v>6.25E-2</v>
      </c>
      <c r="AA311">
        <v>8.7121210992336273E-2</v>
      </c>
      <c r="AB311">
        <v>0.14204545319080353</v>
      </c>
      <c r="AC311">
        <v>6.4393937587738037E-2</v>
      </c>
      <c r="AD311">
        <v>7.1969695389270782E-2</v>
      </c>
      <c r="AE311">
        <v>7.0075757801532745E-2</v>
      </c>
      <c r="AF311">
        <v>7.386363297700882E-2</v>
      </c>
      <c r="AG311">
        <v>5.8712121099233627E-2</v>
      </c>
      <c r="AH311">
        <v>8.1439390778541565E-2</v>
      </c>
      <c r="AI311">
        <v>9.6590906381607056E-2</v>
      </c>
      <c r="AJ311">
        <v>5.4924242198467255E-2</v>
      </c>
      <c r="AK311">
        <v>8.7121210992336273E-2</v>
      </c>
      <c r="AL311">
        <v>5.4924242198467255E-2</v>
      </c>
      <c r="AM311">
        <v>0.10795454680919647</v>
      </c>
      <c r="AN311">
        <v>8.1439390778541565E-2</v>
      </c>
      <c r="AO311">
        <v>6.4393937587738037E-2</v>
      </c>
      <c r="AP311">
        <v>6.4393937587738037E-2</v>
      </c>
      <c r="AQ311">
        <v>7.0075757801532745E-2</v>
      </c>
      <c r="AR311">
        <v>9.848485141992569E-2</v>
      </c>
      <c r="AS311">
        <v>7.0075757801532745E-2</v>
      </c>
      <c r="AT311">
        <v>8.3333335816860199E-2</v>
      </c>
      <c r="AU311">
        <v>7.9545453190803528E-2</v>
      </c>
      <c r="AV311">
        <v>9.2803031206130981E-2</v>
      </c>
      <c r="AW311">
        <v>4.9242425709962845E-2</v>
      </c>
      <c r="AX311">
        <v>7.386363297700882E-2</v>
      </c>
      <c r="AY311">
        <v>4.1666667908430099E-2</v>
      </c>
      <c r="AZ311">
        <v>8.901514858007431E-2</v>
      </c>
      <c r="BA311">
        <v>5.1136363297700882E-2</v>
      </c>
      <c r="BB311">
        <v>6.25E-2</v>
      </c>
      <c r="BC311">
        <v>0.10227272659540176</v>
      </c>
      <c r="BD311">
        <v>8.3333335816860199E-2</v>
      </c>
      <c r="BE311">
        <v>9.848485141992569E-2</v>
      </c>
      <c r="BF311">
        <v>5.681818351149559E-2</v>
      </c>
      <c r="BG311">
        <v>9.0909093618392944E-2</v>
      </c>
      <c r="BH311">
        <v>6.8181820213794708E-2</v>
      </c>
      <c r="BI311">
        <v>9.2803031206130981E-2</v>
      </c>
      <c r="BJ311">
        <v>7.7651515603065491E-2</v>
      </c>
      <c r="BK311">
        <v>7.0075757801532745E-2</v>
      </c>
      <c r="BL311">
        <v>6.8181820213794708E-2</v>
      </c>
      <c r="BM311">
        <v>7.386363297700882E-2</v>
      </c>
      <c r="BN311">
        <v>7.0075757801532745E-2</v>
      </c>
      <c r="BO311">
        <v>9.6590906381607056E-2</v>
      </c>
      <c r="BP311">
        <v>6.25E-2</v>
      </c>
      <c r="BQ311">
        <v>7.7651515603065491E-2</v>
      </c>
      <c r="BR311">
        <v>7.5757578015327454E-2</v>
      </c>
      <c r="BS311">
        <v>7.0075757801532745E-2</v>
      </c>
      <c r="BT311">
        <v>4.7348484396934509E-2</v>
      </c>
      <c r="BU311">
        <v>7.8629031777381897E-2</v>
      </c>
      <c r="BV311">
        <v>4.6370968222618103E-2</v>
      </c>
      <c r="BW311">
        <v>5.6451611220836639E-2</v>
      </c>
      <c r="BX311">
        <v>7.0564515888690948E-2</v>
      </c>
      <c r="BY311">
        <v>7.8629031777381897E-2</v>
      </c>
      <c r="BZ311">
        <v>6.4516127109527588E-2</v>
      </c>
      <c r="CA311">
        <v>0.12701612710952759</v>
      </c>
      <c r="CB311">
        <v>0.12298387289047241</v>
      </c>
      <c r="CC311">
        <v>8.6693547666072845E-2</v>
      </c>
      <c r="CD311">
        <v>8.0645158886909485E-2</v>
      </c>
      <c r="CE311">
        <v>6.0483869165182114E-2</v>
      </c>
      <c r="CF311">
        <v>6.8548388779163361E-2</v>
      </c>
      <c r="CG311">
        <v>8.266129344701767E-2</v>
      </c>
      <c r="CH311">
        <v>9.6774190664291382E-2</v>
      </c>
      <c r="CI311">
        <v>7.6612904667854309E-2</v>
      </c>
      <c r="CJ311">
        <v>8.4677420556545258E-2</v>
      </c>
      <c r="CK311">
        <v>8.8709674775600433E-2</v>
      </c>
      <c r="CL311">
        <v>6.6532261669635773E-2</v>
      </c>
      <c r="CM311">
        <v>6.6532261669635773E-2</v>
      </c>
      <c r="CN311">
        <v>0.10282257944345474</v>
      </c>
      <c r="CO311">
        <v>6.0483869165182114E-2</v>
      </c>
      <c r="CP311">
        <v>7.6612904667854309E-2</v>
      </c>
      <c r="CQ311">
        <v>9.2741936445236206E-2</v>
      </c>
      <c r="CR311">
        <v>9.2741936445236206E-2</v>
      </c>
      <c r="CS311">
        <v>6.8548388779163361E-2</v>
      </c>
      <c r="CT311">
        <v>0.10483870655298233</v>
      </c>
      <c r="CU311">
        <v>8.8709674775600433E-2</v>
      </c>
      <c r="CV311">
        <v>0.11491935700178146</v>
      </c>
      <c r="CW311">
        <v>4.4354837387800217E-2</v>
      </c>
      <c r="CX311">
        <v>0.11088709533214569</v>
      </c>
      <c r="CY311">
        <v>6.4516127109527588E-2</v>
      </c>
      <c r="CZ311">
        <v>0.10282257944345474</v>
      </c>
      <c r="DA311">
        <v>6.0483869165182114E-2</v>
      </c>
      <c r="DB311">
        <v>0.11290322244167328</v>
      </c>
      <c r="DC311">
        <v>7.8629031777381897E-2</v>
      </c>
      <c r="DD311">
        <v>7.6612904667854309E-2</v>
      </c>
      <c r="DE311">
        <v>7.8629031777381897E-2</v>
      </c>
      <c r="DF311">
        <v>7.6612904667854309E-2</v>
      </c>
      <c r="DG311">
        <v>5.2419353276491165E-2</v>
      </c>
      <c r="DH311">
        <v>7.8629031777381897E-2</v>
      </c>
      <c r="DI311">
        <v>9.0725809335708618E-2</v>
      </c>
      <c r="DJ311">
        <v>9.2741936445236206E-2</v>
      </c>
      <c r="DK311">
        <v>6.25E-2</v>
      </c>
      <c r="DL311">
        <v>6.4516127109527588E-2</v>
      </c>
      <c r="DM311">
        <v>7.2580642998218536E-2</v>
      </c>
      <c r="DN311">
        <v>5.0403226166963577E-2</v>
      </c>
      <c r="DO311">
        <v>7.6612904667854309E-2</v>
      </c>
      <c r="DP311">
        <v>6.6532261669635773E-2</v>
      </c>
      <c r="DQ311">
        <v>8.6693547666072845E-2</v>
      </c>
      <c r="DR311">
        <v>8.266129344701767E-2</v>
      </c>
      <c r="DS311">
        <v>5.8467742055654526E-2</v>
      </c>
      <c r="DT311">
        <v>8.0645158886909485E-2</v>
      </c>
      <c r="DU311">
        <v>6.6532261669635773E-2</v>
      </c>
      <c r="DV311">
        <v>0.10080645233392715</v>
      </c>
      <c r="DW311">
        <v>4.8387095332145691E-2</v>
      </c>
      <c r="DX311">
        <v>5.6451611220836639E-2</v>
      </c>
      <c r="DY311">
        <v>9.2741936445236206E-2</v>
      </c>
      <c r="DZ311">
        <v>6.8548388779163361E-2</v>
      </c>
      <c r="EA311">
        <v>9.4758063554763794E-2</v>
      </c>
      <c r="EB311">
        <v>7.0564515888690948E-2</v>
      </c>
      <c r="EC311">
        <v>5.0403226166963577E-2</v>
      </c>
      <c r="ED311">
        <v>8.0645158886909485E-2</v>
      </c>
      <c r="EE311">
        <v>7.2580642998218536E-2</v>
      </c>
      <c r="EF311">
        <v>5.4435484111309052E-2</v>
      </c>
      <c r="EG311">
        <v>9.2741936445236206E-2</v>
      </c>
      <c r="EH311">
        <v>6.6532261669635773E-2</v>
      </c>
      <c r="EI311">
        <v>6.6532261669635773E-2</v>
      </c>
      <c r="EJ311">
        <v>7.4596777558326721E-2</v>
      </c>
      <c r="EK311">
        <v>0.1088709682226181</v>
      </c>
      <c r="EL311">
        <v>6.4516127109527588E-2</v>
      </c>
      <c r="EM311">
        <v>0.1411290317773819</v>
      </c>
      <c r="EN311">
        <v>5.4435484111309052E-2</v>
      </c>
      <c r="EO311">
        <v>8.0645158886909485E-2</v>
      </c>
      <c r="EP311">
        <v>7.2580642998218536E-2</v>
      </c>
      <c r="EQ311">
        <v>9.0725809335708618E-2</v>
      </c>
      <c r="ER311">
        <v>6.0483869165182114E-2</v>
      </c>
      <c r="ES311">
        <v>6.25E-2</v>
      </c>
      <c r="ET311">
        <v>6.4516127109527588E-2</v>
      </c>
      <c r="EU311">
        <v>5.4435484111309052E-2</v>
      </c>
      <c r="EV311">
        <v>7.4596777558326721E-2</v>
      </c>
      <c r="EW311">
        <v>7.8629031777381897E-2</v>
      </c>
      <c r="EX311">
        <v>5.6451611220836639E-2</v>
      </c>
      <c r="EY311">
        <v>9.4758063554763794E-2</v>
      </c>
      <c r="EZ311">
        <v>8.266129344701767E-2</v>
      </c>
      <c r="FA311">
        <v>9.8790325224399567E-2</v>
      </c>
      <c r="FB311">
        <v>0.1411290317773819</v>
      </c>
      <c r="FC311">
        <v>4.4354837387800217E-2</v>
      </c>
      <c r="FD311">
        <v>8.0645158886909485E-2</v>
      </c>
      <c r="FE311">
        <v>7.0564515888690948E-2</v>
      </c>
      <c r="FF311">
        <v>7.4596777558326721E-2</v>
      </c>
      <c r="FG311">
        <v>8.266129344701767E-2</v>
      </c>
      <c r="FH311">
        <v>5.4435484111309052E-2</v>
      </c>
      <c r="FI311">
        <v>6.4516127109527588E-2</v>
      </c>
      <c r="FJ311">
        <v>5.8467742055654526E-2</v>
      </c>
      <c r="FK311">
        <v>0.12903225421905518</v>
      </c>
      <c r="FL311">
        <v>6.0483869165182114E-2</v>
      </c>
      <c r="FM311">
        <v>7.0564515888690948E-2</v>
      </c>
      <c r="FN311">
        <v>9.2741936445236206E-2</v>
      </c>
      <c r="FO311">
        <v>0.1411290317773819</v>
      </c>
      <c r="FP311">
        <v>6.25E-2</v>
      </c>
      <c r="FQ311">
        <v>7.2580642998218536E-2</v>
      </c>
      <c r="FR311">
        <v>4.8387095332145691E-2</v>
      </c>
      <c r="FS311">
        <v>5.0403226166963577E-2</v>
      </c>
      <c r="FT311">
        <v>9.4758063554763794E-2</v>
      </c>
      <c r="FU311">
        <v>8.6693547666072845E-2</v>
      </c>
      <c r="FV311">
        <v>9.2741936445236206E-2</v>
      </c>
      <c r="FW311">
        <v>8.6693547666072845E-2</v>
      </c>
      <c r="FX311">
        <v>6.25E-2</v>
      </c>
      <c r="FY311">
        <v>8.0645158886909485E-2</v>
      </c>
      <c r="FZ311">
        <v>5.2419353276491165E-2</v>
      </c>
      <c r="GA311">
        <v>9.2741936445236206E-2</v>
      </c>
      <c r="GB311">
        <v>5.6451611220836639E-2</v>
      </c>
      <c r="GC311">
        <v>7.6612904667854309E-2</v>
      </c>
      <c r="GD311">
        <v>9.8790325224399567E-2</v>
      </c>
      <c r="GE311">
        <v>7.2580642998218536E-2</v>
      </c>
      <c r="GF311">
        <v>0.11491935700178146</v>
      </c>
      <c r="GG311">
        <v>5.0403226166963577E-2</v>
      </c>
      <c r="GH311">
        <v>0.10282257944345474</v>
      </c>
      <c r="GI311">
        <v>5.4435484111309052E-2</v>
      </c>
      <c r="GJ311">
        <v>8.6693547666072845E-2</v>
      </c>
      <c r="GK311">
        <v>6.8548388779163361E-2</v>
      </c>
      <c r="GL311">
        <v>6.8548388779163361E-2</v>
      </c>
      <c r="GM311">
        <v>7.8629031777381897E-2</v>
      </c>
      <c r="GN311">
        <v>5.8467742055654526E-2</v>
      </c>
      <c r="GO311">
        <v>6.4516127109527588E-2</v>
      </c>
      <c r="GP311">
        <v>0.11088709533214569</v>
      </c>
      <c r="GQ311">
        <v>0.10080645233392715</v>
      </c>
      <c r="GR311">
        <v>6.25E-2</v>
      </c>
      <c r="GS311">
        <v>5.2419353276491165E-2</v>
      </c>
      <c r="GT311">
        <v>8.4677420556545258E-2</v>
      </c>
      <c r="GU311">
        <v>7.0564515888690948E-2</v>
      </c>
      <c r="GV311">
        <v>4.6370968222618103E-2</v>
      </c>
      <c r="GW311">
        <v>9.0725809335708618E-2</v>
      </c>
      <c r="GX311">
        <v>6.8548388779163361E-2</v>
      </c>
      <c r="GY311">
        <v>6.6532261669635773E-2</v>
      </c>
      <c r="GZ311">
        <v>8.8709674775600433E-2</v>
      </c>
      <c r="HA311">
        <v>7.8629031777381897E-2</v>
      </c>
      <c r="HB311">
        <v>0.10483870655298233</v>
      </c>
      <c r="HC311">
        <v>9.4758063554763794E-2</v>
      </c>
      <c r="HD311">
        <v>7.8629031777381897E-2</v>
      </c>
      <c r="HE311">
        <v>0.14717741310596466</v>
      </c>
      <c r="HF311">
        <v>9.8790325224399567E-2</v>
      </c>
      <c r="HG311">
        <v>5.4435484111309052E-2</v>
      </c>
      <c r="HH311">
        <v>7.2580642998218536E-2</v>
      </c>
      <c r="HI311">
        <v>6.6532261669635773E-2</v>
      </c>
      <c r="HJ311">
        <v>6.25E-2</v>
      </c>
      <c r="HK311">
        <v>8.266129344701767E-2</v>
      </c>
      <c r="HL311">
        <v>9.2741936445236206E-2</v>
      </c>
      <c r="HM311">
        <v>6.4516127109527588E-2</v>
      </c>
      <c r="HN311">
        <v>9.4758063554763794E-2</v>
      </c>
      <c r="HO311">
        <v>0.10282257944345474</v>
      </c>
      <c r="HP311">
        <v>7.4596777558326721E-2</v>
      </c>
      <c r="HQ311">
        <v>7.2580642998218536E-2</v>
      </c>
      <c r="HR311">
        <v>7.6612904667854309E-2</v>
      </c>
      <c r="HS311">
        <v>7.4596777558326721E-2</v>
      </c>
      <c r="HT311">
        <v>9.6774190664291382E-2</v>
      </c>
      <c r="HU311">
        <v>5.2419353276491165E-2</v>
      </c>
      <c r="HV311">
        <v>8.8709674775600433E-2</v>
      </c>
      <c r="HW311">
        <v>8.266129344701767E-2</v>
      </c>
      <c r="HX311">
        <v>9.0725809335708618E-2</v>
      </c>
      <c r="HY311">
        <v>5.4435484111309052E-2</v>
      </c>
      <c r="HZ311">
        <v>0.1411290317773819</v>
      </c>
      <c r="IA311">
        <v>8.0645158886909485E-2</v>
      </c>
      <c r="IB311">
        <v>6.8548388779163361E-2</v>
      </c>
      <c r="IC311">
        <v>7.0564515888690948E-2</v>
      </c>
      <c r="ID311">
        <v>7.0564515888690948E-2</v>
      </c>
      <c r="IE311">
        <v>5.6451611220836639E-2</v>
      </c>
      <c r="IF311">
        <v>6.6532261669635773E-2</v>
      </c>
      <c r="IG311">
        <v>7.8629031777381897E-2</v>
      </c>
      <c r="IH311">
        <v>7.2580642998218536E-2</v>
      </c>
      <c r="II311">
        <v>7.4596777558326721E-2</v>
      </c>
      <c r="IJ311">
        <v>7.0564515888690948E-2</v>
      </c>
      <c r="IK311">
        <v>6.8548388779163361E-2</v>
      </c>
      <c r="IL311">
        <v>9.8790325224399567E-2</v>
      </c>
      <c r="IM311">
        <v>8.266129344701767E-2</v>
      </c>
      <c r="IN311">
        <v>5.4435484111309052E-2</v>
      </c>
      <c r="IO311">
        <v>8.266129344701767E-2</v>
      </c>
      <c r="IP311">
        <v>7.6612904667854309E-2</v>
      </c>
      <c r="IQ311">
        <v>6.6532261669635773E-2</v>
      </c>
      <c r="IR311">
        <v>7.4596777558326721E-2</v>
      </c>
      <c r="IS311">
        <v>7.0564515888690948E-2</v>
      </c>
      <c r="IT311">
        <v>8.8709674775600433E-2</v>
      </c>
      <c r="IU311">
        <v>7.6612904667854309E-2</v>
      </c>
      <c r="IV311">
        <v>6.8548388779163361E-2</v>
      </c>
      <c r="IW311">
        <v>6.4516127109527588E-2</v>
      </c>
      <c r="IX311">
        <v>7.0564515888690948E-2</v>
      </c>
      <c r="IY311">
        <v>7.2580642998218536E-2</v>
      </c>
      <c r="IZ311">
        <v>7.2580642998218536E-2</v>
      </c>
      <c r="JA311">
        <v>0.10282257944345474</v>
      </c>
      <c r="JB311">
        <v>6.4516127109527588E-2</v>
      </c>
      <c r="JC311">
        <v>8.6693547666072845E-2</v>
      </c>
      <c r="JD311">
        <v>7.0564515888690948E-2</v>
      </c>
      <c r="JE311">
        <v>9.6774190664291382E-2</v>
      </c>
      <c r="JF311">
        <v>8.0645158886909485E-2</v>
      </c>
      <c r="JG311">
        <v>0.10080645233392715</v>
      </c>
      <c r="JH311">
        <v>5.2419353276491165E-2</v>
      </c>
      <c r="JI311">
        <v>5.6451611220836639E-2</v>
      </c>
      <c r="JJ311">
        <v>7.8629031777381897E-2</v>
      </c>
      <c r="JK311">
        <v>6.25E-2</v>
      </c>
      <c r="JL311">
        <v>5.6451611220836639E-2</v>
      </c>
      <c r="JM311">
        <v>7.0564515888690948E-2</v>
      </c>
      <c r="JN311">
        <v>5.8467742055654526E-2</v>
      </c>
      <c r="JO311">
        <v>7.2580642998218536E-2</v>
      </c>
      <c r="JP311">
        <v>8.8709674775600433E-2</v>
      </c>
      <c r="JQ311">
        <v>8.6693547666072845E-2</v>
      </c>
      <c r="JR311">
        <v>7.4596777558326721E-2</v>
      </c>
      <c r="JS311">
        <v>0.14717741310596466</v>
      </c>
      <c r="JT311">
        <v>6.4516127109527588E-2</v>
      </c>
      <c r="JU311">
        <v>8.0645158886909485E-2</v>
      </c>
      <c r="JV311">
        <v>5.8467742055654526E-2</v>
      </c>
      <c r="JW311">
        <v>8.8709674775600433E-2</v>
      </c>
      <c r="JX311">
        <v>7.4596777558326721E-2</v>
      </c>
      <c r="JY311">
        <v>6.25E-2</v>
      </c>
      <c r="JZ311">
        <v>8.6693547666072845E-2</v>
      </c>
      <c r="KA311">
        <v>7.8629031777381897E-2</v>
      </c>
      <c r="KB311">
        <v>7.8629031777381897E-2</v>
      </c>
      <c r="KC311">
        <v>7.0564515888690948E-2</v>
      </c>
      <c r="KD311">
        <v>6.0483869165182114E-2</v>
      </c>
      <c r="KE311">
        <v>9.4758063554763794E-2</v>
      </c>
      <c r="KF311">
        <v>5.8467742055654526E-2</v>
      </c>
      <c r="KG311">
        <v>6.0483869165182114E-2</v>
      </c>
      <c r="KH311">
        <v>7.8629031777381897E-2</v>
      </c>
      <c r="KI311">
        <v>0.1088709682226181</v>
      </c>
      <c r="KJ311">
        <v>8.0645158886909485E-2</v>
      </c>
      <c r="KK311">
        <v>7.2580642998218536E-2</v>
      </c>
      <c r="KL311">
        <v>0.10483870655298233</v>
      </c>
      <c r="KM311">
        <v>8.0645158886909485E-2</v>
      </c>
    </row>
    <row r="312" spans="4:308" x14ac:dyDescent="0.25">
      <c r="D312" s="41" t="str" cm="1">
        <f t="array" ref="D312">IF(H312="","",IF(AND(E312&lt;AVERAGE(E311,E313)*($L$19/100),$D$23:D311=""),H312,""))</f>
        <v/>
      </c>
      <c r="E312" s="78">
        <f t="shared" si="5"/>
        <v>2.2856591992337083E-3</v>
      </c>
      <c r="F312" s="79"/>
      <c r="H312">
        <v>290</v>
      </c>
      <c r="I312">
        <v>7.6335659199233713E-2</v>
      </c>
      <c r="K312">
        <v>8.901514858007431E-2</v>
      </c>
      <c r="L312">
        <v>6.4393937587738037E-2</v>
      </c>
      <c r="M312">
        <v>8.5227273404598236E-2</v>
      </c>
      <c r="N312">
        <v>6.25E-2</v>
      </c>
      <c r="O312">
        <v>8.901514858007431E-2</v>
      </c>
      <c r="P312">
        <v>8.7121210992336273E-2</v>
      </c>
      <c r="Q312">
        <v>0.10795454680919647</v>
      </c>
      <c r="R312">
        <v>6.0606062412261963E-2</v>
      </c>
      <c r="S312">
        <v>6.4393937587738037E-2</v>
      </c>
      <c r="T312">
        <v>6.0606062412261963E-2</v>
      </c>
      <c r="U312">
        <v>5.681818351149559E-2</v>
      </c>
      <c r="V312">
        <v>0.1041666641831398</v>
      </c>
      <c r="W312">
        <v>9.6590906381607056E-2</v>
      </c>
      <c r="X312">
        <v>9.848485141992569E-2</v>
      </c>
      <c r="Y312">
        <v>9.6590906381607056E-2</v>
      </c>
      <c r="Z312">
        <v>5.3030304610729218E-2</v>
      </c>
      <c r="AA312">
        <v>8.7121210992336273E-2</v>
      </c>
      <c r="AB312">
        <v>0.10606060922145844</v>
      </c>
      <c r="AC312">
        <v>6.8181820213794708E-2</v>
      </c>
      <c r="AD312">
        <v>8.3333335816860199E-2</v>
      </c>
      <c r="AE312">
        <v>9.2803031206130981E-2</v>
      </c>
      <c r="AF312">
        <v>7.5757578015327454E-2</v>
      </c>
      <c r="AG312">
        <v>9.4696968793869019E-2</v>
      </c>
      <c r="AH312">
        <v>8.5227273404598236E-2</v>
      </c>
      <c r="AI312">
        <v>6.4393937587738037E-2</v>
      </c>
      <c r="AJ312">
        <v>8.1439390778541565E-2</v>
      </c>
      <c r="AK312">
        <v>6.25E-2</v>
      </c>
      <c r="AL312">
        <v>6.8181820213794708E-2</v>
      </c>
      <c r="AM312">
        <v>7.7651515603065491E-2</v>
      </c>
      <c r="AN312">
        <v>0.10984848439693451</v>
      </c>
      <c r="AO312">
        <v>6.0483869165182114E-2</v>
      </c>
      <c r="AP312">
        <v>8.266129344701767E-2</v>
      </c>
      <c r="AQ312">
        <v>9.6774190664291382E-2</v>
      </c>
      <c r="AR312">
        <v>6.0483869165182114E-2</v>
      </c>
      <c r="AS312">
        <v>6.0483869165182114E-2</v>
      </c>
      <c r="AT312">
        <v>8.8709674775600433E-2</v>
      </c>
      <c r="AU312">
        <v>5.6451611220836639E-2</v>
      </c>
      <c r="AV312">
        <v>6.0483869165182114E-2</v>
      </c>
      <c r="AW312">
        <v>0.11895161122083664</v>
      </c>
      <c r="AX312">
        <v>9.0725809335708618E-2</v>
      </c>
      <c r="AY312">
        <v>8.8709674775600433E-2</v>
      </c>
      <c r="AZ312">
        <v>6.0483869165182114E-2</v>
      </c>
      <c r="BA312">
        <v>5.6451611220836639E-2</v>
      </c>
      <c r="BB312">
        <v>7.2580642998218536E-2</v>
      </c>
      <c r="BC312">
        <v>0.10080645233392715</v>
      </c>
      <c r="BD312">
        <v>5.4435484111309052E-2</v>
      </c>
      <c r="BE312">
        <v>9.6774190664291382E-2</v>
      </c>
      <c r="BF312">
        <v>0.11491935700178146</v>
      </c>
      <c r="BG312">
        <v>7.4596777558326721E-2</v>
      </c>
      <c r="BH312">
        <v>8.4677420556545258E-2</v>
      </c>
      <c r="BI312">
        <v>5.0403226166963577E-2</v>
      </c>
      <c r="BJ312">
        <v>0.125</v>
      </c>
      <c r="BK312">
        <v>6.6532261669635773E-2</v>
      </c>
      <c r="BL312">
        <v>9.6774190664291382E-2</v>
      </c>
      <c r="BM312">
        <v>9.0725809335708618E-2</v>
      </c>
      <c r="BN312">
        <v>8.0645158886909485E-2</v>
      </c>
      <c r="BO312">
        <v>5.6451611220836639E-2</v>
      </c>
      <c r="BP312">
        <v>6.6532261669635773E-2</v>
      </c>
      <c r="BQ312">
        <v>7.4596777558326721E-2</v>
      </c>
      <c r="BR312">
        <v>6.8548388779163361E-2</v>
      </c>
      <c r="BS312">
        <v>0.14516128599643707</v>
      </c>
      <c r="BT312">
        <v>5.8467742055654526E-2</v>
      </c>
      <c r="BU312">
        <v>7.0564515888690948E-2</v>
      </c>
      <c r="BV312">
        <v>9.4758063554763794E-2</v>
      </c>
      <c r="BW312">
        <v>5.0403226166963577E-2</v>
      </c>
      <c r="BX312">
        <v>7.4596777558326721E-2</v>
      </c>
      <c r="BY312">
        <v>0.11290322244167328</v>
      </c>
      <c r="BZ312">
        <v>5.8467742055654526E-2</v>
      </c>
      <c r="CA312">
        <v>8.266129344701767E-2</v>
      </c>
      <c r="CB312">
        <v>0.14919355511665344</v>
      </c>
      <c r="CC312">
        <v>6.0483869165182114E-2</v>
      </c>
      <c r="CD312">
        <v>8.0645158886909485E-2</v>
      </c>
      <c r="CE312">
        <v>0.10685484111309052</v>
      </c>
      <c r="CF312">
        <v>6.0483869165182114E-2</v>
      </c>
      <c r="CG312">
        <v>8.6693547666072845E-2</v>
      </c>
      <c r="CH312">
        <v>0.10685484111309052</v>
      </c>
      <c r="CI312">
        <v>6.0483869165182114E-2</v>
      </c>
      <c r="CJ312">
        <v>7.2580642998218536E-2</v>
      </c>
      <c r="CK312">
        <v>9.0725809335708618E-2</v>
      </c>
      <c r="CL312">
        <v>9.2741936445236206E-2</v>
      </c>
      <c r="CM312">
        <v>0.1088709682226181</v>
      </c>
      <c r="CN312">
        <v>5.2419353276491165E-2</v>
      </c>
      <c r="CO312">
        <v>9.0725809335708618E-2</v>
      </c>
      <c r="CP312">
        <v>5.8467742055654526E-2</v>
      </c>
      <c r="CQ312">
        <v>5.6451611220836639E-2</v>
      </c>
      <c r="CR312">
        <v>9.6774190664291382E-2</v>
      </c>
      <c r="CS312">
        <v>6.4516127109527588E-2</v>
      </c>
      <c r="CT312">
        <v>6.6532261669635773E-2</v>
      </c>
      <c r="CU312">
        <v>7.0564515888690948E-2</v>
      </c>
      <c r="CV312">
        <v>7.8629031777381897E-2</v>
      </c>
      <c r="CW312">
        <v>8.8709674775600433E-2</v>
      </c>
      <c r="CX312">
        <v>5.6451611220836639E-2</v>
      </c>
      <c r="CY312">
        <v>7.8629031777381897E-2</v>
      </c>
      <c r="CZ312">
        <v>8.4677420556545258E-2</v>
      </c>
      <c r="DA312">
        <v>8.0645158886909485E-2</v>
      </c>
      <c r="DB312">
        <v>9.6774190664291382E-2</v>
      </c>
      <c r="DC312">
        <v>4.8387095332145691E-2</v>
      </c>
      <c r="DD312">
        <v>7.8629031777381897E-2</v>
      </c>
      <c r="DE312">
        <v>6.25E-2</v>
      </c>
      <c r="DF312">
        <v>7.8629031777381897E-2</v>
      </c>
      <c r="DG312">
        <v>0.10483870655298233</v>
      </c>
      <c r="DH312">
        <v>7.4596777558326721E-2</v>
      </c>
      <c r="DI312">
        <v>7.4596777558326721E-2</v>
      </c>
      <c r="DJ312">
        <v>0.10080645233392715</v>
      </c>
      <c r="DK312">
        <v>5.0403226166963577E-2</v>
      </c>
      <c r="DL312">
        <v>7.6612904667854309E-2</v>
      </c>
      <c r="DM312">
        <v>8.4677420556545258E-2</v>
      </c>
      <c r="DN312">
        <v>7.6612904667854309E-2</v>
      </c>
      <c r="DO312">
        <v>6.8548388779163361E-2</v>
      </c>
      <c r="DP312">
        <v>8.4677420556545258E-2</v>
      </c>
      <c r="DQ312">
        <v>6.6532261669635773E-2</v>
      </c>
      <c r="DR312">
        <v>4.6370968222618103E-2</v>
      </c>
      <c r="DS312">
        <v>8.8709674775600433E-2</v>
      </c>
      <c r="DT312">
        <v>8.266129344701767E-2</v>
      </c>
      <c r="DU312">
        <v>7.6612904667854309E-2</v>
      </c>
      <c r="DV312">
        <v>7.4596777558326721E-2</v>
      </c>
      <c r="DW312">
        <v>0.13911290466785431</v>
      </c>
      <c r="DX312">
        <v>7.6612904667854309E-2</v>
      </c>
      <c r="DY312">
        <v>6.8548388779163361E-2</v>
      </c>
      <c r="DZ312">
        <v>5.6451611220836639E-2</v>
      </c>
      <c r="EA312">
        <v>4.8387095332145691E-2</v>
      </c>
      <c r="EB312">
        <v>8.8709674775600433E-2</v>
      </c>
      <c r="EC312">
        <v>0.14717741310596466</v>
      </c>
      <c r="ED312">
        <v>6.4516127109527588E-2</v>
      </c>
      <c r="EE312">
        <v>6.4516127109527588E-2</v>
      </c>
      <c r="EF312">
        <v>0.11290322244167328</v>
      </c>
      <c r="EG312">
        <v>8.4677420556545258E-2</v>
      </c>
      <c r="EH312">
        <v>8.0645158886909485E-2</v>
      </c>
      <c r="EI312">
        <v>5.8467742055654526E-2</v>
      </c>
      <c r="EJ312">
        <v>6.25E-2</v>
      </c>
      <c r="EK312">
        <v>0.12298387289047241</v>
      </c>
      <c r="EL312">
        <v>6.25E-2</v>
      </c>
      <c r="EM312">
        <v>6.25E-2</v>
      </c>
      <c r="EN312">
        <v>7.4596777558326721E-2</v>
      </c>
      <c r="EO312">
        <v>6.6532261669635773E-2</v>
      </c>
      <c r="EP312">
        <v>6.25E-2</v>
      </c>
      <c r="EQ312">
        <v>8.0645158886909485E-2</v>
      </c>
      <c r="ER312">
        <v>3.8306452333927155E-2</v>
      </c>
      <c r="ES312">
        <v>5.2419353276491165E-2</v>
      </c>
      <c r="ET312">
        <v>7.2580642998218536E-2</v>
      </c>
      <c r="EU312">
        <v>8.6693547666072845E-2</v>
      </c>
      <c r="EV312">
        <v>7.4596777558326721E-2</v>
      </c>
      <c r="EW312">
        <v>7.4596777558326721E-2</v>
      </c>
      <c r="EX312">
        <v>9.4758063554763794E-2</v>
      </c>
      <c r="EY312">
        <v>6.4516127109527588E-2</v>
      </c>
      <c r="EZ312">
        <v>6.6532261669635773E-2</v>
      </c>
      <c r="FA312">
        <v>6.25E-2</v>
      </c>
      <c r="FB312">
        <v>6.4516127109527588E-2</v>
      </c>
      <c r="FC312">
        <v>8.266129344701767E-2</v>
      </c>
      <c r="FD312">
        <v>5.6451611220836639E-2</v>
      </c>
      <c r="FE312">
        <v>8.0645158886909485E-2</v>
      </c>
      <c r="FF312">
        <v>6.6532261669635773E-2</v>
      </c>
      <c r="FG312">
        <v>5.8467742055654526E-2</v>
      </c>
      <c r="FH312">
        <v>5.6451611220836639E-2</v>
      </c>
      <c r="FI312">
        <v>8.4677420556545258E-2</v>
      </c>
      <c r="FJ312">
        <v>7.0564515888690948E-2</v>
      </c>
      <c r="FK312">
        <v>8.6693547666072845E-2</v>
      </c>
      <c r="FL312">
        <v>7.8629031777381897E-2</v>
      </c>
      <c r="FM312">
        <v>0.10282257944345474</v>
      </c>
      <c r="FN312">
        <v>6.4516127109527588E-2</v>
      </c>
      <c r="FO312">
        <v>7.2580642998218536E-2</v>
      </c>
      <c r="FP312">
        <v>7.2580642998218536E-2</v>
      </c>
      <c r="FQ312">
        <v>5.0403226166963577E-2</v>
      </c>
      <c r="FR312">
        <v>6.8548388779163361E-2</v>
      </c>
      <c r="FS312">
        <v>0.10080645233392715</v>
      </c>
      <c r="FT312">
        <v>8.4677420556545258E-2</v>
      </c>
      <c r="FU312">
        <v>5.4435484111309052E-2</v>
      </c>
      <c r="FV312">
        <v>4.4354837387800217E-2</v>
      </c>
      <c r="FW312">
        <v>8.0645158886909485E-2</v>
      </c>
      <c r="FX312">
        <v>9.4758063554763794E-2</v>
      </c>
      <c r="FY312">
        <v>8.4677420556545258E-2</v>
      </c>
      <c r="FZ312">
        <v>5.0403226166963577E-2</v>
      </c>
      <c r="GA312">
        <v>0.10080645233392715</v>
      </c>
      <c r="GB312">
        <v>6.4516127109527588E-2</v>
      </c>
      <c r="GC312">
        <v>8.4677420556545258E-2</v>
      </c>
      <c r="GD312">
        <v>9.4758063554763794E-2</v>
      </c>
      <c r="GE312">
        <v>0.16532258689403534</v>
      </c>
      <c r="GF312">
        <v>4.6370968222618103E-2</v>
      </c>
      <c r="GG312">
        <v>5.4435484111309052E-2</v>
      </c>
      <c r="GH312">
        <v>6.4516127109527588E-2</v>
      </c>
      <c r="GI312">
        <v>5.8467742055654526E-2</v>
      </c>
      <c r="GJ312">
        <v>6.8548388779163361E-2</v>
      </c>
      <c r="GK312">
        <v>5.2419353276491165E-2</v>
      </c>
      <c r="GL312">
        <v>6.6532261669635773E-2</v>
      </c>
      <c r="GM312">
        <v>8.6693547666072845E-2</v>
      </c>
      <c r="GN312">
        <v>7.8629031777381897E-2</v>
      </c>
      <c r="GO312">
        <v>7.4596777558326721E-2</v>
      </c>
      <c r="GP312">
        <v>5.6451611220836639E-2</v>
      </c>
      <c r="GQ312">
        <v>7.4596777558326721E-2</v>
      </c>
      <c r="GR312">
        <v>7.2580642998218536E-2</v>
      </c>
      <c r="GS312">
        <v>7.2580642998218536E-2</v>
      </c>
      <c r="GT312">
        <v>5.2419353276491165E-2</v>
      </c>
      <c r="GU312">
        <v>9.4758063554763794E-2</v>
      </c>
      <c r="GV312">
        <v>6.6532261669635773E-2</v>
      </c>
      <c r="GW312">
        <v>7.0564515888690948E-2</v>
      </c>
      <c r="GX312">
        <v>7.6612904667854309E-2</v>
      </c>
      <c r="GY312">
        <v>8.0645158886909485E-2</v>
      </c>
      <c r="GZ312">
        <v>6.8548388779163361E-2</v>
      </c>
      <c r="HA312">
        <v>9.0725809335708618E-2</v>
      </c>
      <c r="HB312">
        <v>0.12096773833036423</v>
      </c>
      <c r="HC312">
        <v>7.0564515888690948E-2</v>
      </c>
      <c r="HD312">
        <v>6.8548388779163361E-2</v>
      </c>
      <c r="HE312">
        <v>5.0403226166963577E-2</v>
      </c>
      <c r="HF312">
        <v>6.25E-2</v>
      </c>
      <c r="HG312">
        <v>0.11491935700178146</v>
      </c>
      <c r="HH312">
        <v>6.4516127109527588E-2</v>
      </c>
      <c r="HI312">
        <v>7.8629031777381897E-2</v>
      </c>
      <c r="HJ312">
        <v>9.8790325224399567E-2</v>
      </c>
      <c r="HK312">
        <v>9.2741936445236206E-2</v>
      </c>
      <c r="HL312">
        <v>5.8467742055654526E-2</v>
      </c>
      <c r="HM312">
        <v>7.4596777558326721E-2</v>
      </c>
      <c r="HN312">
        <v>8.0645158886909485E-2</v>
      </c>
      <c r="HO312">
        <v>5.8467742055654526E-2</v>
      </c>
      <c r="HP312">
        <v>8.6693547666072845E-2</v>
      </c>
      <c r="HQ312">
        <v>5.4435484111309052E-2</v>
      </c>
      <c r="HR312">
        <v>6.6532261669635773E-2</v>
      </c>
      <c r="HS312">
        <v>6.25E-2</v>
      </c>
      <c r="HT312">
        <v>6.4516127109527588E-2</v>
      </c>
      <c r="HU312">
        <v>0.11491935700178146</v>
      </c>
      <c r="HV312">
        <v>8.0645158886909485E-2</v>
      </c>
      <c r="HW312">
        <v>0.11088709533214569</v>
      </c>
      <c r="HX312">
        <v>5.0403226166963577E-2</v>
      </c>
      <c r="HY312">
        <v>6.6532261669635773E-2</v>
      </c>
      <c r="HZ312">
        <v>6.6532261669635773E-2</v>
      </c>
      <c r="IA312">
        <v>0.10282257944345474</v>
      </c>
      <c r="IB312">
        <v>5.6451611220836639E-2</v>
      </c>
      <c r="IC312">
        <v>7.4596777558326721E-2</v>
      </c>
      <c r="ID312">
        <v>6.0483869165182114E-2</v>
      </c>
      <c r="IE312">
        <v>8.6693547666072845E-2</v>
      </c>
      <c r="IF312">
        <v>3.8306452333927155E-2</v>
      </c>
      <c r="IG312">
        <v>7.0564515888690948E-2</v>
      </c>
      <c r="IH312">
        <v>7.2580642998218536E-2</v>
      </c>
      <c r="II312">
        <v>6.4516127109527588E-2</v>
      </c>
      <c r="IJ312">
        <v>7.2580642998218536E-2</v>
      </c>
      <c r="IK312">
        <v>7.4596777558326721E-2</v>
      </c>
      <c r="IL312">
        <v>7.6612904667854309E-2</v>
      </c>
      <c r="IM312">
        <v>8.4677420556545258E-2</v>
      </c>
      <c r="IN312">
        <v>5.2419353276491165E-2</v>
      </c>
      <c r="IO312">
        <v>6.8548388779163361E-2</v>
      </c>
      <c r="IP312">
        <v>0.10483870655298233</v>
      </c>
      <c r="IQ312">
        <v>7.4596777558326721E-2</v>
      </c>
      <c r="IR312">
        <v>6.4516127109527588E-2</v>
      </c>
      <c r="IS312">
        <v>6.0483869165182114E-2</v>
      </c>
      <c r="IT312">
        <v>0.11491935700178146</v>
      </c>
      <c r="IU312">
        <v>4.6370968222618103E-2</v>
      </c>
      <c r="IV312">
        <v>8.266129344701767E-2</v>
      </c>
      <c r="IW312">
        <v>7.2580642998218536E-2</v>
      </c>
      <c r="IX312">
        <v>8.6693547666072845E-2</v>
      </c>
      <c r="IY312">
        <v>6.0483869165182114E-2</v>
      </c>
      <c r="IZ312">
        <v>4.6370968222618103E-2</v>
      </c>
      <c r="JA312">
        <v>6.25E-2</v>
      </c>
      <c r="JB312">
        <v>8.0645158886909485E-2</v>
      </c>
      <c r="JC312">
        <v>6.4516127109527588E-2</v>
      </c>
      <c r="JD312">
        <v>7.8629031777381897E-2</v>
      </c>
      <c r="JE312">
        <v>7.8629031777381897E-2</v>
      </c>
      <c r="JF312">
        <v>7.6612904667854309E-2</v>
      </c>
      <c r="JG312">
        <v>5.0403226166963577E-2</v>
      </c>
      <c r="JH312">
        <v>6.4516127109527588E-2</v>
      </c>
      <c r="JI312">
        <v>8.0645158886909485E-2</v>
      </c>
      <c r="JJ312">
        <v>9.4758063554763794E-2</v>
      </c>
      <c r="JK312">
        <v>7.4596777558326721E-2</v>
      </c>
      <c r="JL312">
        <v>7.0564515888690948E-2</v>
      </c>
      <c r="JM312">
        <v>4.4354837387800217E-2</v>
      </c>
      <c r="JN312">
        <v>7.6612904667854309E-2</v>
      </c>
      <c r="JO312">
        <v>7.2580642998218536E-2</v>
      </c>
      <c r="JP312">
        <v>7.0564515888690948E-2</v>
      </c>
      <c r="JQ312">
        <v>7.8629031777381897E-2</v>
      </c>
      <c r="JR312">
        <v>5.4435484111309052E-2</v>
      </c>
      <c r="JS312">
        <v>7.0564515888690948E-2</v>
      </c>
      <c r="JT312">
        <v>8.4677420556545258E-2</v>
      </c>
      <c r="JU312">
        <v>6.4516127109527588E-2</v>
      </c>
      <c r="JV312">
        <v>7.0564515888690948E-2</v>
      </c>
      <c r="JW312">
        <v>7.4596777558326721E-2</v>
      </c>
      <c r="JX312">
        <v>7.8629031777381897E-2</v>
      </c>
      <c r="JY312">
        <v>9.2741936445236206E-2</v>
      </c>
      <c r="JZ312">
        <v>6.6532261669635773E-2</v>
      </c>
      <c r="KA312">
        <v>6.6532261669635773E-2</v>
      </c>
      <c r="KB312">
        <v>5.6451611220836639E-2</v>
      </c>
      <c r="KC312">
        <v>9.6774190664291382E-2</v>
      </c>
      <c r="KD312">
        <v>6.6532261669635773E-2</v>
      </c>
      <c r="KE312">
        <v>0.1088709682226181</v>
      </c>
      <c r="KF312">
        <v>7.6612904667854309E-2</v>
      </c>
      <c r="KG312">
        <v>6.25E-2</v>
      </c>
      <c r="KH312">
        <v>6.25E-2</v>
      </c>
      <c r="KI312">
        <v>8.4677420556545258E-2</v>
      </c>
      <c r="KJ312">
        <v>7.6612904667854309E-2</v>
      </c>
      <c r="KK312">
        <v>7.4596777558326721E-2</v>
      </c>
      <c r="KL312">
        <v>4.4354837387800217E-2</v>
      </c>
      <c r="KM312">
        <v>7.2580642998218536E-2</v>
      </c>
      <c r="KN312">
        <v>6.0483869165182114E-2</v>
      </c>
    </row>
    <row r="313" spans="4:308" x14ac:dyDescent="0.25">
      <c r="D313" s="41" t="str" cm="1">
        <f t="array" ref="D313">IF(H313="","",IF(AND(E313&lt;AVERAGE(E312,E314)*($L$19/100),$D$23:D312=""),H313,""))</f>
        <v/>
      </c>
      <c r="E313" s="78">
        <f t="shared" si="5"/>
        <v>1.7024110120801156E-3</v>
      </c>
      <c r="F313" s="79"/>
      <c r="H313">
        <v>291</v>
      </c>
      <c r="I313">
        <v>7.575241101208012E-2</v>
      </c>
      <c r="K313">
        <v>6.8548388779163361E-2</v>
      </c>
      <c r="L313">
        <v>6.6532261669635773E-2</v>
      </c>
      <c r="M313">
        <v>9.0725809335708618E-2</v>
      </c>
      <c r="N313">
        <v>6.8548388779163361E-2</v>
      </c>
      <c r="O313">
        <v>7.4596777558326721E-2</v>
      </c>
      <c r="P313">
        <v>7.0564515888690948E-2</v>
      </c>
      <c r="Q313">
        <v>0.15725806355476379</v>
      </c>
      <c r="R313">
        <v>6.8548388779163361E-2</v>
      </c>
      <c r="S313">
        <v>7.2580642998218536E-2</v>
      </c>
      <c r="T313">
        <v>7.6612904667854309E-2</v>
      </c>
      <c r="U313">
        <v>7.4596777558326721E-2</v>
      </c>
      <c r="V313">
        <v>6.8548388779163361E-2</v>
      </c>
      <c r="W313">
        <v>8.0645158886909485E-2</v>
      </c>
      <c r="X313">
        <v>6.4516127109527588E-2</v>
      </c>
      <c r="Y313">
        <v>0.10282257944345474</v>
      </c>
      <c r="Z313">
        <v>7.2580642998218536E-2</v>
      </c>
      <c r="AA313">
        <v>8.266129344701767E-2</v>
      </c>
      <c r="AB313">
        <v>7.2580642998218536E-2</v>
      </c>
      <c r="AC313">
        <v>6.25E-2</v>
      </c>
      <c r="AD313">
        <v>6.6532261669635773E-2</v>
      </c>
      <c r="AE313">
        <v>7.2580642998218536E-2</v>
      </c>
      <c r="AF313">
        <v>7.6612904667854309E-2</v>
      </c>
      <c r="AG313">
        <v>0.16733871400356293</v>
      </c>
      <c r="AH313">
        <v>8.0645158886909485E-2</v>
      </c>
      <c r="AI313">
        <v>5.0403226166963577E-2</v>
      </c>
      <c r="AJ313">
        <v>7.8629031777381897E-2</v>
      </c>
      <c r="AK313">
        <v>0.11895161122083664</v>
      </c>
      <c r="AL313">
        <v>6.25E-2</v>
      </c>
      <c r="AM313">
        <v>7.0564515888690948E-2</v>
      </c>
      <c r="AN313">
        <v>0.10282257944345474</v>
      </c>
      <c r="AO313">
        <v>5.0403226166963577E-2</v>
      </c>
      <c r="AP313">
        <v>0.13104838132858276</v>
      </c>
      <c r="AQ313">
        <v>8.266129344701767E-2</v>
      </c>
      <c r="AR313">
        <v>0.12903225421905518</v>
      </c>
      <c r="AS313">
        <v>7.8629031777381897E-2</v>
      </c>
      <c r="AT313">
        <v>8.266129344701767E-2</v>
      </c>
      <c r="AU313">
        <v>8.4677420556545258E-2</v>
      </c>
      <c r="AV313">
        <v>6.8548388779163361E-2</v>
      </c>
      <c r="AW313">
        <v>8.0645158886909485E-2</v>
      </c>
      <c r="AX313">
        <v>6.8548388779163361E-2</v>
      </c>
      <c r="AY313">
        <v>8.8709674775600433E-2</v>
      </c>
      <c r="AZ313">
        <v>6.25E-2</v>
      </c>
      <c r="BA313">
        <v>0.13508065044879913</v>
      </c>
      <c r="BB313">
        <v>6.0483869165182114E-2</v>
      </c>
      <c r="BC313">
        <v>5.4435484111309052E-2</v>
      </c>
      <c r="BD313">
        <v>9.8790325224399567E-2</v>
      </c>
      <c r="BE313">
        <v>0.12096773833036423</v>
      </c>
      <c r="BF313">
        <v>6.8548388779163361E-2</v>
      </c>
      <c r="BG313">
        <v>9.6774190664291382E-2</v>
      </c>
      <c r="BH313">
        <v>8.8709674775600433E-2</v>
      </c>
      <c r="BI313">
        <v>8.8709674775600433E-2</v>
      </c>
      <c r="BJ313">
        <v>7.4596777558326721E-2</v>
      </c>
      <c r="BK313">
        <v>6.4516127109527588E-2</v>
      </c>
      <c r="BL313">
        <v>8.266129344701767E-2</v>
      </c>
      <c r="BM313">
        <v>4.0322579443454742E-2</v>
      </c>
      <c r="BN313">
        <v>7.4596777558326721E-2</v>
      </c>
      <c r="BO313">
        <v>6.25E-2</v>
      </c>
      <c r="BP313">
        <v>7.8629031777381897E-2</v>
      </c>
      <c r="BQ313">
        <v>6.25E-2</v>
      </c>
      <c r="BR313">
        <v>6.6532261669635773E-2</v>
      </c>
      <c r="BS313">
        <v>8.4677420556545258E-2</v>
      </c>
      <c r="BT313">
        <v>6.4516127109527588E-2</v>
      </c>
      <c r="BU313">
        <v>6.0483869165182114E-2</v>
      </c>
      <c r="BV313">
        <v>6.0483869165182114E-2</v>
      </c>
      <c r="BW313">
        <v>0.10080645233392715</v>
      </c>
      <c r="BX313">
        <v>5.6451611220836639E-2</v>
      </c>
      <c r="BY313">
        <v>7.0564515888690948E-2</v>
      </c>
      <c r="BZ313">
        <v>8.4677420556545258E-2</v>
      </c>
      <c r="CA313">
        <v>6.0483869165182114E-2</v>
      </c>
      <c r="CB313">
        <v>6.25E-2</v>
      </c>
      <c r="CC313">
        <v>6.0483869165182114E-2</v>
      </c>
      <c r="CD313">
        <v>7.2580642998218536E-2</v>
      </c>
      <c r="CE313">
        <v>6.0483869165182114E-2</v>
      </c>
      <c r="CF313">
        <v>8.8709674775600433E-2</v>
      </c>
      <c r="CG313">
        <v>7.0564515888690948E-2</v>
      </c>
      <c r="CH313">
        <v>7.6612904667854309E-2</v>
      </c>
      <c r="CI313">
        <v>6.0483869165182114E-2</v>
      </c>
      <c r="CJ313">
        <v>6.4516127109527588E-2</v>
      </c>
      <c r="CK313">
        <v>7.6612904667854309E-2</v>
      </c>
      <c r="CL313">
        <v>5.8467742055654526E-2</v>
      </c>
      <c r="CM313">
        <v>5.8467742055654526E-2</v>
      </c>
      <c r="CN313">
        <v>7.0564515888690948E-2</v>
      </c>
      <c r="CO313">
        <v>8.8709674775600433E-2</v>
      </c>
      <c r="CP313">
        <v>8.4677420556545258E-2</v>
      </c>
      <c r="CQ313">
        <v>8.6693547666072845E-2</v>
      </c>
      <c r="CR313">
        <v>8.8709674775600433E-2</v>
      </c>
      <c r="CS313">
        <v>6.25E-2</v>
      </c>
      <c r="CT313">
        <v>6.8548388779163361E-2</v>
      </c>
      <c r="CU313">
        <v>9.0725809335708618E-2</v>
      </c>
      <c r="CV313">
        <v>9.2741936445236206E-2</v>
      </c>
      <c r="CW313">
        <v>4.4354837387800217E-2</v>
      </c>
      <c r="CX313">
        <v>6.8548388779163361E-2</v>
      </c>
      <c r="CY313">
        <v>8.266129344701767E-2</v>
      </c>
      <c r="CZ313">
        <v>8.266129344701767E-2</v>
      </c>
      <c r="DA313">
        <v>6.25E-2</v>
      </c>
      <c r="DB313">
        <v>5.6451611220836639E-2</v>
      </c>
      <c r="DC313">
        <v>5.8467742055654526E-2</v>
      </c>
      <c r="DD313">
        <v>7.2580642998218536E-2</v>
      </c>
      <c r="DE313">
        <v>5.8467742055654526E-2</v>
      </c>
      <c r="DF313">
        <v>7.0564515888690948E-2</v>
      </c>
      <c r="DG313">
        <v>8.0645158886909485E-2</v>
      </c>
      <c r="DH313">
        <v>8.4677420556545258E-2</v>
      </c>
      <c r="DI313">
        <v>4.6370968222618103E-2</v>
      </c>
      <c r="DJ313">
        <v>5.8467742055654526E-2</v>
      </c>
      <c r="DK313">
        <v>7.4596777558326721E-2</v>
      </c>
      <c r="DL313">
        <v>9.0725809335708618E-2</v>
      </c>
      <c r="DM313">
        <v>6.6532261669635773E-2</v>
      </c>
      <c r="DN313">
        <v>4.8387095332145691E-2</v>
      </c>
      <c r="DO313">
        <v>9.0725809335708618E-2</v>
      </c>
      <c r="DP313">
        <v>8.4677420556545258E-2</v>
      </c>
      <c r="DQ313">
        <v>6.4516127109527588E-2</v>
      </c>
      <c r="DR313">
        <v>5.6451611220836639E-2</v>
      </c>
      <c r="DS313">
        <v>9.4758063554763794E-2</v>
      </c>
      <c r="DT313">
        <v>5.6451611220836639E-2</v>
      </c>
      <c r="DU313">
        <v>6.6532261669635773E-2</v>
      </c>
      <c r="DV313">
        <v>7.0564515888690948E-2</v>
      </c>
      <c r="DW313">
        <v>0.14314515888690948</v>
      </c>
      <c r="DX313">
        <v>5.2419353276491165E-2</v>
      </c>
      <c r="DY313">
        <v>7.6612904667854309E-2</v>
      </c>
      <c r="DZ313">
        <v>0.10483870655298233</v>
      </c>
      <c r="EA313">
        <v>8.6693547666072845E-2</v>
      </c>
      <c r="EB313">
        <v>5.0403226166963577E-2</v>
      </c>
      <c r="EC313">
        <v>9.0725809335708618E-2</v>
      </c>
      <c r="ED313">
        <v>8.6693547666072845E-2</v>
      </c>
      <c r="EE313">
        <v>5.6451611220836639E-2</v>
      </c>
      <c r="EF313">
        <v>4.8387095332145691E-2</v>
      </c>
      <c r="EG313">
        <v>5.4435484111309052E-2</v>
      </c>
      <c r="EH313">
        <v>6.4516127109527588E-2</v>
      </c>
      <c r="EI313">
        <v>7.2580642998218536E-2</v>
      </c>
      <c r="EJ313">
        <v>6.4516127109527588E-2</v>
      </c>
      <c r="EK313">
        <v>7.6612904667854309E-2</v>
      </c>
      <c r="EL313">
        <v>8.4677420556545258E-2</v>
      </c>
      <c r="EM313">
        <v>6.8548388779163361E-2</v>
      </c>
      <c r="EN313">
        <v>6.6532261669635773E-2</v>
      </c>
      <c r="EO313">
        <v>6.6532261669635773E-2</v>
      </c>
      <c r="EP313">
        <v>4.8387095332145691E-2</v>
      </c>
      <c r="EQ313">
        <v>6.6532261669635773E-2</v>
      </c>
      <c r="ER313">
        <v>6.8548388779163361E-2</v>
      </c>
      <c r="ES313">
        <v>5.4435484111309052E-2</v>
      </c>
      <c r="ET313">
        <v>7.2580642998218536E-2</v>
      </c>
      <c r="EU313">
        <v>0.13709677755832672</v>
      </c>
      <c r="EV313">
        <v>7.8629031777381897E-2</v>
      </c>
      <c r="EW313">
        <v>0.10080645233392715</v>
      </c>
      <c r="EX313">
        <v>9.8790325224399567E-2</v>
      </c>
      <c r="EY313">
        <v>9.4758063554763794E-2</v>
      </c>
      <c r="EZ313">
        <v>9.8790325224399567E-2</v>
      </c>
      <c r="FA313">
        <v>7.8629031777381897E-2</v>
      </c>
      <c r="FB313">
        <v>8.0645158886909485E-2</v>
      </c>
      <c r="FC313">
        <v>6.0483869165182114E-2</v>
      </c>
      <c r="FD313">
        <v>5.8467742055654526E-2</v>
      </c>
      <c r="FE313">
        <v>6.0483869165182114E-2</v>
      </c>
      <c r="FF313">
        <v>9.6774190664291382E-2</v>
      </c>
      <c r="FG313">
        <v>5.4435484111309052E-2</v>
      </c>
      <c r="FH313">
        <v>8.0645158886909485E-2</v>
      </c>
      <c r="FI313">
        <v>7.0564515888690948E-2</v>
      </c>
      <c r="FJ313">
        <v>7.8629031777381897E-2</v>
      </c>
      <c r="FK313">
        <v>8.0645158886909485E-2</v>
      </c>
      <c r="FL313">
        <v>7.2580642998218536E-2</v>
      </c>
      <c r="FM313">
        <v>6.0483869165182114E-2</v>
      </c>
      <c r="FN313">
        <v>9.2741936445236206E-2</v>
      </c>
      <c r="FO313">
        <v>5.2419353276491165E-2</v>
      </c>
      <c r="FP313">
        <v>8.0645158886909485E-2</v>
      </c>
      <c r="FQ313">
        <v>6.8548388779163361E-2</v>
      </c>
      <c r="FR313">
        <v>7.6612904667854309E-2</v>
      </c>
      <c r="FS313">
        <v>6.8548388779163361E-2</v>
      </c>
      <c r="FT313">
        <v>5.4435484111309052E-2</v>
      </c>
      <c r="FU313">
        <v>0.12096773833036423</v>
      </c>
      <c r="FV313">
        <v>9.0725809335708618E-2</v>
      </c>
      <c r="FW313">
        <v>0.11693548411130905</v>
      </c>
      <c r="FX313">
        <v>8.6693547666072845E-2</v>
      </c>
      <c r="FY313">
        <v>9.4758063554763794E-2</v>
      </c>
      <c r="FZ313">
        <v>7.6612904667854309E-2</v>
      </c>
      <c r="GA313">
        <v>7.6612904667854309E-2</v>
      </c>
      <c r="GB313">
        <v>5.8467742055654526E-2</v>
      </c>
      <c r="GC313">
        <v>6.4516127109527588E-2</v>
      </c>
      <c r="GD313">
        <v>0.12701612710952759</v>
      </c>
      <c r="GE313">
        <v>8.6693547666072845E-2</v>
      </c>
      <c r="GF313">
        <v>9.8790325224399567E-2</v>
      </c>
      <c r="GG313">
        <v>6.25E-2</v>
      </c>
      <c r="GH313">
        <v>9.0725809335708618E-2</v>
      </c>
      <c r="GI313">
        <v>5.4435484111309052E-2</v>
      </c>
      <c r="GJ313">
        <v>5.0403226166963577E-2</v>
      </c>
      <c r="GK313">
        <v>8.0645158886909485E-2</v>
      </c>
      <c r="GL313">
        <v>7.6612904667854309E-2</v>
      </c>
      <c r="GM313">
        <v>3.8306452333927155E-2</v>
      </c>
      <c r="GN313">
        <v>6.6532261669635773E-2</v>
      </c>
      <c r="GO313">
        <v>6.8548388779163361E-2</v>
      </c>
      <c r="GP313">
        <v>7.8629031777381897E-2</v>
      </c>
      <c r="GQ313">
        <v>5.6451611220836639E-2</v>
      </c>
      <c r="GR313">
        <v>9.2741936445236206E-2</v>
      </c>
      <c r="GS313">
        <v>6.0483869165182114E-2</v>
      </c>
      <c r="GT313">
        <v>6.0483869165182114E-2</v>
      </c>
      <c r="GU313">
        <v>6.6532261669635773E-2</v>
      </c>
      <c r="GV313">
        <v>4.4354837387800217E-2</v>
      </c>
      <c r="GW313">
        <v>6.8548388779163361E-2</v>
      </c>
      <c r="GX313">
        <v>8.8709674775600433E-2</v>
      </c>
      <c r="GY313">
        <v>7.0564515888690948E-2</v>
      </c>
      <c r="GZ313">
        <v>8.8709674775600433E-2</v>
      </c>
      <c r="HA313">
        <v>7.0564515888690948E-2</v>
      </c>
      <c r="HB313">
        <v>6.0483869165182114E-2</v>
      </c>
      <c r="HC313">
        <v>7.8629031777381897E-2</v>
      </c>
      <c r="HD313">
        <v>6.0483869165182114E-2</v>
      </c>
      <c r="HE313">
        <v>7.4596777558326721E-2</v>
      </c>
      <c r="HF313">
        <v>0.125</v>
      </c>
      <c r="HG313">
        <v>6.0483869165182114E-2</v>
      </c>
      <c r="HH313">
        <v>7.4596777558326721E-2</v>
      </c>
      <c r="HI313">
        <v>6.6532261669635773E-2</v>
      </c>
      <c r="HJ313">
        <v>8.0645158886909485E-2</v>
      </c>
      <c r="HK313">
        <v>5.4435484111309052E-2</v>
      </c>
      <c r="HL313">
        <v>5.0403226166963577E-2</v>
      </c>
      <c r="HM313">
        <v>6.4516127109527588E-2</v>
      </c>
      <c r="HN313">
        <v>5.8467742055654526E-2</v>
      </c>
      <c r="HO313">
        <v>5.6451611220836639E-2</v>
      </c>
      <c r="HP313">
        <v>6.4516127109527588E-2</v>
      </c>
      <c r="HQ313">
        <v>7.8629031777381897E-2</v>
      </c>
      <c r="HR313">
        <v>6.8548388779163361E-2</v>
      </c>
      <c r="HS313">
        <v>9.8790325224399567E-2</v>
      </c>
      <c r="HT313">
        <v>6.4516127109527588E-2</v>
      </c>
      <c r="HU313">
        <v>9.8790325224399567E-2</v>
      </c>
      <c r="HV313">
        <v>7.8629031777381897E-2</v>
      </c>
      <c r="HW313">
        <v>4.6370968222618103E-2</v>
      </c>
      <c r="HX313">
        <v>7.8629031777381897E-2</v>
      </c>
      <c r="HY313">
        <v>8.0645158886909485E-2</v>
      </c>
      <c r="HZ313">
        <v>7.2580642998218536E-2</v>
      </c>
      <c r="IA313">
        <v>7.0564515888690948E-2</v>
      </c>
      <c r="IB313">
        <v>6.25E-2</v>
      </c>
      <c r="IC313">
        <v>9.4758063554763794E-2</v>
      </c>
      <c r="ID313">
        <v>5.8467742055654526E-2</v>
      </c>
      <c r="IE313">
        <v>8.4677420556545258E-2</v>
      </c>
      <c r="IF313">
        <v>5.4435484111309052E-2</v>
      </c>
      <c r="IG313">
        <v>4.8387095332145691E-2</v>
      </c>
      <c r="IH313">
        <v>6.25E-2</v>
      </c>
      <c r="II313">
        <v>8.0645158886909485E-2</v>
      </c>
      <c r="IJ313">
        <v>7.0564515888690948E-2</v>
      </c>
      <c r="IK313">
        <v>6.4516127109527588E-2</v>
      </c>
      <c r="IL313">
        <v>5.8467742055654526E-2</v>
      </c>
      <c r="IM313">
        <v>0.13104838132858276</v>
      </c>
      <c r="IN313">
        <v>7.0564515888690948E-2</v>
      </c>
      <c r="IO313">
        <v>8.4677420556545258E-2</v>
      </c>
      <c r="IP313">
        <v>6.4516127109527588E-2</v>
      </c>
      <c r="IQ313">
        <v>6.6532261669635773E-2</v>
      </c>
      <c r="IR313">
        <v>9.0725809335708618E-2</v>
      </c>
      <c r="IS313">
        <v>0.10483870655298233</v>
      </c>
      <c r="IT313">
        <v>8.6693547666072845E-2</v>
      </c>
      <c r="IU313">
        <v>6.0483869165182114E-2</v>
      </c>
      <c r="IV313">
        <v>7.8629031777381897E-2</v>
      </c>
      <c r="IW313">
        <v>8.0645158886909485E-2</v>
      </c>
      <c r="IX313">
        <v>6.25E-2</v>
      </c>
      <c r="IY313">
        <v>5.8467742055654526E-2</v>
      </c>
      <c r="IZ313">
        <v>0.10080645233392715</v>
      </c>
      <c r="JA313">
        <v>5.2419353276491165E-2</v>
      </c>
      <c r="JB313">
        <v>6.6532261669635773E-2</v>
      </c>
      <c r="JC313">
        <v>6.6532261669635773E-2</v>
      </c>
      <c r="JD313">
        <v>7.8629031777381897E-2</v>
      </c>
      <c r="JE313">
        <v>7.6612904667854309E-2</v>
      </c>
      <c r="JF313">
        <v>9.6774190664291382E-2</v>
      </c>
      <c r="JG313">
        <v>8.266129344701767E-2</v>
      </c>
      <c r="JH313">
        <v>7.4596777558326721E-2</v>
      </c>
      <c r="JI313">
        <v>8.266129344701767E-2</v>
      </c>
      <c r="JJ313">
        <v>6.25E-2</v>
      </c>
      <c r="JK313">
        <v>7.6612904667854309E-2</v>
      </c>
      <c r="JL313">
        <v>6.4516127109527588E-2</v>
      </c>
      <c r="JM313">
        <v>8.8709674775600433E-2</v>
      </c>
      <c r="JN313">
        <v>7.4596777558326721E-2</v>
      </c>
      <c r="JO313">
        <v>7.2580642998218536E-2</v>
      </c>
      <c r="JP313">
        <v>5.4435484111309052E-2</v>
      </c>
      <c r="JQ313">
        <v>6.8548388779163361E-2</v>
      </c>
      <c r="JR313">
        <v>0.10282257944345474</v>
      </c>
      <c r="JS313">
        <v>8.266129344701767E-2</v>
      </c>
      <c r="JT313">
        <v>0.10282257944345474</v>
      </c>
      <c r="JU313">
        <v>0.11693548411130905</v>
      </c>
      <c r="JV313">
        <v>8.4677420556545258E-2</v>
      </c>
      <c r="JW313">
        <v>9.2741936445236206E-2</v>
      </c>
      <c r="JX313">
        <v>6.0483869165182114E-2</v>
      </c>
      <c r="JY313">
        <v>6.4516127109527588E-2</v>
      </c>
      <c r="JZ313">
        <v>7.2580642998218536E-2</v>
      </c>
      <c r="KA313">
        <v>6.4516127109527588E-2</v>
      </c>
      <c r="KB313">
        <v>9.4758063554763794E-2</v>
      </c>
      <c r="KC313">
        <v>9.6774190664291382E-2</v>
      </c>
      <c r="KD313">
        <v>5.8467742055654526E-2</v>
      </c>
      <c r="KE313">
        <v>8.6693547666072845E-2</v>
      </c>
      <c r="KF313">
        <v>0.10483870655298233</v>
      </c>
      <c r="KG313">
        <v>8.266129344701767E-2</v>
      </c>
      <c r="KH313">
        <v>5.6451611220836639E-2</v>
      </c>
      <c r="KI313">
        <v>8.4677420556545258E-2</v>
      </c>
      <c r="KJ313">
        <v>6.8548388779163361E-2</v>
      </c>
      <c r="KK313">
        <v>9.6774190664291382E-2</v>
      </c>
      <c r="KL313">
        <v>5.6451611220836639E-2</v>
      </c>
      <c r="KM313">
        <v>5.4435484111309052E-2</v>
      </c>
      <c r="KN313">
        <v>6.8817205727100372E-2</v>
      </c>
      <c r="KO313">
        <v>5.3763441741466522E-2</v>
      </c>
    </row>
    <row r="314" spans="4:308" x14ac:dyDescent="0.25">
      <c r="D314" s="41" t="str" cm="1">
        <f t="array" ref="D314">IF(H314="","",IF(AND(E314&lt;AVERAGE(E313,E315)*($L$19/100),$D$23:D313=""),H314,""))</f>
        <v/>
      </c>
      <c r="E314" s="78">
        <f t="shared" si="5"/>
        <v>3.4614156765072207E-3</v>
      </c>
      <c r="F314" s="79"/>
      <c r="H314">
        <v>292</v>
      </c>
      <c r="I314">
        <v>7.7511415676507225E-2</v>
      </c>
      <c r="K314">
        <v>5.4435484111309052E-2</v>
      </c>
      <c r="L314">
        <v>7.2580642998218536E-2</v>
      </c>
      <c r="M314">
        <v>7.2580642998218536E-2</v>
      </c>
      <c r="N314">
        <v>8.4677420556545258E-2</v>
      </c>
      <c r="O314">
        <v>7.6612904667854309E-2</v>
      </c>
      <c r="P314">
        <v>7.4596777558326721E-2</v>
      </c>
      <c r="Q314">
        <v>7.4596777558326721E-2</v>
      </c>
      <c r="R314">
        <v>6.0483869165182114E-2</v>
      </c>
      <c r="S314">
        <v>6.4516127109527588E-2</v>
      </c>
      <c r="T314">
        <v>0.10080645233392715</v>
      </c>
      <c r="U314">
        <v>9.8790325224399567E-2</v>
      </c>
      <c r="V314">
        <v>0.12298387289047241</v>
      </c>
      <c r="W314">
        <v>7.2580642998218536E-2</v>
      </c>
      <c r="X314">
        <v>6.0483869165182114E-2</v>
      </c>
      <c r="Y314">
        <v>8.4677420556545258E-2</v>
      </c>
      <c r="Z314">
        <v>7.0564515888690948E-2</v>
      </c>
      <c r="AA314">
        <v>7.0564515888690948E-2</v>
      </c>
      <c r="AB314">
        <v>9.8790325224399567E-2</v>
      </c>
      <c r="AC314">
        <v>6.8548388779163361E-2</v>
      </c>
      <c r="AD314">
        <v>6.6532261669635773E-2</v>
      </c>
      <c r="AE314">
        <v>0.10282257944345474</v>
      </c>
      <c r="AF314">
        <v>0.11491935700178146</v>
      </c>
      <c r="AG314">
        <v>5.2419353276491165E-2</v>
      </c>
      <c r="AH314">
        <v>5.4435484111309052E-2</v>
      </c>
      <c r="AI314">
        <v>6.25E-2</v>
      </c>
      <c r="AJ314">
        <v>8.266129344701767E-2</v>
      </c>
      <c r="AK314">
        <v>6.6532261669635773E-2</v>
      </c>
      <c r="AL314">
        <v>0.10282257944345474</v>
      </c>
      <c r="AM314">
        <v>6.6532261669635773E-2</v>
      </c>
      <c r="AN314">
        <v>0.10282257944345474</v>
      </c>
      <c r="AO314">
        <v>7.0564515888690948E-2</v>
      </c>
      <c r="AP314">
        <v>5.8467742055654526E-2</v>
      </c>
      <c r="AQ314">
        <v>7.2580642998218536E-2</v>
      </c>
      <c r="AR314">
        <v>8.8709674775600433E-2</v>
      </c>
      <c r="AS314">
        <v>5.8467742055654526E-2</v>
      </c>
      <c r="AT314">
        <v>9.6774190664291382E-2</v>
      </c>
      <c r="AU314">
        <v>6.25E-2</v>
      </c>
      <c r="AV314">
        <v>6.6532261669635773E-2</v>
      </c>
      <c r="AW314">
        <v>7.8629031777381897E-2</v>
      </c>
      <c r="AX314">
        <v>6.4516127109527588E-2</v>
      </c>
      <c r="AY314">
        <v>6.6532261669635773E-2</v>
      </c>
      <c r="AZ314">
        <v>8.266129344701767E-2</v>
      </c>
      <c r="BA314">
        <v>0.10483870655298233</v>
      </c>
      <c r="BB314">
        <v>7.4596777558326721E-2</v>
      </c>
      <c r="BC314">
        <v>6.4516127109527588E-2</v>
      </c>
      <c r="BD314">
        <v>6.0483869165182114E-2</v>
      </c>
      <c r="BE314">
        <v>0.10080645233392715</v>
      </c>
      <c r="BF314">
        <v>6.25E-2</v>
      </c>
      <c r="BG314">
        <v>7.6612904667854309E-2</v>
      </c>
      <c r="BH314">
        <v>5.2419353276491165E-2</v>
      </c>
      <c r="BI314">
        <v>6.4516127109527588E-2</v>
      </c>
      <c r="BJ314">
        <v>0.11895161122083664</v>
      </c>
      <c r="BK314">
        <v>7.2580642998218536E-2</v>
      </c>
      <c r="BL314">
        <v>7.6612904667854309E-2</v>
      </c>
      <c r="BM314">
        <v>6.4516127109527588E-2</v>
      </c>
      <c r="BN314">
        <v>6.6532261669635773E-2</v>
      </c>
      <c r="BO314">
        <v>8.0645158886909485E-2</v>
      </c>
      <c r="BP314">
        <v>8.266129344701767E-2</v>
      </c>
      <c r="BQ314">
        <v>8.4677420556545258E-2</v>
      </c>
      <c r="BR314">
        <v>5.4435484111309052E-2</v>
      </c>
      <c r="BS314">
        <v>7.8629031777381897E-2</v>
      </c>
      <c r="BT314">
        <v>7.4596777558326721E-2</v>
      </c>
      <c r="BU314">
        <v>7.2580642998218536E-2</v>
      </c>
      <c r="BV314">
        <v>8.8709674775600433E-2</v>
      </c>
      <c r="BW314">
        <v>8.8709674775600433E-2</v>
      </c>
      <c r="BX314">
        <v>8.266129344701767E-2</v>
      </c>
      <c r="BY314">
        <v>6.8548388779163361E-2</v>
      </c>
      <c r="BZ314">
        <v>0.10685484111309052</v>
      </c>
      <c r="CA314">
        <v>8.0645158886909485E-2</v>
      </c>
      <c r="CB314">
        <v>9.0725809335708618E-2</v>
      </c>
      <c r="CC314">
        <v>6.6532261669635773E-2</v>
      </c>
      <c r="CD314">
        <v>8.0645158886909485E-2</v>
      </c>
      <c r="CE314">
        <v>9.8790325224399567E-2</v>
      </c>
      <c r="CF314">
        <v>9.0725809335708618E-2</v>
      </c>
      <c r="CG314">
        <v>5.0403226166963577E-2</v>
      </c>
      <c r="CH314">
        <v>5.8467742055654526E-2</v>
      </c>
      <c r="CI314">
        <v>8.0645158886909485E-2</v>
      </c>
      <c r="CJ314">
        <v>0.12298387289047241</v>
      </c>
      <c r="CK314">
        <v>8.0645158886909485E-2</v>
      </c>
      <c r="CL314">
        <v>0.10282257944345474</v>
      </c>
      <c r="CM314">
        <v>6.25E-2</v>
      </c>
      <c r="CN314">
        <v>6.0483869165182114E-2</v>
      </c>
      <c r="CO314">
        <v>6.8548388779163361E-2</v>
      </c>
      <c r="CP314">
        <v>8.266129344701767E-2</v>
      </c>
      <c r="CQ314">
        <v>6.0483869165182114E-2</v>
      </c>
      <c r="CR314">
        <v>6.8548388779163361E-2</v>
      </c>
      <c r="CS314">
        <v>5.2419353276491165E-2</v>
      </c>
      <c r="CT314">
        <v>5.8467742055654526E-2</v>
      </c>
      <c r="CU314">
        <v>6.25E-2</v>
      </c>
      <c r="CV314">
        <v>6.6532261669635773E-2</v>
      </c>
      <c r="CW314">
        <v>9.4758063554763794E-2</v>
      </c>
      <c r="CX314">
        <v>8.266129344701767E-2</v>
      </c>
      <c r="CY314">
        <v>6.6532261669635773E-2</v>
      </c>
      <c r="CZ314">
        <v>8.8709674775600433E-2</v>
      </c>
      <c r="DA314">
        <v>8.266129344701767E-2</v>
      </c>
      <c r="DB314">
        <v>7.2580642998218536E-2</v>
      </c>
      <c r="DC314">
        <v>7.6612904667854309E-2</v>
      </c>
      <c r="DD314">
        <v>5.6451611220836639E-2</v>
      </c>
      <c r="DE314">
        <v>9.2741936445236206E-2</v>
      </c>
      <c r="DF314">
        <v>8.266129344701767E-2</v>
      </c>
      <c r="DG314">
        <v>5.2419353276491165E-2</v>
      </c>
      <c r="DH314">
        <v>7.6612904667854309E-2</v>
      </c>
      <c r="DI314">
        <v>6.8548388779163361E-2</v>
      </c>
      <c r="DJ314">
        <v>6.4516127109527588E-2</v>
      </c>
      <c r="DK314">
        <v>0.11088709533214569</v>
      </c>
      <c r="DL314">
        <v>8.0645158886909485E-2</v>
      </c>
      <c r="DM314">
        <v>6.8548388779163361E-2</v>
      </c>
      <c r="DN314">
        <v>7.8629031777381897E-2</v>
      </c>
      <c r="DO314">
        <v>6.25E-2</v>
      </c>
      <c r="DP314">
        <v>7.8629031777381897E-2</v>
      </c>
      <c r="DQ314">
        <v>6.25E-2</v>
      </c>
      <c r="DR314">
        <v>4.2338710278272629E-2</v>
      </c>
      <c r="DS314">
        <v>6.8548388779163361E-2</v>
      </c>
      <c r="DT314">
        <v>8.4677420556545258E-2</v>
      </c>
      <c r="DU314">
        <v>6.8548388779163361E-2</v>
      </c>
      <c r="DV314">
        <v>7.2580642998218536E-2</v>
      </c>
      <c r="DW314">
        <v>7.0564515888690948E-2</v>
      </c>
      <c r="DX314">
        <v>0.11290322244167328</v>
      </c>
      <c r="DY314">
        <v>9.0725809335708618E-2</v>
      </c>
      <c r="DZ314">
        <v>9.0725809335708618E-2</v>
      </c>
      <c r="EA314">
        <v>6.25E-2</v>
      </c>
      <c r="EB314">
        <v>5.2419353276491165E-2</v>
      </c>
      <c r="EC314">
        <v>7.6612904667854309E-2</v>
      </c>
      <c r="ED314">
        <v>6.8548388779163361E-2</v>
      </c>
      <c r="EE314">
        <v>7.8629031777381897E-2</v>
      </c>
      <c r="EF314">
        <v>5.6451611220836639E-2</v>
      </c>
      <c r="EG314">
        <v>0.10483870655298233</v>
      </c>
      <c r="EH314">
        <v>9.2741936445236206E-2</v>
      </c>
      <c r="EI314">
        <v>6.0483869165182114E-2</v>
      </c>
      <c r="EJ314">
        <v>8.266129344701767E-2</v>
      </c>
      <c r="EK314">
        <v>8.0645158886909485E-2</v>
      </c>
      <c r="EL314">
        <v>5.0403226166963577E-2</v>
      </c>
      <c r="EM314">
        <v>0.10080645233392715</v>
      </c>
      <c r="EN314">
        <v>6.0483869165182114E-2</v>
      </c>
      <c r="EO314">
        <v>8.266129344701767E-2</v>
      </c>
      <c r="EP314">
        <v>0.1088709682226181</v>
      </c>
      <c r="EQ314">
        <v>5.8467742055654526E-2</v>
      </c>
      <c r="ER314">
        <v>0.10282257944345474</v>
      </c>
      <c r="ES314">
        <v>6.25E-2</v>
      </c>
      <c r="ET314">
        <v>7.2580642998218536E-2</v>
      </c>
      <c r="EU314">
        <v>8.266129344701767E-2</v>
      </c>
      <c r="EV314">
        <v>7.0564515888690948E-2</v>
      </c>
      <c r="EW314">
        <v>6.25E-2</v>
      </c>
      <c r="EX314">
        <v>5.4435484111309052E-2</v>
      </c>
      <c r="EY314">
        <v>7.6612904667854309E-2</v>
      </c>
      <c r="EZ314">
        <v>8.0645158886909485E-2</v>
      </c>
      <c r="FA314">
        <v>8.6693547666072845E-2</v>
      </c>
      <c r="FB314">
        <v>8.266129344701767E-2</v>
      </c>
      <c r="FC314">
        <v>0.10685484111309052</v>
      </c>
      <c r="FD314">
        <v>8.0645158886909485E-2</v>
      </c>
      <c r="FE314">
        <v>6.4516127109527588E-2</v>
      </c>
      <c r="FF314">
        <v>7.6612904667854309E-2</v>
      </c>
      <c r="FG314">
        <v>5.4435484111309052E-2</v>
      </c>
      <c r="FH314">
        <v>5.2419353276491165E-2</v>
      </c>
      <c r="FI314">
        <v>9.6774190664291382E-2</v>
      </c>
      <c r="FJ314">
        <v>5.6451611220836639E-2</v>
      </c>
      <c r="FK314">
        <v>5.8467742055654526E-2</v>
      </c>
      <c r="FL314">
        <v>0.11895161122083664</v>
      </c>
      <c r="FM314">
        <v>0.10282257944345474</v>
      </c>
      <c r="FN314">
        <v>4.4354837387800217E-2</v>
      </c>
      <c r="FO314">
        <v>8.6693547666072845E-2</v>
      </c>
      <c r="FP314">
        <v>8.4677420556545258E-2</v>
      </c>
      <c r="FQ314">
        <v>8.6693547666072845E-2</v>
      </c>
      <c r="FR314">
        <v>7.2580642998218536E-2</v>
      </c>
      <c r="FS314">
        <v>8.0645158886909485E-2</v>
      </c>
      <c r="FT314">
        <v>4.0322579443454742E-2</v>
      </c>
      <c r="FU314">
        <v>7.2580642998218536E-2</v>
      </c>
      <c r="FV314">
        <v>5.8467742055654526E-2</v>
      </c>
      <c r="FW314">
        <v>8.8709674775600433E-2</v>
      </c>
      <c r="FX314">
        <v>5.8467742055654526E-2</v>
      </c>
      <c r="FY314">
        <v>7.6612904667854309E-2</v>
      </c>
      <c r="FZ314">
        <v>4.2338710278272629E-2</v>
      </c>
      <c r="GA314">
        <v>0.12903225421905518</v>
      </c>
      <c r="GB314">
        <v>7.4596777558326721E-2</v>
      </c>
      <c r="GC314">
        <v>8.266129344701767E-2</v>
      </c>
      <c r="GD314">
        <v>7.8629031777381897E-2</v>
      </c>
      <c r="GE314">
        <v>8.0645158886909485E-2</v>
      </c>
      <c r="GF314">
        <v>7.2580642998218536E-2</v>
      </c>
      <c r="GG314">
        <v>4.6370968222618103E-2</v>
      </c>
      <c r="GH314">
        <v>9.0725809335708618E-2</v>
      </c>
      <c r="GI314">
        <v>7.0564515888690948E-2</v>
      </c>
      <c r="GJ314">
        <v>8.0645158886909485E-2</v>
      </c>
      <c r="GK314">
        <v>5.6451611220836639E-2</v>
      </c>
      <c r="GL314">
        <v>8.0645158886909485E-2</v>
      </c>
      <c r="GM314">
        <v>0.11088709533214569</v>
      </c>
      <c r="GN314">
        <v>7.0564515888690948E-2</v>
      </c>
      <c r="GO314">
        <v>6.0483869165182114E-2</v>
      </c>
      <c r="GP314">
        <v>6.6532261669635773E-2</v>
      </c>
      <c r="GQ314">
        <v>5.2419353276491165E-2</v>
      </c>
      <c r="GR314">
        <v>9.2741936445236206E-2</v>
      </c>
      <c r="GS314">
        <v>8.266129344701767E-2</v>
      </c>
      <c r="GT314">
        <v>6.8548388779163361E-2</v>
      </c>
      <c r="GU314">
        <v>8.8709674775600433E-2</v>
      </c>
      <c r="GV314">
        <v>7.8629031777381897E-2</v>
      </c>
      <c r="GW314">
        <v>7.8629031777381897E-2</v>
      </c>
      <c r="GX314">
        <v>6.4516127109527588E-2</v>
      </c>
      <c r="GY314">
        <v>8.4677420556545258E-2</v>
      </c>
      <c r="GZ314">
        <v>7.6612904667854309E-2</v>
      </c>
      <c r="HA314">
        <v>5.8467742055654526E-2</v>
      </c>
      <c r="HB314">
        <v>6.25E-2</v>
      </c>
      <c r="HC314">
        <v>7.2580642998218536E-2</v>
      </c>
      <c r="HD314">
        <v>7.8629031777381897E-2</v>
      </c>
      <c r="HE314">
        <v>6.25E-2</v>
      </c>
      <c r="HF314">
        <v>6.6532261669635773E-2</v>
      </c>
      <c r="HG314">
        <v>8.266129344701767E-2</v>
      </c>
      <c r="HH314">
        <v>4.8387095332145691E-2</v>
      </c>
      <c r="HI314">
        <v>8.0645158886909485E-2</v>
      </c>
      <c r="HJ314">
        <v>5.4435484111309052E-2</v>
      </c>
      <c r="HK314">
        <v>6.4516127109527588E-2</v>
      </c>
      <c r="HL314">
        <v>6.6532261669635773E-2</v>
      </c>
      <c r="HM314">
        <v>7.0564515888690948E-2</v>
      </c>
      <c r="HN314">
        <v>7.6612904667854309E-2</v>
      </c>
      <c r="HO314">
        <v>0.11491935700178146</v>
      </c>
      <c r="HP314">
        <v>9.4758063554763794E-2</v>
      </c>
      <c r="HQ314">
        <v>7.4596777558326721E-2</v>
      </c>
      <c r="HR314">
        <v>6.6532261669635773E-2</v>
      </c>
      <c r="HS314">
        <v>0.13709677755832672</v>
      </c>
      <c r="HT314">
        <v>6.8548388779163361E-2</v>
      </c>
      <c r="HU314">
        <v>0.1088709682226181</v>
      </c>
      <c r="HV314">
        <v>5.6451611220836639E-2</v>
      </c>
      <c r="HW314">
        <v>4.8387095332145691E-2</v>
      </c>
      <c r="HX314">
        <v>5.8467742055654526E-2</v>
      </c>
      <c r="HY314">
        <v>6.4516127109527588E-2</v>
      </c>
      <c r="HZ314">
        <v>9.2741936445236206E-2</v>
      </c>
      <c r="IA314">
        <v>8.8709674775600433E-2</v>
      </c>
      <c r="IB314">
        <v>8.8709674775600433E-2</v>
      </c>
      <c r="IC314">
        <v>8.0645158886909485E-2</v>
      </c>
      <c r="ID314">
        <v>0.10080645233392715</v>
      </c>
      <c r="IE314">
        <v>5.4435484111309052E-2</v>
      </c>
      <c r="IF314">
        <v>7.4596777558326721E-2</v>
      </c>
      <c r="IG314">
        <v>8.4677420556545258E-2</v>
      </c>
      <c r="IH314">
        <v>7.0564515888690948E-2</v>
      </c>
      <c r="II314">
        <v>0.10282257944345474</v>
      </c>
      <c r="IJ314">
        <v>6.4516127109527588E-2</v>
      </c>
      <c r="IK314">
        <v>3.427419438958168E-2</v>
      </c>
      <c r="IL314">
        <v>7.2580642998218536E-2</v>
      </c>
      <c r="IM314">
        <v>7.6612904667854309E-2</v>
      </c>
      <c r="IN314">
        <v>9.0725809335708618E-2</v>
      </c>
      <c r="IO314">
        <v>7.6612904667854309E-2</v>
      </c>
      <c r="IP314">
        <v>0.14314515888690948</v>
      </c>
      <c r="IQ314">
        <v>6.6532261669635773E-2</v>
      </c>
      <c r="IR314">
        <v>9.6774190664291382E-2</v>
      </c>
      <c r="IS314">
        <v>0.11895161122083664</v>
      </c>
      <c r="IT314">
        <v>6.6532261669635773E-2</v>
      </c>
      <c r="IU314">
        <v>9.6774190664291382E-2</v>
      </c>
      <c r="IV314">
        <v>5.6451611220836639E-2</v>
      </c>
      <c r="IW314">
        <v>0.10685484111309052</v>
      </c>
      <c r="IX314">
        <v>7.0564515888690948E-2</v>
      </c>
      <c r="IY314">
        <v>8.266129344701767E-2</v>
      </c>
      <c r="IZ314">
        <v>7.0564515888690948E-2</v>
      </c>
      <c r="JA314">
        <v>7.6612904667854309E-2</v>
      </c>
      <c r="JB314">
        <v>8.6693547666072845E-2</v>
      </c>
      <c r="JC314">
        <v>7.0564515888690948E-2</v>
      </c>
      <c r="JD314">
        <v>7.0564515888690948E-2</v>
      </c>
      <c r="JE314">
        <v>8.266129344701767E-2</v>
      </c>
      <c r="JF314">
        <v>9.4758063554763794E-2</v>
      </c>
      <c r="JG314">
        <v>8.4677420556545258E-2</v>
      </c>
      <c r="JH314">
        <v>6.0483869165182114E-2</v>
      </c>
      <c r="JI314">
        <v>6.6666670143604279E-2</v>
      </c>
      <c r="JJ314">
        <v>8.6021505296230316E-2</v>
      </c>
      <c r="JK314">
        <v>7.0967741310596466E-2</v>
      </c>
      <c r="JL314">
        <v>7.0967741310596466E-2</v>
      </c>
      <c r="JM314">
        <v>7.526881992816925E-2</v>
      </c>
      <c r="JN314">
        <v>7.0967741310596466E-2</v>
      </c>
      <c r="JO314">
        <v>6.6666670143604279E-2</v>
      </c>
      <c r="JP314">
        <v>6.6666670143604279E-2</v>
      </c>
      <c r="JQ314">
        <v>6.8817205727100372E-2</v>
      </c>
      <c r="JR314">
        <v>8.3870969712734222E-2</v>
      </c>
      <c r="JS314">
        <v>0.10967741906642914</v>
      </c>
      <c r="JT314">
        <v>5.5913977324962616E-2</v>
      </c>
      <c r="JU314">
        <v>0.13548387587070465</v>
      </c>
      <c r="JV314">
        <v>7.526881992816925E-2</v>
      </c>
      <c r="JW314">
        <v>0.10322580486536026</v>
      </c>
      <c r="JX314">
        <v>6.2365591526031494E-2</v>
      </c>
      <c r="JY314">
        <v>9.2473119497299194E-2</v>
      </c>
      <c r="JZ314">
        <v>4.9462366849184036E-2</v>
      </c>
      <c r="KA314">
        <v>7.0967741310596466E-2</v>
      </c>
      <c r="KB314">
        <v>9.6774190664291382E-2</v>
      </c>
      <c r="KC314">
        <v>9.2473119497299194E-2</v>
      </c>
      <c r="KD314">
        <v>7.526881992816925E-2</v>
      </c>
      <c r="KE314">
        <v>6.4516127109527588E-2</v>
      </c>
      <c r="KF314">
        <v>7.7419355511665344E-2</v>
      </c>
      <c r="KG314">
        <v>6.4516127109527588E-2</v>
      </c>
      <c r="KH314">
        <v>0.15483871102333069</v>
      </c>
      <c r="KI314">
        <v>9.8924733698368073E-2</v>
      </c>
      <c r="KJ314">
        <v>8.1720426678657532E-2</v>
      </c>
      <c r="KK314">
        <v>6.0215052217245102E-2</v>
      </c>
      <c r="KL314">
        <v>8.817204087972641E-2</v>
      </c>
      <c r="KM314">
        <v>9.6774190664291382E-2</v>
      </c>
      <c r="KN314">
        <v>8.3870969712734222E-2</v>
      </c>
      <c r="KO314">
        <v>0.12473118305206299</v>
      </c>
      <c r="KP314">
        <v>0.10107526928186417</v>
      </c>
    </row>
    <row r="315" spans="4:308" x14ac:dyDescent="0.25">
      <c r="D315" s="41" t="str" cm="1">
        <f t="array" ref="D315">IF(H315="","",IF(AND(E315&lt;AVERAGE(E314,E316)*($L$19/100),$D$23:D314=""),H315,""))</f>
        <v/>
      </c>
      <c r="E315" s="78">
        <f t="shared" si="5"/>
        <v>1.9931576507490195E-3</v>
      </c>
      <c r="F315" s="79"/>
      <c r="H315">
        <v>293</v>
      </c>
      <c r="I315">
        <v>7.6043157650749024E-2</v>
      </c>
      <c r="K315">
        <v>0.10483870655298233</v>
      </c>
      <c r="L315">
        <v>7.0564515888690948E-2</v>
      </c>
      <c r="M315">
        <v>8.6693547666072845E-2</v>
      </c>
      <c r="N315">
        <v>9.0725809335708618E-2</v>
      </c>
      <c r="O315">
        <v>6.6532261669635773E-2</v>
      </c>
      <c r="P315">
        <v>8.4677420556545258E-2</v>
      </c>
      <c r="Q315">
        <v>7.0564515888690948E-2</v>
      </c>
      <c r="R315">
        <v>6.0483869165182114E-2</v>
      </c>
      <c r="S315">
        <v>8.6693547666072845E-2</v>
      </c>
      <c r="T315">
        <v>5.4435484111309052E-2</v>
      </c>
      <c r="U315">
        <v>7.8629031777381897E-2</v>
      </c>
      <c r="V315">
        <v>8.8709674775600433E-2</v>
      </c>
      <c r="W315">
        <v>8.0645158886909485E-2</v>
      </c>
      <c r="X315">
        <v>9.0725809335708618E-2</v>
      </c>
      <c r="Y315">
        <v>6.4516127109527588E-2</v>
      </c>
      <c r="Z315">
        <v>5.0403226166963577E-2</v>
      </c>
      <c r="AA315">
        <v>7.2580642998218536E-2</v>
      </c>
      <c r="AB315">
        <v>8.0645158886909485E-2</v>
      </c>
      <c r="AC315">
        <v>8.8709674775600433E-2</v>
      </c>
      <c r="AD315">
        <v>0.11290322244167328</v>
      </c>
      <c r="AE315">
        <v>6.6532261669635773E-2</v>
      </c>
      <c r="AF315">
        <v>6.6532261669635773E-2</v>
      </c>
      <c r="AG315">
        <v>5.0403226166963577E-2</v>
      </c>
      <c r="AH315">
        <v>6.0483869165182114E-2</v>
      </c>
      <c r="AI315">
        <v>7.8629031777381897E-2</v>
      </c>
      <c r="AJ315">
        <v>7.2580642998218536E-2</v>
      </c>
      <c r="AK315">
        <v>6.25E-2</v>
      </c>
      <c r="AL315">
        <v>8.6693547666072845E-2</v>
      </c>
      <c r="AM315">
        <v>7.4596777558326721E-2</v>
      </c>
      <c r="AN315">
        <v>7.4596777558326721E-2</v>
      </c>
      <c r="AO315">
        <v>6.0483869165182114E-2</v>
      </c>
      <c r="AP315">
        <v>7.2580642998218536E-2</v>
      </c>
      <c r="AQ315">
        <v>7.8629031777381897E-2</v>
      </c>
      <c r="AR315">
        <v>7.6612904667854309E-2</v>
      </c>
      <c r="AS315">
        <v>8.8709674775600433E-2</v>
      </c>
      <c r="AT315">
        <v>7.8629031777381897E-2</v>
      </c>
      <c r="AU315">
        <v>0.10080645233392715</v>
      </c>
      <c r="AV315">
        <v>6.25E-2</v>
      </c>
      <c r="AW315">
        <v>8.8709674775600433E-2</v>
      </c>
      <c r="AX315">
        <v>8.266129344701767E-2</v>
      </c>
      <c r="AY315">
        <v>0.13911290466785431</v>
      </c>
      <c r="AZ315">
        <v>9.2741936445236206E-2</v>
      </c>
      <c r="BA315">
        <v>8.266129344701767E-2</v>
      </c>
      <c r="BB315">
        <v>8.266129344701767E-2</v>
      </c>
      <c r="BC315">
        <v>5.6451611220836639E-2</v>
      </c>
      <c r="BD315">
        <v>7.2580642998218536E-2</v>
      </c>
      <c r="BE315">
        <v>5.2419353276491165E-2</v>
      </c>
      <c r="BF315">
        <v>7.4596777558326721E-2</v>
      </c>
      <c r="BG315">
        <v>5.8467742055654526E-2</v>
      </c>
      <c r="BH315">
        <v>5.6451611220836639E-2</v>
      </c>
      <c r="BI315">
        <v>7.6612904667854309E-2</v>
      </c>
      <c r="BJ315">
        <v>8.266129344701767E-2</v>
      </c>
      <c r="BK315">
        <v>7.0564515888690948E-2</v>
      </c>
      <c r="BL315">
        <v>5.8467742055654526E-2</v>
      </c>
      <c r="BM315">
        <v>9.0725809335708618E-2</v>
      </c>
      <c r="BN315">
        <v>8.4677420556545258E-2</v>
      </c>
      <c r="BO315">
        <v>0.10483870655298233</v>
      </c>
      <c r="BP315">
        <v>8.0645158886909485E-2</v>
      </c>
      <c r="BQ315">
        <v>5.2419353276491165E-2</v>
      </c>
      <c r="BR315">
        <v>7.4596777558326721E-2</v>
      </c>
      <c r="BS315">
        <v>6.25E-2</v>
      </c>
      <c r="BT315">
        <v>7.8629031777381897E-2</v>
      </c>
      <c r="BU315">
        <v>5.6451611220836639E-2</v>
      </c>
      <c r="BV315">
        <v>8.0645158886909485E-2</v>
      </c>
      <c r="BW315">
        <v>6.4516127109527588E-2</v>
      </c>
      <c r="BX315">
        <v>8.0645158886909485E-2</v>
      </c>
      <c r="BY315">
        <v>6.8548388779163361E-2</v>
      </c>
      <c r="BZ315">
        <v>9.0725809335708618E-2</v>
      </c>
      <c r="CA315">
        <v>5.6451611220836639E-2</v>
      </c>
      <c r="CB315">
        <v>5.8467742055654526E-2</v>
      </c>
      <c r="CC315">
        <v>8.0645158886909485E-2</v>
      </c>
      <c r="CD315">
        <v>5.2419353276491165E-2</v>
      </c>
      <c r="CE315">
        <v>5.2419353276491165E-2</v>
      </c>
      <c r="CF315">
        <v>6.25E-2</v>
      </c>
      <c r="CG315">
        <v>5.8467742055654526E-2</v>
      </c>
      <c r="CH315">
        <v>7.4596777558326721E-2</v>
      </c>
      <c r="CI315">
        <v>6.4516127109527588E-2</v>
      </c>
      <c r="CJ315">
        <v>8.4677420556545258E-2</v>
      </c>
      <c r="CK315">
        <v>6.25E-2</v>
      </c>
      <c r="CL315">
        <v>9.6774190664291382E-2</v>
      </c>
      <c r="CM315">
        <v>6.6532261669635773E-2</v>
      </c>
      <c r="CN315">
        <v>6.25E-2</v>
      </c>
      <c r="CO315">
        <v>6.25E-2</v>
      </c>
      <c r="CP315">
        <v>0.1088709682226181</v>
      </c>
      <c r="CQ315">
        <v>9.2741936445236206E-2</v>
      </c>
      <c r="CR315">
        <v>8.266129344701767E-2</v>
      </c>
      <c r="CS315">
        <v>6.6532261669635773E-2</v>
      </c>
      <c r="CT315">
        <v>5.4435484111309052E-2</v>
      </c>
      <c r="CU315">
        <v>0.10080645233392715</v>
      </c>
      <c r="CV315">
        <v>7.4596777558326721E-2</v>
      </c>
      <c r="CW315">
        <v>6.6532261669635773E-2</v>
      </c>
      <c r="CX315">
        <v>8.4677420556545258E-2</v>
      </c>
      <c r="CY315">
        <v>7.2580642998218536E-2</v>
      </c>
      <c r="CZ315">
        <v>7.4596777558326721E-2</v>
      </c>
      <c r="DA315">
        <v>6.25E-2</v>
      </c>
      <c r="DB315">
        <v>7.0564515888690948E-2</v>
      </c>
      <c r="DC315">
        <v>5.4435484111309052E-2</v>
      </c>
      <c r="DD315">
        <v>4.2338710278272629E-2</v>
      </c>
      <c r="DE315">
        <v>8.4677420556545258E-2</v>
      </c>
      <c r="DF315">
        <v>6.25E-2</v>
      </c>
      <c r="DG315">
        <v>6.0483869165182114E-2</v>
      </c>
      <c r="DH315">
        <v>0.125</v>
      </c>
      <c r="DI315">
        <v>6.0483869165182114E-2</v>
      </c>
      <c r="DJ315">
        <v>8.0645158886909485E-2</v>
      </c>
      <c r="DK315">
        <v>6.8548388779163361E-2</v>
      </c>
      <c r="DL315">
        <v>7.2580642998218536E-2</v>
      </c>
      <c r="DM315">
        <v>4.8387095332145691E-2</v>
      </c>
      <c r="DN315">
        <v>5.2419353276491165E-2</v>
      </c>
      <c r="DO315">
        <v>9.4758063554763794E-2</v>
      </c>
      <c r="DP315">
        <v>8.8709674775600433E-2</v>
      </c>
      <c r="DQ315">
        <v>8.0645158886909485E-2</v>
      </c>
      <c r="DR315">
        <v>7.0564515888690948E-2</v>
      </c>
      <c r="DS315">
        <v>7.4596777558326721E-2</v>
      </c>
      <c r="DT315">
        <v>0.1088709682226181</v>
      </c>
      <c r="DU315">
        <v>5.4435484111309052E-2</v>
      </c>
      <c r="DV315">
        <v>6.0483869165182114E-2</v>
      </c>
      <c r="DW315">
        <v>0.10483870655298233</v>
      </c>
      <c r="DX315">
        <v>6.8548388779163361E-2</v>
      </c>
      <c r="DY315">
        <v>8.4677420556545258E-2</v>
      </c>
      <c r="DZ315">
        <v>4.2338710278272629E-2</v>
      </c>
      <c r="EA315">
        <v>6.6532261669635773E-2</v>
      </c>
      <c r="EB315">
        <v>7.0564515888690948E-2</v>
      </c>
      <c r="EC315">
        <v>5.0403226166963577E-2</v>
      </c>
      <c r="ED315">
        <v>9.2741936445236206E-2</v>
      </c>
      <c r="EE315">
        <v>7.0564515888690948E-2</v>
      </c>
      <c r="EF315">
        <v>9.4758063554763794E-2</v>
      </c>
      <c r="EG315">
        <v>6.8548388779163361E-2</v>
      </c>
      <c r="EH315">
        <v>8.266129344701767E-2</v>
      </c>
      <c r="EI315">
        <v>6.6532261669635773E-2</v>
      </c>
      <c r="EJ315">
        <v>8.266129344701767E-2</v>
      </c>
      <c r="EK315">
        <v>5.8467742055654526E-2</v>
      </c>
      <c r="EL315">
        <v>6.6532261669635773E-2</v>
      </c>
      <c r="EM315">
        <v>7.4596777558326721E-2</v>
      </c>
      <c r="EN315">
        <v>8.266129344701767E-2</v>
      </c>
      <c r="EO315">
        <v>7.6612904667854309E-2</v>
      </c>
      <c r="EP315">
        <v>5.6451611220836639E-2</v>
      </c>
      <c r="EQ315">
        <v>6.4516127109527588E-2</v>
      </c>
      <c r="ER315">
        <v>7.2580642998218536E-2</v>
      </c>
      <c r="ES315">
        <v>5.8467742055654526E-2</v>
      </c>
      <c r="ET315">
        <v>8.4677420556545258E-2</v>
      </c>
      <c r="EU315">
        <v>7.8629031777381897E-2</v>
      </c>
      <c r="EV315">
        <v>5.2419353276491165E-2</v>
      </c>
      <c r="EW315">
        <v>7.8629031777381897E-2</v>
      </c>
      <c r="EX315">
        <v>7.4596777558326721E-2</v>
      </c>
      <c r="EY315">
        <v>8.0645158886909485E-2</v>
      </c>
      <c r="EZ315">
        <v>5.6451611220836639E-2</v>
      </c>
      <c r="FA315">
        <v>9.0725809335708618E-2</v>
      </c>
      <c r="FB315">
        <v>8.8709674775600433E-2</v>
      </c>
      <c r="FC315">
        <v>7.2580642998218536E-2</v>
      </c>
      <c r="FD315">
        <v>6.4516127109527588E-2</v>
      </c>
      <c r="FE315">
        <v>5.6451611220836639E-2</v>
      </c>
      <c r="FF315">
        <v>6.4516127109527588E-2</v>
      </c>
      <c r="FG315">
        <v>8.266129344701767E-2</v>
      </c>
      <c r="FH315">
        <v>5.8467742055654526E-2</v>
      </c>
      <c r="FI315">
        <v>8.266129344701767E-2</v>
      </c>
      <c r="FJ315">
        <v>9.0725809335708618E-2</v>
      </c>
      <c r="FK315">
        <v>8.4677420556545258E-2</v>
      </c>
      <c r="FL315">
        <v>7.6612904667854309E-2</v>
      </c>
      <c r="FM315">
        <v>6.8548388779163361E-2</v>
      </c>
      <c r="FN315">
        <v>7.8629031777381897E-2</v>
      </c>
      <c r="FO315">
        <v>6.25E-2</v>
      </c>
      <c r="FP315">
        <v>7.4596777558326721E-2</v>
      </c>
      <c r="FQ315">
        <v>8.6693547666072845E-2</v>
      </c>
      <c r="FR315">
        <v>8.0645158886909485E-2</v>
      </c>
      <c r="FS315">
        <v>7.6612904667854309E-2</v>
      </c>
      <c r="FT315">
        <v>8.0645158886909485E-2</v>
      </c>
      <c r="FU315">
        <v>7.8629031777381897E-2</v>
      </c>
      <c r="FV315">
        <v>8.266129344701767E-2</v>
      </c>
      <c r="FW315">
        <v>5.4435484111309052E-2</v>
      </c>
      <c r="FX315">
        <v>6.25E-2</v>
      </c>
      <c r="FY315">
        <v>9.0725809335708618E-2</v>
      </c>
      <c r="FZ315">
        <v>9.0725809335708618E-2</v>
      </c>
      <c r="GA315">
        <v>7.2580642998218536E-2</v>
      </c>
      <c r="GB315">
        <v>7.4596777558326721E-2</v>
      </c>
      <c r="GC315">
        <v>7.2580642998218536E-2</v>
      </c>
      <c r="GD315">
        <v>5.0403226166963577E-2</v>
      </c>
      <c r="GE315">
        <v>8.266129344701767E-2</v>
      </c>
      <c r="GF315">
        <v>7.2580642998218536E-2</v>
      </c>
      <c r="GG315">
        <v>6.4516127109527588E-2</v>
      </c>
      <c r="GH315">
        <v>7.4596777558326721E-2</v>
      </c>
      <c r="GI315">
        <v>7.6612904667854309E-2</v>
      </c>
      <c r="GJ315">
        <v>7.6612904667854309E-2</v>
      </c>
      <c r="GK315">
        <v>6.4516127109527588E-2</v>
      </c>
      <c r="GL315">
        <v>0.12298387289047241</v>
      </c>
      <c r="GM315">
        <v>5.4435484111309052E-2</v>
      </c>
      <c r="GN315">
        <v>7.6612904667854309E-2</v>
      </c>
      <c r="GO315">
        <v>7.0564515888690948E-2</v>
      </c>
      <c r="GP315">
        <v>7.8629031777381897E-2</v>
      </c>
      <c r="GQ315">
        <v>0.10282257944345474</v>
      </c>
      <c r="GR315">
        <v>4.8387095332145691E-2</v>
      </c>
      <c r="GS315">
        <v>8.0645158886909485E-2</v>
      </c>
      <c r="GT315">
        <v>7.2580642998218536E-2</v>
      </c>
      <c r="GU315">
        <v>3.8306452333927155E-2</v>
      </c>
      <c r="GV315">
        <v>7.0564515888690948E-2</v>
      </c>
      <c r="GW315">
        <v>7.6612904667854309E-2</v>
      </c>
      <c r="GX315">
        <v>5.8467742055654526E-2</v>
      </c>
      <c r="GY315">
        <v>6.25E-2</v>
      </c>
      <c r="GZ315">
        <v>9.2741936445236206E-2</v>
      </c>
      <c r="HA315">
        <v>4.6370968222618103E-2</v>
      </c>
      <c r="HB315">
        <v>8.6693547666072845E-2</v>
      </c>
      <c r="HC315">
        <v>5.8467742055654526E-2</v>
      </c>
      <c r="HD315">
        <v>7.6612904667854309E-2</v>
      </c>
      <c r="HE315">
        <v>9.0725809335708618E-2</v>
      </c>
      <c r="HF315">
        <v>5.0403226166963577E-2</v>
      </c>
      <c r="HG315">
        <v>7.2580642998218536E-2</v>
      </c>
      <c r="HH315">
        <v>5.2419353276491165E-2</v>
      </c>
      <c r="HI315">
        <v>5.8467742055654526E-2</v>
      </c>
      <c r="HJ315">
        <v>0.11491935700178146</v>
      </c>
      <c r="HK315">
        <v>7.8629031777381897E-2</v>
      </c>
      <c r="HL315">
        <v>6.8548388779163361E-2</v>
      </c>
      <c r="HM315">
        <v>8.6693547666072845E-2</v>
      </c>
      <c r="HN315">
        <v>6.8548388779163361E-2</v>
      </c>
      <c r="HO315">
        <v>0.11088709533214569</v>
      </c>
      <c r="HP315">
        <v>6.25E-2</v>
      </c>
      <c r="HQ315">
        <v>9.6774190664291382E-2</v>
      </c>
      <c r="HR315">
        <v>0.11088709533214569</v>
      </c>
      <c r="HS315">
        <v>0.11491935700178146</v>
      </c>
      <c r="HT315">
        <v>8.6693547666072845E-2</v>
      </c>
      <c r="HU315">
        <v>4.6370968222618103E-2</v>
      </c>
      <c r="HV315">
        <v>7.2580642998218536E-2</v>
      </c>
      <c r="HW315">
        <v>6.4516127109527588E-2</v>
      </c>
      <c r="HX315">
        <v>0.11491935700178146</v>
      </c>
      <c r="HY315">
        <v>8.4677420556545258E-2</v>
      </c>
      <c r="HZ315">
        <v>7.0564515888690948E-2</v>
      </c>
      <c r="IA315">
        <v>7.2580642998218536E-2</v>
      </c>
      <c r="IB315">
        <v>7.8629031777381897E-2</v>
      </c>
      <c r="IC315">
        <v>0.13508065044879913</v>
      </c>
      <c r="ID315">
        <v>3.655913844704628E-2</v>
      </c>
      <c r="IE315">
        <v>9.0322583913803101E-2</v>
      </c>
      <c r="IF315">
        <v>9.2473119497299194E-2</v>
      </c>
      <c r="IG315">
        <v>5.5913977324962616E-2</v>
      </c>
      <c r="IH315">
        <v>8.1720426678657532E-2</v>
      </c>
      <c r="II315">
        <v>6.8817205727100372E-2</v>
      </c>
      <c r="IJ315">
        <v>8.817204087972641E-2</v>
      </c>
      <c r="IK315">
        <v>4.9462366849184036E-2</v>
      </c>
      <c r="IL315">
        <v>7.9569891095161438E-2</v>
      </c>
      <c r="IM315">
        <v>6.4516127109527588E-2</v>
      </c>
      <c r="IN315">
        <v>7.526881992816925E-2</v>
      </c>
      <c r="IO315">
        <v>9.6774190664291382E-2</v>
      </c>
      <c r="IP315">
        <v>7.0967741310596466E-2</v>
      </c>
      <c r="IQ315">
        <v>7.7419355511665344E-2</v>
      </c>
      <c r="IR315">
        <v>7.526881992816925E-2</v>
      </c>
      <c r="IS315">
        <v>9.6774190664291382E-2</v>
      </c>
      <c r="IT315">
        <v>6.6666670143604279E-2</v>
      </c>
      <c r="IU315">
        <v>6.8817205727100372E-2</v>
      </c>
      <c r="IV315">
        <v>6.0215052217245102E-2</v>
      </c>
      <c r="IW315">
        <v>9.0322583913803101E-2</v>
      </c>
      <c r="IX315">
        <v>6.4516127109527588E-2</v>
      </c>
      <c r="IY315">
        <v>6.4516127109527588E-2</v>
      </c>
      <c r="IZ315">
        <v>7.9569891095161438E-2</v>
      </c>
      <c r="JA315">
        <v>6.4516127109527588E-2</v>
      </c>
      <c r="JB315">
        <v>0.11182795464992523</v>
      </c>
      <c r="JC315">
        <v>7.9569891095161438E-2</v>
      </c>
      <c r="JD315">
        <v>0.10752688348293304</v>
      </c>
      <c r="JE315">
        <v>6.2365591526031494E-2</v>
      </c>
      <c r="JF315">
        <v>0.10107526928186417</v>
      </c>
      <c r="JG315">
        <v>4.7311827540397644E-2</v>
      </c>
      <c r="JH315">
        <v>6.8817205727100372E-2</v>
      </c>
      <c r="JI315">
        <v>9.4623655080795288E-2</v>
      </c>
      <c r="JJ315">
        <v>0.12473118305206299</v>
      </c>
      <c r="JK315">
        <v>8.1720426678657532E-2</v>
      </c>
      <c r="JL315">
        <v>7.311827689409256E-2</v>
      </c>
      <c r="JM315">
        <v>0.10537634044885635</v>
      </c>
      <c r="JN315">
        <v>6.0215052217245102E-2</v>
      </c>
      <c r="JO315">
        <v>0.10107526928186417</v>
      </c>
      <c r="JP315">
        <v>8.817204087972641E-2</v>
      </c>
      <c r="JQ315">
        <v>7.9569891095161438E-2</v>
      </c>
      <c r="JR315">
        <v>6.6666670143604279E-2</v>
      </c>
      <c r="JS315">
        <v>8.3870969712734222E-2</v>
      </c>
      <c r="JT315">
        <v>0.13333334028720856</v>
      </c>
      <c r="JU315">
        <v>0.10322580486536026</v>
      </c>
      <c r="JV315">
        <v>0.10752688348293304</v>
      </c>
      <c r="JW315">
        <v>6.0215052217245102E-2</v>
      </c>
      <c r="JX315">
        <v>6.4516127109527588E-2</v>
      </c>
      <c r="JY315">
        <v>9.6774190664291382E-2</v>
      </c>
      <c r="JZ315">
        <v>6.4516127109527588E-2</v>
      </c>
      <c r="KA315">
        <v>6.6666670143604279E-2</v>
      </c>
      <c r="KB315">
        <v>7.9569891095161438E-2</v>
      </c>
      <c r="KC315">
        <v>0.11612903326749802</v>
      </c>
      <c r="KD315">
        <v>6.4516127109527588E-2</v>
      </c>
      <c r="KE315">
        <v>6.2365591526031494E-2</v>
      </c>
      <c r="KF315">
        <v>8.1720426678657532E-2</v>
      </c>
      <c r="KG315">
        <v>6.0215052217245102E-2</v>
      </c>
      <c r="KH315">
        <v>0.10107526928186417</v>
      </c>
      <c r="KI315">
        <v>9.2473119497299194E-2</v>
      </c>
      <c r="KJ315">
        <v>5.161290243268013E-2</v>
      </c>
      <c r="KK315">
        <v>0.10752688348293304</v>
      </c>
      <c r="KL315">
        <v>4.9462366849184036E-2</v>
      </c>
      <c r="KM315">
        <v>8.3870969712734222E-2</v>
      </c>
      <c r="KN315">
        <v>7.526881992816925E-2</v>
      </c>
      <c r="KO315">
        <v>6.2365591526031494E-2</v>
      </c>
      <c r="KP315">
        <v>9.8924733698368073E-2</v>
      </c>
      <c r="KQ315">
        <v>8.3870969712734222E-2</v>
      </c>
    </row>
    <row r="316" spans="4:308" x14ac:dyDescent="0.25">
      <c r="D316" s="41" t="str" cm="1">
        <f t="array" ref="D316">IF(H316="","",IF(AND(E316&lt;AVERAGE(E315,E317)*($L$19/100),$D$23:D315=""),H316,""))</f>
        <v/>
      </c>
      <c r="E316" s="78">
        <f t="shared" si="5"/>
        <v>2.9181258849343417E-3</v>
      </c>
      <c r="F316" s="79"/>
      <c r="H316">
        <v>294</v>
      </c>
      <c r="I316">
        <v>7.6968125884934346E-2</v>
      </c>
      <c r="K316">
        <v>5.0403226166963577E-2</v>
      </c>
      <c r="L316">
        <v>7.2580642998218536E-2</v>
      </c>
      <c r="M316">
        <v>6.6532261669635773E-2</v>
      </c>
      <c r="N316">
        <v>7.6612904667854309E-2</v>
      </c>
      <c r="O316">
        <v>5.2419353276491165E-2</v>
      </c>
      <c r="P316">
        <v>7.8629031777381897E-2</v>
      </c>
      <c r="Q316">
        <v>4.6370968222618103E-2</v>
      </c>
      <c r="R316">
        <v>7.6612904667854309E-2</v>
      </c>
      <c r="S316">
        <v>7.8629031777381897E-2</v>
      </c>
      <c r="T316">
        <v>7.6612904667854309E-2</v>
      </c>
      <c r="U316">
        <v>9.6774190664291382E-2</v>
      </c>
      <c r="V316">
        <v>6.25E-2</v>
      </c>
      <c r="W316">
        <v>6.4516127109527588E-2</v>
      </c>
      <c r="X316">
        <v>6.0483869165182114E-2</v>
      </c>
      <c r="Y316">
        <v>6.0483869165182114E-2</v>
      </c>
      <c r="Z316">
        <v>6.8548388779163361E-2</v>
      </c>
      <c r="AA316">
        <v>7.6612904667854309E-2</v>
      </c>
      <c r="AB316">
        <v>7.8629031777381897E-2</v>
      </c>
      <c r="AC316">
        <v>6.25E-2</v>
      </c>
      <c r="AD316">
        <v>9.0725809335708618E-2</v>
      </c>
      <c r="AE316">
        <v>8.0645158886909485E-2</v>
      </c>
      <c r="AF316">
        <v>6.8548388779163361E-2</v>
      </c>
      <c r="AG316">
        <v>7.6612904667854309E-2</v>
      </c>
      <c r="AH316">
        <v>7.2580642998218536E-2</v>
      </c>
      <c r="AI316">
        <v>8.8709674775600433E-2</v>
      </c>
      <c r="AJ316">
        <v>8.6693547666072845E-2</v>
      </c>
      <c r="AK316">
        <v>6.8548388779163361E-2</v>
      </c>
      <c r="AL316">
        <v>8.0645158886909485E-2</v>
      </c>
      <c r="AM316">
        <v>8.266129344701767E-2</v>
      </c>
      <c r="AN316">
        <v>6.0483869165182114E-2</v>
      </c>
      <c r="AO316">
        <v>7.2580642998218536E-2</v>
      </c>
      <c r="AP316">
        <v>0.13104838132858276</v>
      </c>
      <c r="AQ316">
        <v>7.8629031777381897E-2</v>
      </c>
      <c r="AR316">
        <v>9.0725809335708618E-2</v>
      </c>
      <c r="AS316">
        <v>5.8467742055654526E-2</v>
      </c>
      <c r="AT316">
        <v>6.6532261669635773E-2</v>
      </c>
      <c r="AU316">
        <v>6.0483869165182114E-2</v>
      </c>
      <c r="AV316">
        <v>0.125</v>
      </c>
      <c r="AW316">
        <v>5.0403226166963577E-2</v>
      </c>
      <c r="AX316">
        <v>5.6451611220836639E-2</v>
      </c>
      <c r="AY316">
        <v>8.266129344701767E-2</v>
      </c>
      <c r="AZ316">
        <v>7.4596777558326721E-2</v>
      </c>
      <c r="BA316">
        <v>5.6451611220836639E-2</v>
      </c>
      <c r="BB316">
        <v>9.0725809335708618E-2</v>
      </c>
      <c r="BC316">
        <v>6.4516127109527588E-2</v>
      </c>
      <c r="BD316">
        <v>5.2419353276491165E-2</v>
      </c>
      <c r="BE316">
        <v>5.6451611220836639E-2</v>
      </c>
      <c r="BF316">
        <v>0.10080645233392715</v>
      </c>
      <c r="BG316">
        <v>5.2419353276491165E-2</v>
      </c>
      <c r="BH316">
        <v>6.0483869165182114E-2</v>
      </c>
      <c r="BI316">
        <v>6.8548388779163361E-2</v>
      </c>
      <c r="BJ316">
        <v>4.8387095332145691E-2</v>
      </c>
      <c r="BK316">
        <v>5.8467742055654526E-2</v>
      </c>
      <c r="BL316">
        <v>5.6451611220836639E-2</v>
      </c>
      <c r="BM316">
        <v>0.13306452333927155</v>
      </c>
      <c r="BN316">
        <v>6.25E-2</v>
      </c>
      <c r="BO316">
        <v>8.266129344701767E-2</v>
      </c>
      <c r="BP316">
        <v>4.4354837387800217E-2</v>
      </c>
      <c r="BQ316">
        <v>8.6693547666072845E-2</v>
      </c>
      <c r="BR316">
        <v>0.10483870655298233</v>
      </c>
      <c r="BS316">
        <v>5.2419353276491165E-2</v>
      </c>
      <c r="BT316">
        <v>5.4435484111309052E-2</v>
      </c>
      <c r="BU316">
        <v>9.2741936445236206E-2</v>
      </c>
      <c r="BV316">
        <v>6.0483869165182114E-2</v>
      </c>
      <c r="BW316">
        <v>6.8548388779163361E-2</v>
      </c>
      <c r="BX316">
        <v>6.8548388779163361E-2</v>
      </c>
      <c r="BY316">
        <v>6.8548388779163361E-2</v>
      </c>
      <c r="BZ316">
        <v>6.8548388779163361E-2</v>
      </c>
      <c r="CA316">
        <v>8.266129344701767E-2</v>
      </c>
      <c r="CB316">
        <v>8.0645158886909485E-2</v>
      </c>
      <c r="CC316">
        <v>5.2419353276491165E-2</v>
      </c>
      <c r="CD316">
        <v>5.4435484111309052E-2</v>
      </c>
      <c r="CE316">
        <v>7.0564515888690948E-2</v>
      </c>
      <c r="CF316">
        <v>6.25E-2</v>
      </c>
      <c r="CG316">
        <v>8.266129344701767E-2</v>
      </c>
      <c r="CH316">
        <v>7.4596777558326721E-2</v>
      </c>
      <c r="CI316">
        <v>9.4758063554763794E-2</v>
      </c>
      <c r="CJ316">
        <v>5.8467742055654526E-2</v>
      </c>
      <c r="CK316">
        <v>7.6612904667854309E-2</v>
      </c>
      <c r="CL316">
        <v>4.8387095332145691E-2</v>
      </c>
      <c r="CM316">
        <v>8.266129344701767E-2</v>
      </c>
      <c r="CN316">
        <v>5.6451611220836639E-2</v>
      </c>
      <c r="CO316">
        <v>0.12298387289047241</v>
      </c>
      <c r="CP316">
        <v>5.4435484111309052E-2</v>
      </c>
      <c r="CQ316">
        <v>6.8548388779163361E-2</v>
      </c>
      <c r="CR316">
        <v>9.8790325224399567E-2</v>
      </c>
      <c r="CS316">
        <v>5.4435484111309052E-2</v>
      </c>
      <c r="CT316">
        <v>6.4516127109527588E-2</v>
      </c>
      <c r="CU316">
        <v>6.25E-2</v>
      </c>
      <c r="CV316">
        <v>0.10080645233392715</v>
      </c>
      <c r="CW316">
        <v>6.4516127109527588E-2</v>
      </c>
      <c r="CX316">
        <v>6.25E-2</v>
      </c>
      <c r="CY316">
        <v>6.25E-2</v>
      </c>
      <c r="CZ316">
        <v>8.266129344701767E-2</v>
      </c>
      <c r="DA316">
        <v>5.0403226166963577E-2</v>
      </c>
      <c r="DB316">
        <v>6.25E-2</v>
      </c>
      <c r="DC316">
        <v>8.4677420556545258E-2</v>
      </c>
      <c r="DD316">
        <v>7.6612904667854309E-2</v>
      </c>
      <c r="DE316">
        <v>6.8548388779163361E-2</v>
      </c>
      <c r="DF316">
        <v>0.10483870655298233</v>
      </c>
      <c r="DG316">
        <v>7.8629031777381897E-2</v>
      </c>
      <c r="DH316">
        <v>8.6693547666072845E-2</v>
      </c>
      <c r="DI316">
        <v>8.8709674775600433E-2</v>
      </c>
      <c r="DJ316">
        <v>8.4677420556545258E-2</v>
      </c>
      <c r="DK316">
        <v>4.2338710278272629E-2</v>
      </c>
      <c r="DL316">
        <v>4.4354837387800217E-2</v>
      </c>
      <c r="DM316">
        <v>7.4596777558326721E-2</v>
      </c>
      <c r="DN316">
        <v>6.8548388779163361E-2</v>
      </c>
      <c r="DO316">
        <v>8.0645158886909485E-2</v>
      </c>
      <c r="DP316">
        <v>7.8629031777381897E-2</v>
      </c>
      <c r="DQ316">
        <v>8.4677420556545258E-2</v>
      </c>
      <c r="DR316">
        <v>4.2338710278272629E-2</v>
      </c>
      <c r="DS316">
        <v>8.4677420556545258E-2</v>
      </c>
      <c r="DT316">
        <v>7.6612904667854309E-2</v>
      </c>
      <c r="DU316">
        <v>5.4435484111309052E-2</v>
      </c>
      <c r="DV316">
        <v>7.2580642998218536E-2</v>
      </c>
      <c r="DW316">
        <v>0.13104838132858276</v>
      </c>
      <c r="DX316">
        <v>6.8548388779163361E-2</v>
      </c>
      <c r="DY316">
        <v>6.25E-2</v>
      </c>
      <c r="DZ316">
        <v>9.2741936445236206E-2</v>
      </c>
      <c r="EA316">
        <v>7.2580642998218536E-2</v>
      </c>
      <c r="EB316">
        <v>7.0564515888690948E-2</v>
      </c>
      <c r="EC316">
        <v>0.12096773833036423</v>
      </c>
      <c r="ED316">
        <v>6.0483869165182114E-2</v>
      </c>
      <c r="EE316">
        <v>6.4516127109527588E-2</v>
      </c>
      <c r="EF316">
        <v>4.2338710278272629E-2</v>
      </c>
      <c r="EG316">
        <v>8.8709674775600433E-2</v>
      </c>
      <c r="EH316">
        <v>7.8629031777381897E-2</v>
      </c>
      <c r="EI316">
        <v>8.266129344701767E-2</v>
      </c>
      <c r="EJ316">
        <v>5.0403226166963577E-2</v>
      </c>
      <c r="EK316">
        <v>0.12701612710952759</v>
      </c>
      <c r="EL316">
        <v>6.6532261669635773E-2</v>
      </c>
      <c r="EM316">
        <v>7.2580642998218536E-2</v>
      </c>
      <c r="EN316">
        <v>6.4516127109527588E-2</v>
      </c>
      <c r="EO316">
        <v>0.12903225421905518</v>
      </c>
      <c r="EP316">
        <v>7.8629031777381897E-2</v>
      </c>
      <c r="EQ316">
        <v>0.125</v>
      </c>
      <c r="ER316">
        <v>7.0564515888690948E-2</v>
      </c>
      <c r="ES316">
        <v>6.6532261669635773E-2</v>
      </c>
      <c r="ET316">
        <v>6.25E-2</v>
      </c>
      <c r="EU316">
        <v>0.11088709533214569</v>
      </c>
      <c r="EV316">
        <v>5.4435484111309052E-2</v>
      </c>
      <c r="EW316">
        <v>5.6451611220836639E-2</v>
      </c>
      <c r="EX316">
        <v>6.25E-2</v>
      </c>
      <c r="EY316">
        <v>7.6612904667854309E-2</v>
      </c>
      <c r="EZ316">
        <v>5.2419353276491165E-2</v>
      </c>
      <c r="FA316">
        <v>9.0725809335708618E-2</v>
      </c>
      <c r="FB316">
        <v>8.8709674775600433E-2</v>
      </c>
      <c r="FC316">
        <v>8.0645158886909485E-2</v>
      </c>
      <c r="FD316">
        <v>7.2580642998218536E-2</v>
      </c>
      <c r="FE316">
        <v>0.11290322244167328</v>
      </c>
      <c r="FF316">
        <v>4.0322579443454742E-2</v>
      </c>
      <c r="FG316">
        <v>8.4677420556545258E-2</v>
      </c>
      <c r="FH316">
        <v>5.0403226166963577E-2</v>
      </c>
      <c r="FI316">
        <v>6.6532261669635773E-2</v>
      </c>
      <c r="FJ316">
        <v>7.2580642998218536E-2</v>
      </c>
      <c r="FK316">
        <v>8.0645158886909485E-2</v>
      </c>
      <c r="FL316">
        <v>6.8548388779163361E-2</v>
      </c>
      <c r="FM316">
        <v>7.2580642998218536E-2</v>
      </c>
      <c r="FN316">
        <v>7.4596777558326721E-2</v>
      </c>
      <c r="FO316">
        <v>9.4758063554763794E-2</v>
      </c>
      <c r="FP316">
        <v>8.4677420556545258E-2</v>
      </c>
      <c r="FQ316">
        <v>8.6693547666072845E-2</v>
      </c>
      <c r="FR316">
        <v>7.0564515888690948E-2</v>
      </c>
      <c r="FS316">
        <v>8.8709674775600433E-2</v>
      </c>
      <c r="FT316">
        <v>7.2580642998218536E-2</v>
      </c>
      <c r="FU316">
        <v>9.0725809335708618E-2</v>
      </c>
      <c r="FV316">
        <v>6.6532261669635773E-2</v>
      </c>
      <c r="FW316">
        <v>7.2580642998218536E-2</v>
      </c>
      <c r="FX316">
        <v>5.8467742055654526E-2</v>
      </c>
      <c r="FY316">
        <v>7.0564515888690948E-2</v>
      </c>
      <c r="FZ316">
        <v>6.6532261669635773E-2</v>
      </c>
      <c r="GA316">
        <v>5.4435484111309052E-2</v>
      </c>
      <c r="GB316">
        <v>5.0403226166963577E-2</v>
      </c>
      <c r="GC316">
        <v>7.8629031777381897E-2</v>
      </c>
      <c r="GD316">
        <v>7.0564515888690948E-2</v>
      </c>
      <c r="GE316">
        <v>6.25E-2</v>
      </c>
      <c r="GF316">
        <v>6.25E-2</v>
      </c>
      <c r="GG316">
        <v>7.2580642998218536E-2</v>
      </c>
      <c r="GH316">
        <v>6.6532261669635773E-2</v>
      </c>
      <c r="GI316">
        <v>6.8548388779163361E-2</v>
      </c>
      <c r="GJ316">
        <v>0.12701612710952759</v>
      </c>
      <c r="GK316">
        <v>6.25E-2</v>
      </c>
      <c r="GL316">
        <v>0.10080645233392715</v>
      </c>
      <c r="GM316">
        <v>0.10685484111309052</v>
      </c>
      <c r="GN316">
        <v>9.2741936445236206E-2</v>
      </c>
      <c r="GO316">
        <v>6.25E-2</v>
      </c>
      <c r="GP316">
        <v>0.11290322244167328</v>
      </c>
      <c r="GQ316">
        <v>9.0725809335708618E-2</v>
      </c>
      <c r="GR316">
        <v>6.0483869165182114E-2</v>
      </c>
      <c r="GS316">
        <v>8.6693547666072845E-2</v>
      </c>
      <c r="GT316">
        <v>6.0483869165182114E-2</v>
      </c>
      <c r="GU316">
        <v>6.4516127109527588E-2</v>
      </c>
      <c r="GV316">
        <v>5.6451611220836639E-2</v>
      </c>
      <c r="GW316">
        <v>7.0564515888690948E-2</v>
      </c>
      <c r="GX316">
        <v>9.2741936445236206E-2</v>
      </c>
      <c r="GY316">
        <v>8.6021505296230316E-2</v>
      </c>
      <c r="GZ316">
        <v>7.0967741310596466E-2</v>
      </c>
      <c r="HA316">
        <v>0.19569893181324005</v>
      </c>
      <c r="HB316">
        <v>9.8924733698368073E-2</v>
      </c>
      <c r="HC316">
        <v>7.311827689409256E-2</v>
      </c>
      <c r="HD316">
        <v>0.10322580486536026</v>
      </c>
      <c r="HE316">
        <v>6.4516127109527588E-2</v>
      </c>
      <c r="HF316">
        <v>8.3870969712734222E-2</v>
      </c>
      <c r="HG316">
        <v>0.10752688348293304</v>
      </c>
      <c r="HH316">
        <v>6.8817205727100372E-2</v>
      </c>
      <c r="HI316">
        <v>6.2365591526031494E-2</v>
      </c>
      <c r="HJ316">
        <v>7.311827689409256E-2</v>
      </c>
      <c r="HK316">
        <v>7.0967741310596466E-2</v>
      </c>
      <c r="HL316">
        <v>6.2365591526031494E-2</v>
      </c>
      <c r="HM316">
        <v>7.7419355511665344E-2</v>
      </c>
      <c r="HN316">
        <v>6.2365591526031494E-2</v>
      </c>
      <c r="HO316">
        <v>0.1505376398563385</v>
      </c>
      <c r="HP316">
        <v>8.817204087972641E-2</v>
      </c>
      <c r="HQ316">
        <v>0.10537634044885635</v>
      </c>
      <c r="HR316">
        <v>6.8817205727100372E-2</v>
      </c>
      <c r="HS316">
        <v>4.7311827540397644E-2</v>
      </c>
      <c r="HT316">
        <v>4.7311827540397644E-2</v>
      </c>
      <c r="HU316">
        <v>6.2365591526031494E-2</v>
      </c>
      <c r="HV316">
        <v>7.0967741310596466E-2</v>
      </c>
      <c r="HW316">
        <v>0.10752688348293304</v>
      </c>
      <c r="HX316">
        <v>6.4516127109527588E-2</v>
      </c>
      <c r="HY316">
        <v>9.0322583913803101E-2</v>
      </c>
      <c r="HZ316">
        <v>7.526881992816925E-2</v>
      </c>
      <c r="IA316">
        <v>8.3870969712734222E-2</v>
      </c>
      <c r="IB316">
        <v>5.5913977324962616E-2</v>
      </c>
      <c r="IC316">
        <v>6.6666670143604279E-2</v>
      </c>
      <c r="ID316">
        <v>8.817204087972641E-2</v>
      </c>
      <c r="IE316">
        <v>4.3010752648115158E-2</v>
      </c>
      <c r="IF316">
        <v>6.0215052217245102E-2</v>
      </c>
      <c r="IG316">
        <v>7.9569891095161438E-2</v>
      </c>
      <c r="IH316">
        <v>7.0967741310596466E-2</v>
      </c>
      <c r="II316">
        <v>6.4516127109527588E-2</v>
      </c>
      <c r="IJ316">
        <v>9.2473119497299194E-2</v>
      </c>
      <c r="IK316">
        <v>6.0215052217245102E-2</v>
      </c>
      <c r="IL316">
        <v>6.2365591526031494E-2</v>
      </c>
      <c r="IM316">
        <v>9.4623655080795288E-2</v>
      </c>
      <c r="IN316">
        <v>7.526881992816925E-2</v>
      </c>
      <c r="IO316">
        <v>7.7419355511665344E-2</v>
      </c>
      <c r="IP316">
        <v>0.13333334028720856</v>
      </c>
      <c r="IQ316">
        <v>8.6021505296230316E-2</v>
      </c>
      <c r="IR316">
        <v>0.10752688348293304</v>
      </c>
      <c r="IS316">
        <v>8.817204087972641E-2</v>
      </c>
      <c r="IT316">
        <v>9.4623655080795288E-2</v>
      </c>
      <c r="IU316">
        <v>0.12473118305206299</v>
      </c>
      <c r="IV316">
        <v>0.10322580486536026</v>
      </c>
      <c r="IW316">
        <v>8.6021505296230316E-2</v>
      </c>
      <c r="IX316">
        <v>9.6774190664291382E-2</v>
      </c>
      <c r="IY316">
        <v>7.7419355511665344E-2</v>
      </c>
      <c r="IZ316">
        <v>6.0215052217245102E-2</v>
      </c>
      <c r="JA316">
        <v>0.10537634044885635</v>
      </c>
      <c r="JB316">
        <v>8.6021505296230316E-2</v>
      </c>
      <c r="JC316">
        <v>6.4516127109527588E-2</v>
      </c>
      <c r="JD316">
        <v>6.8817205727100372E-2</v>
      </c>
      <c r="JE316">
        <v>0.11827956885099411</v>
      </c>
      <c r="JF316">
        <v>8.1720426678657532E-2</v>
      </c>
      <c r="JG316">
        <v>7.0967741310596466E-2</v>
      </c>
      <c r="JH316">
        <v>0.12258064746856689</v>
      </c>
      <c r="JI316">
        <v>7.0967741310596466E-2</v>
      </c>
      <c r="JJ316">
        <v>8.817204087972641E-2</v>
      </c>
      <c r="JK316">
        <v>7.7419355511665344E-2</v>
      </c>
      <c r="JL316">
        <v>7.311827689409256E-2</v>
      </c>
      <c r="JM316">
        <v>6.8817205727100372E-2</v>
      </c>
      <c r="JN316">
        <v>0.11182795464992523</v>
      </c>
      <c r="JO316">
        <v>9.8924733698368073E-2</v>
      </c>
      <c r="JP316">
        <v>6.2365591526031494E-2</v>
      </c>
      <c r="JQ316">
        <v>8.3870969712734222E-2</v>
      </c>
      <c r="JR316">
        <v>6.2365591526031494E-2</v>
      </c>
      <c r="JS316">
        <v>8.817204087972641E-2</v>
      </c>
      <c r="JT316">
        <v>8.3870969712734222E-2</v>
      </c>
      <c r="JU316">
        <v>5.5913977324962616E-2</v>
      </c>
      <c r="JV316">
        <v>7.311827689409256E-2</v>
      </c>
      <c r="JW316">
        <v>6.4516127109527588E-2</v>
      </c>
      <c r="JX316">
        <v>0.13118278980255127</v>
      </c>
      <c r="JY316">
        <v>5.161290243268013E-2</v>
      </c>
      <c r="JZ316">
        <v>5.161290243268013E-2</v>
      </c>
      <c r="KA316">
        <v>8.817204087972641E-2</v>
      </c>
      <c r="KB316">
        <v>7.0967741310596466E-2</v>
      </c>
      <c r="KC316">
        <v>4.516129195690155E-2</v>
      </c>
      <c r="KD316">
        <v>6.0215052217245102E-2</v>
      </c>
      <c r="KE316">
        <v>9.8924733698368073E-2</v>
      </c>
      <c r="KF316">
        <v>7.526881992816925E-2</v>
      </c>
      <c r="KG316">
        <v>7.9569891095161438E-2</v>
      </c>
      <c r="KH316">
        <v>7.7419355511665344E-2</v>
      </c>
      <c r="KI316">
        <v>8.1720426678657532E-2</v>
      </c>
      <c r="KJ316">
        <v>0.19569893181324005</v>
      </c>
      <c r="KK316">
        <v>5.161290243268013E-2</v>
      </c>
      <c r="KL316">
        <v>7.0967741310596466E-2</v>
      </c>
      <c r="KM316">
        <v>7.311827689409256E-2</v>
      </c>
      <c r="KN316">
        <v>9.0322583913803101E-2</v>
      </c>
      <c r="KO316">
        <v>7.311827689409256E-2</v>
      </c>
      <c r="KP316">
        <v>0.11182795464992523</v>
      </c>
      <c r="KQ316">
        <v>6.4516127109527588E-2</v>
      </c>
      <c r="KR316">
        <v>6.0215052217245102E-2</v>
      </c>
    </row>
    <row r="317" spans="4:308" x14ac:dyDescent="0.25">
      <c r="D317" s="41" t="str" cm="1">
        <f t="array" ref="D317">IF(H317="","",IF(AND(E317&lt;AVERAGE(E316,E318)*($L$19/100),$D$23:D316=""),H317,""))</f>
        <v/>
      </c>
      <c r="E317" s="78">
        <f t="shared" si="5"/>
        <v>3.0148805645562743E-3</v>
      </c>
      <c r="F317" s="79"/>
      <c r="H317">
        <v>295</v>
      </c>
      <c r="I317">
        <v>7.7064880564556279E-2</v>
      </c>
      <c r="K317">
        <v>0.11895161122083664</v>
      </c>
      <c r="L317">
        <v>6.4516127109527588E-2</v>
      </c>
      <c r="M317">
        <v>6.8548388779163361E-2</v>
      </c>
      <c r="N317">
        <v>7.0564515888690948E-2</v>
      </c>
      <c r="O317">
        <v>6.25E-2</v>
      </c>
      <c r="P317">
        <v>0.11895161122083664</v>
      </c>
      <c r="Q317">
        <v>9.0725809335708618E-2</v>
      </c>
      <c r="R317">
        <v>4.8387095332145691E-2</v>
      </c>
      <c r="S317">
        <v>8.0645158886909485E-2</v>
      </c>
      <c r="T317">
        <v>6.8548388779163361E-2</v>
      </c>
      <c r="U317">
        <v>7.6612904667854309E-2</v>
      </c>
      <c r="V317">
        <v>6.0483869165182114E-2</v>
      </c>
      <c r="W317">
        <v>4.8387095332145691E-2</v>
      </c>
      <c r="X317">
        <v>7.2580642998218536E-2</v>
      </c>
      <c r="Y317">
        <v>9.2741936445236206E-2</v>
      </c>
      <c r="Z317">
        <v>9.8790325224399567E-2</v>
      </c>
      <c r="AA317">
        <v>7.8629031777381897E-2</v>
      </c>
      <c r="AB317">
        <v>6.6532261669635773E-2</v>
      </c>
      <c r="AC317">
        <v>7.2580642998218536E-2</v>
      </c>
      <c r="AD317">
        <v>8.6693547666072845E-2</v>
      </c>
      <c r="AE317">
        <v>0.10282257944345474</v>
      </c>
      <c r="AF317">
        <v>7.0564515888690948E-2</v>
      </c>
      <c r="AG317">
        <v>5.8467742055654526E-2</v>
      </c>
      <c r="AH317">
        <v>7.8629031777381897E-2</v>
      </c>
      <c r="AI317">
        <v>5.0403226166963577E-2</v>
      </c>
      <c r="AJ317">
        <v>7.4596777558326721E-2</v>
      </c>
      <c r="AK317">
        <v>8.4677420556545258E-2</v>
      </c>
      <c r="AL317">
        <v>6.6532261669635773E-2</v>
      </c>
      <c r="AM317">
        <v>6.4516127109527588E-2</v>
      </c>
      <c r="AN317">
        <v>0.11290322244167328</v>
      </c>
      <c r="AO317">
        <v>6.4516127109527588E-2</v>
      </c>
      <c r="AP317">
        <v>8.8709674775600433E-2</v>
      </c>
      <c r="AQ317">
        <v>8.0645158886909485E-2</v>
      </c>
      <c r="AR317">
        <v>6.6532261669635773E-2</v>
      </c>
      <c r="AS317">
        <v>6.4516127109527588E-2</v>
      </c>
      <c r="AT317">
        <v>7.0564515888690948E-2</v>
      </c>
      <c r="AU317">
        <v>4.8387095332145691E-2</v>
      </c>
      <c r="AV317">
        <v>8.266129344701767E-2</v>
      </c>
      <c r="AW317">
        <v>8.0645158886909485E-2</v>
      </c>
      <c r="AX317">
        <v>7.6612904667854309E-2</v>
      </c>
      <c r="AY317">
        <v>8.4677420556545258E-2</v>
      </c>
      <c r="AZ317">
        <v>8.4677420556545258E-2</v>
      </c>
      <c r="BA317">
        <v>6.8548388779163361E-2</v>
      </c>
      <c r="BB317">
        <v>8.8709674775600433E-2</v>
      </c>
      <c r="BC317">
        <v>5.8467742055654526E-2</v>
      </c>
      <c r="BD317">
        <v>9.6774190664291382E-2</v>
      </c>
      <c r="BE317">
        <v>4.8387095332145691E-2</v>
      </c>
      <c r="BF317">
        <v>8.266129344701767E-2</v>
      </c>
      <c r="BG317">
        <v>6.6532261669635773E-2</v>
      </c>
      <c r="BH317">
        <v>7.0564515888690948E-2</v>
      </c>
      <c r="BI317">
        <v>7.6612904667854309E-2</v>
      </c>
      <c r="BJ317">
        <v>7.2580642998218536E-2</v>
      </c>
      <c r="BK317">
        <v>7.2580642998218536E-2</v>
      </c>
      <c r="BL317">
        <v>6.25E-2</v>
      </c>
      <c r="BM317">
        <v>6.0483869165182114E-2</v>
      </c>
      <c r="BN317">
        <v>9.4758063554763794E-2</v>
      </c>
      <c r="BO317">
        <v>5.6451611220836639E-2</v>
      </c>
      <c r="BP317">
        <v>8.6693547666072845E-2</v>
      </c>
      <c r="BQ317">
        <v>6.8548388779163361E-2</v>
      </c>
      <c r="BR317">
        <v>8.6693547666072845E-2</v>
      </c>
      <c r="BS317">
        <v>6.6532261669635773E-2</v>
      </c>
      <c r="BT317">
        <v>6.6532261669635773E-2</v>
      </c>
      <c r="BU317">
        <v>4.6370968222618103E-2</v>
      </c>
      <c r="BV317">
        <v>9.0725809335708618E-2</v>
      </c>
      <c r="BW317">
        <v>9.2741936445236206E-2</v>
      </c>
      <c r="BX317">
        <v>7.6612904667854309E-2</v>
      </c>
      <c r="BY317">
        <v>4.6370968222618103E-2</v>
      </c>
      <c r="BZ317">
        <v>9.0725809335708618E-2</v>
      </c>
      <c r="CA317">
        <v>4.8387095332145691E-2</v>
      </c>
      <c r="CB317">
        <v>7.2580642998218536E-2</v>
      </c>
      <c r="CC317">
        <v>9.4758063554763794E-2</v>
      </c>
      <c r="CD317">
        <v>8.4677420556545258E-2</v>
      </c>
      <c r="CE317">
        <v>7.0564515888690948E-2</v>
      </c>
      <c r="CF317">
        <v>0.11491935700178146</v>
      </c>
      <c r="CG317">
        <v>5.6451611220836639E-2</v>
      </c>
      <c r="CH317">
        <v>6.25E-2</v>
      </c>
      <c r="CI317">
        <v>4.8387095332145691E-2</v>
      </c>
      <c r="CJ317">
        <v>6.0483869165182114E-2</v>
      </c>
      <c r="CK317">
        <v>6.8548388779163361E-2</v>
      </c>
      <c r="CL317">
        <v>6.4516127109527588E-2</v>
      </c>
      <c r="CM317">
        <v>8.4677420556545258E-2</v>
      </c>
      <c r="CN317">
        <v>7.2580642998218536E-2</v>
      </c>
      <c r="CO317">
        <v>5.8467742055654526E-2</v>
      </c>
      <c r="CP317">
        <v>8.6693547666072845E-2</v>
      </c>
      <c r="CQ317">
        <v>0.13709677755832672</v>
      </c>
      <c r="CR317">
        <v>5.8467742055654526E-2</v>
      </c>
      <c r="CS317">
        <v>5.8467742055654526E-2</v>
      </c>
      <c r="CT317">
        <v>6.6532261669635773E-2</v>
      </c>
      <c r="CU317">
        <v>8.6693547666072845E-2</v>
      </c>
      <c r="CV317">
        <v>5.8467742055654526E-2</v>
      </c>
      <c r="CW317">
        <v>5.2419353276491165E-2</v>
      </c>
      <c r="CX317">
        <v>0.11693548411130905</v>
      </c>
      <c r="CY317">
        <v>8.4677420556545258E-2</v>
      </c>
      <c r="CZ317">
        <v>6.6532261669635773E-2</v>
      </c>
      <c r="DA317">
        <v>7.6612904667854309E-2</v>
      </c>
      <c r="DB317">
        <v>8.6693547666072845E-2</v>
      </c>
      <c r="DC317">
        <v>8.266129344701767E-2</v>
      </c>
      <c r="DD317">
        <v>6.4516127109527588E-2</v>
      </c>
      <c r="DE317">
        <v>0.11491935700178146</v>
      </c>
      <c r="DF317">
        <v>7.8629031777381897E-2</v>
      </c>
      <c r="DG317">
        <v>9.4758063554763794E-2</v>
      </c>
      <c r="DH317">
        <v>6.4516127109527588E-2</v>
      </c>
      <c r="DI317">
        <v>4.4354837387800217E-2</v>
      </c>
      <c r="DJ317">
        <v>6.8548388779163361E-2</v>
      </c>
      <c r="DK317">
        <v>9.4758063554763794E-2</v>
      </c>
      <c r="DL317">
        <v>4.6370968222618103E-2</v>
      </c>
      <c r="DM317">
        <v>0.11491935700178146</v>
      </c>
      <c r="DN317">
        <v>6.25E-2</v>
      </c>
      <c r="DO317">
        <v>0.13104838132858276</v>
      </c>
      <c r="DP317">
        <v>0.10080645233392715</v>
      </c>
      <c r="DQ317">
        <v>0.11290322244167328</v>
      </c>
      <c r="DR317">
        <v>7.4596777558326721E-2</v>
      </c>
      <c r="DS317">
        <v>0.10282257944345474</v>
      </c>
      <c r="DT317">
        <v>5.8467742055654526E-2</v>
      </c>
      <c r="DU317">
        <v>5.2419353276491165E-2</v>
      </c>
      <c r="DV317">
        <v>9.8790325224399567E-2</v>
      </c>
      <c r="DW317">
        <v>4.8387095332145691E-2</v>
      </c>
      <c r="DX317">
        <v>6.8548388779163361E-2</v>
      </c>
      <c r="DY317">
        <v>8.8709674775600433E-2</v>
      </c>
      <c r="DZ317">
        <v>7.2580642998218536E-2</v>
      </c>
      <c r="EA317">
        <v>6.8548388779163361E-2</v>
      </c>
      <c r="EB317">
        <v>7.6612904667854309E-2</v>
      </c>
      <c r="EC317">
        <v>6.6532261669635773E-2</v>
      </c>
      <c r="ED317">
        <v>8.4677420556545258E-2</v>
      </c>
      <c r="EE317">
        <v>6.0483869165182114E-2</v>
      </c>
      <c r="EF317">
        <v>6.4516127109527588E-2</v>
      </c>
      <c r="EG317">
        <v>9.0725809335708618E-2</v>
      </c>
      <c r="EH317">
        <v>7.2580642998218536E-2</v>
      </c>
      <c r="EI317">
        <v>0.10080645233392715</v>
      </c>
      <c r="EJ317">
        <v>7.2580642998218536E-2</v>
      </c>
      <c r="EK317">
        <v>7.0564515888690948E-2</v>
      </c>
      <c r="EL317">
        <v>8.0645158886909485E-2</v>
      </c>
      <c r="EM317">
        <v>4.4354837387800217E-2</v>
      </c>
      <c r="EN317">
        <v>6.6532261669635773E-2</v>
      </c>
      <c r="EO317">
        <v>6.8548388779163361E-2</v>
      </c>
      <c r="EP317">
        <v>6.25E-2</v>
      </c>
      <c r="EQ317">
        <v>5.8467742055654526E-2</v>
      </c>
      <c r="ER317">
        <v>8.0645158886909485E-2</v>
      </c>
      <c r="ES317">
        <v>6.0483869165182114E-2</v>
      </c>
      <c r="ET317">
        <v>0.10080645233392715</v>
      </c>
      <c r="EU317">
        <v>8.8709674775600433E-2</v>
      </c>
      <c r="EV317">
        <v>5.4435484111309052E-2</v>
      </c>
      <c r="EW317">
        <v>0.11290322244167328</v>
      </c>
      <c r="EX317">
        <v>8.0645158886909485E-2</v>
      </c>
      <c r="EY317">
        <v>8.0645158886909485E-2</v>
      </c>
      <c r="EZ317">
        <v>7.2580642998218536E-2</v>
      </c>
      <c r="FA317">
        <v>6.8548388779163361E-2</v>
      </c>
      <c r="FB317">
        <v>6.6532261669635773E-2</v>
      </c>
      <c r="FC317">
        <v>9.6774190664291382E-2</v>
      </c>
      <c r="FD317">
        <v>6.6532261669635773E-2</v>
      </c>
      <c r="FE317">
        <v>6.4516127109527588E-2</v>
      </c>
      <c r="FF317">
        <v>6.4516127109527588E-2</v>
      </c>
      <c r="FG317">
        <v>8.8709674775600433E-2</v>
      </c>
      <c r="FH317">
        <v>6.6532261669635773E-2</v>
      </c>
      <c r="FI317">
        <v>7.8629031777381897E-2</v>
      </c>
      <c r="FJ317">
        <v>0.12903225421905518</v>
      </c>
      <c r="FK317">
        <v>7.2580642998218536E-2</v>
      </c>
      <c r="FL317">
        <v>9.4758063554763794E-2</v>
      </c>
      <c r="FM317">
        <v>7.2580642998218536E-2</v>
      </c>
      <c r="FN317">
        <v>6.0483869165182114E-2</v>
      </c>
      <c r="FO317">
        <v>8.266129344701767E-2</v>
      </c>
      <c r="FP317">
        <v>6.4516127109527588E-2</v>
      </c>
      <c r="FQ317">
        <v>7.6612904667854309E-2</v>
      </c>
      <c r="FR317">
        <v>6.25E-2</v>
      </c>
      <c r="FS317">
        <v>7.8629031777381897E-2</v>
      </c>
      <c r="FT317">
        <v>9.0322583913803101E-2</v>
      </c>
      <c r="FU317">
        <v>9.4623655080795288E-2</v>
      </c>
      <c r="FV317">
        <v>8.6021505296230316E-2</v>
      </c>
      <c r="FW317">
        <v>6.6666670143604279E-2</v>
      </c>
      <c r="FX317">
        <v>5.5913977324962616E-2</v>
      </c>
      <c r="FY317">
        <v>9.0322583913803101E-2</v>
      </c>
      <c r="FZ317">
        <v>9.4623655080795288E-2</v>
      </c>
      <c r="GA317">
        <v>6.6666670143604279E-2</v>
      </c>
      <c r="GB317">
        <v>0.14408601820468903</v>
      </c>
      <c r="GC317">
        <v>5.3763441741466522E-2</v>
      </c>
      <c r="GD317">
        <v>4.516129195690155E-2</v>
      </c>
      <c r="GE317">
        <v>7.7419355511665344E-2</v>
      </c>
      <c r="GF317">
        <v>0.12688171863555908</v>
      </c>
      <c r="GG317">
        <v>6.6666670143604279E-2</v>
      </c>
      <c r="GH317">
        <v>5.161290243268013E-2</v>
      </c>
      <c r="GI317">
        <v>6.0215052217245102E-2</v>
      </c>
      <c r="GJ317">
        <v>7.0967741310596466E-2</v>
      </c>
      <c r="GK317">
        <v>7.7419355511665344E-2</v>
      </c>
      <c r="GL317">
        <v>5.8064516633749008E-2</v>
      </c>
      <c r="GM317">
        <v>5.8064516633749008E-2</v>
      </c>
      <c r="GN317">
        <v>4.7311827540397644E-2</v>
      </c>
      <c r="GO317">
        <v>9.2473119497299194E-2</v>
      </c>
      <c r="GP317">
        <v>6.0215052217245102E-2</v>
      </c>
      <c r="GQ317">
        <v>7.526881992816925E-2</v>
      </c>
      <c r="GR317">
        <v>9.4623655080795288E-2</v>
      </c>
      <c r="GS317">
        <v>7.526881992816925E-2</v>
      </c>
      <c r="GT317">
        <v>8.1720426678657532E-2</v>
      </c>
      <c r="GU317">
        <v>5.161290243268013E-2</v>
      </c>
      <c r="GV317">
        <v>7.9569891095161438E-2</v>
      </c>
      <c r="GW317">
        <v>7.7419355511665344E-2</v>
      </c>
      <c r="GX317">
        <v>5.8064516633749008E-2</v>
      </c>
      <c r="GY317">
        <v>9.2473119497299194E-2</v>
      </c>
      <c r="GZ317">
        <v>8.817204087972641E-2</v>
      </c>
      <c r="HA317">
        <v>7.7419355511665344E-2</v>
      </c>
      <c r="HB317">
        <v>6.4516127109527588E-2</v>
      </c>
      <c r="HC317">
        <v>5.5913977324962616E-2</v>
      </c>
      <c r="HD317">
        <v>0.1204301044344902</v>
      </c>
      <c r="HE317">
        <v>6.4516127109527588E-2</v>
      </c>
      <c r="HF317">
        <v>7.9569891095161438E-2</v>
      </c>
      <c r="HG317">
        <v>6.0215052217245102E-2</v>
      </c>
      <c r="HH317">
        <v>6.0215052217245102E-2</v>
      </c>
      <c r="HI317">
        <v>5.8064516633749008E-2</v>
      </c>
      <c r="HJ317">
        <v>0.10967741906642914</v>
      </c>
      <c r="HK317">
        <v>6.4516127109527588E-2</v>
      </c>
      <c r="HL317">
        <v>0.1204301044344902</v>
      </c>
      <c r="HM317">
        <v>8.817204087972641E-2</v>
      </c>
      <c r="HN317">
        <v>7.7419355511665344E-2</v>
      </c>
      <c r="HO317">
        <v>5.161290243268013E-2</v>
      </c>
      <c r="HP317">
        <v>0.12473118305206299</v>
      </c>
      <c r="HQ317">
        <v>5.5913977324962616E-2</v>
      </c>
      <c r="HR317">
        <v>7.526881992816925E-2</v>
      </c>
      <c r="HS317">
        <v>6.6666670143604279E-2</v>
      </c>
      <c r="HT317">
        <v>6.4516127109527588E-2</v>
      </c>
      <c r="HU317">
        <v>8.3870969712734222E-2</v>
      </c>
      <c r="HV317">
        <v>0.11397849768400192</v>
      </c>
      <c r="HW317">
        <v>9.8924733698368073E-2</v>
      </c>
      <c r="HX317">
        <v>8.6021505296230316E-2</v>
      </c>
      <c r="HY317">
        <v>6.4516127109527588E-2</v>
      </c>
      <c r="HZ317">
        <v>6.4516127109527588E-2</v>
      </c>
      <c r="IA317">
        <v>7.526881992816925E-2</v>
      </c>
      <c r="IB317">
        <v>8.817204087972641E-2</v>
      </c>
      <c r="IC317">
        <v>7.9569891095161438E-2</v>
      </c>
      <c r="ID317">
        <v>7.0967741310596466E-2</v>
      </c>
      <c r="IE317">
        <v>6.6666670143604279E-2</v>
      </c>
      <c r="IF317">
        <v>0.10537634044885635</v>
      </c>
      <c r="IG317">
        <v>0.12258064746856689</v>
      </c>
      <c r="IH317">
        <v>6.4516127109527588E-2</v>
      </c>
      <c r="II317">
        <v>9.4623655080795288E-2</v>
      </c>
      <c r="IJ317">
        <v>7.7419355511665344E-2</v>
      </c>
      <c r="IK317">
        <v>6.6666670143604279E-2</v>
      </c>
      <c r="IL317">
        <v>7.9569891095161438E-2</v>
      </c>
      <c r="IM317">
        <v>0.13548387587070465</v>
      </c>
      <c r="IN317">
        <v>4.7311827540397644E-2</v>
      </c>
      <c r="IO317">
        <v>9.0322583913803101E-2</v>
      </c>
      <c r="IP317">
        <v>7.526881992816925E-2</v>
      </c>
      <c r="IQ317">
        <v>7.526881992816925E-2</v>
      </c>
      <c r="IR317">
        <v>0.10537634044885635</v>
      </c>
      <c r="IS317">
        <v>5.161290243268013E-2</v>
      </c>
      <c r="IT317">
        <v>5.3763441741466522E-2</v>
      </c>
      <c r="IU317">
        <v>7.0967741310596466E-2</v>
      </c>
      <c r="IV317">
        <v>8.817204087972641E-2</v>
      </c>
      <c r="IW317">
        <v>7.9569891095161438E-2</v>
      </c>
      <c r="IX317">
        <v>7.7419355511665344E-2</v>
      </c>
      <c r="IY317">
        <v>9.8924733698368073E-2</v>
      </c>
      <c r="IZ317">
        <v>6.4516127109527588E-2</v>
      </c>
      <c r="JA317">
        <v>7.526881992816925E-2</v>
      </c>
      <c r="JB317">
        <v>8.817204087972641E-2</v>
      </c>
      <c r="JC317">
        <v>7.526881992816925E-2</v>
      </c>
      <c r="JD317">
        <v>0.10752688348293304</v>
      </c>
      <c r="JE317">
        <v>8.3870969712734222E-2</v>
      </c>
      <c r="JF317">
        <v>6.4516127109527588E-2</v>
      </c>
      <c r="JG317">
        <v>9.6774190664291382E-2</v>
      </c>
      <c r="JH317">
        <v>6.6666670143604279E-2</v>
      </c>
      <c r="JI317">
        <v>7.311827689409256E-2</v>
      </c>
      <c r="JJ317">
        <v>0.10967741906642914</v>
      </c>
      <c r="JK317">
        <v>6.4516127109527588E-2</v>
      </c>
      <c r="JL317">
        <v>4.9462366849184036E-2</v>
      </c>
      <c r="JM317">
        <v>7.9569891095161438E-2</v>
      </c>
      <c r="JN317">
        <v>7.526881992816925E-2</v>
      </c>
      <c r="JO317">
        <v>6.8817205727100372E-2</v>
      </c>
      <c r="JP317">
        <v>7.311827689409256E-2</v>
      </c>
      <c r="JQ317">
        <v>9.6774190664291382E-2</v>
      </c>
      <c r="JR317">
        <v>7.526881992816925E-2</v>
      </c>
      <c r="JS317">
        <v>6.0215052217245102E-2</v>
      </c>
      <c r="JT317">
        <v>7.0967741310596466E-2</v>
      </c>
      <c r="JU317">
        <v>7.9569891095161438E-2</v>
      </c>
      <c r="JV317">
        <v>7.0967741310596466E-2</v>
      </c>
      <c r="JW317">
        <v>6.2365591526031494E-2</v>
      </c>
      <c r="JX317">
        <v>6.2365591526031494E-2</v>
      </c>
      <c r="JY317">
        <v>8.817204087972641E-2</v>
      </c>
      <c r="JZ317">
        <v>7.311827689409256E-2</v>
      </c>
      <c r="KA317">
        <v>0.11827956885099411</v>
      </c>
      <c r="KB317">
        <v>0.10967741906642914</v>
      </c>
      <c r="KC317">
        <v>6.2365591526031494E-2</v>
      </c>
      <c r="KD317">
        <v>5.5913977324962616E-2</v>
      </c>
      <c r="KE317">
        <v>0.10967741906642914</v>
      </c>
      <c r="KF317">
        <v>4.7311827540397644E-2</v>
      </c>
      <c r="KG317">
        <v>8.3870969712734222E-2</v>
      </c>
      <c r="KH317">
        <v>9.4623655080795288E-2</v>
      </c>
      <c r="KI317">
        <v>6.0215052217245102E-2</v>
      </c>
      <c r="KJ317">
        <v>6.8817205727100372E-2</v>
      </c>
      <c r="KK317">
        <v>0.10967741906642914</v>
      </c>
      <c r="KL317">
        <v>6.0215052217245102E-2</v>
      </c>
      <c r="KM317">
        <v>9.2473119497299194E-2</v>
      </c>
      <c r="KN317">
        <v>6.6666670143604279E-2</v>
      </c>
      <c r="KO317">
        <v>6.4516127109527588E-2</v>
      </c>
      <c r="KP317">
        <v>8.6021505296230316E-2</v>
      </c>
      <c r="KQ317">
        <v>7.0967741310596466E-2</v>
      </c>
      <c r="KR317">
        <v>9.2473119497299194E-2</v>
      </c>
      <c r="KS317">
        <v>8.6021505296230316E-2</v>
      </c>
    </row>
    <row r="318" spans="4:308" x14ac:dyDescent="0.25">
      <c r="D318" s="41" t="str" cm="1">
        <f t="array" ref="D318">IF(H318="","",IF(AND(E318&lt;AVERAGE(E317,E319)*($L$19/100),$D$23:D317=""),H318,""))</f>
        <v/>
      </c>
      <c r="E318" s="78">
        <f t="shared" si="5"/>
        <v>3.1268745034933043E-3</v>
      </c>
      <c r="F318" s="79"/>
      <c r="H318">
        <v>296</v>
      </c>
      <c r="I318">
        <v>7.7176874503493309E-2</v>
      </c>
      <c r="K318">
        <v>6.8548388779163361E-2</v>
      </c>
      <c r="L318">
        <v>6.25E-2</v>
      </c>
      <c r="M318">
        <v>7.4596777558326721E-2</v>
      </c>
      <c r="N318">
        <v>6.4516127109527588E-2</v>
      </c>
      <c r="O318">
        <v>7.4596777558326721E-2</v>
      </c>
      <c r="P318">
        <v>0.10080645233392715</v>
      </c>
      <c r="Q318">
        <v>0.1088709682226181</v>
      </c>
      <c r="R318">
        <v>6.8548388779163361E-2</v>
      </c>
      <c r="S318">
        <v>6.4516127109527588E-2</v>
      </c>
      <c r="T318">
        <v>5.2419353276491165E-2</v>
      </c>
      <c r="U318">
        <v>7.0564515888690948E-2</v>
      </c>
      <c r="V318">
        <v>5.8467742055654526E-2</v>
      </c>
      <c r="W318">
        <v>9.2741936445236206E-2</v>
      </c>
      <c r="X318">
        <v>5.8467742055654526E-2</v>
      </c>
      <c r="Y318">
        <v>7.0564515888690948E-2</v>
      </c>
      <c r="Z318">
        <v>5.2419353276491165E-2</v>
      </c>
      <c r="AA318">
        <v>0.11895161122083664</v>
      </c>
      <c r="AB318">
        <v>6.0483869165182114E-2</v>
      </c>
      <c r="AC318">
        <v>8.266129344701767E-2</v>
      </c>
      <c r="AD318">
        <v>4.8387095332145691E-2</v>
      </c>
      <c r="AE318">
        <v>8.266129344701767E-2</v>
      </c>
      <c r="AF318">
        <v>0.10282257944345474</v>
      </c>
      <c r="AG318">
        <v>4.6370968222618103E-2</v>
      </c>
      <c r="AH318">
        <v>9.4758063554763794E-2</v>
      </c>
      <c r="AI318">
        <v>7.4596777558326721E-2</v>
      </c>
      <c r="AJ318">
        <v>5.8467742055654526E-2</v>
      </c>
      <c r="AK318">
        <v>8.0645158886909485E-2</v>
      </c>
      <c r="AL318">
        <v>8.0645158886909485E-2</v>
      </c>
      <c r="AM318">
        <v>9.0725809335708618E-2</v>
      </c>
      <c r="AN318">
        <v>8.0645158886909485E-2</v>
      </c>
      <c r="AO318">
        <v>5.4435484111309052E-2</v>
      </c>
      <c r="AP318">
        <v>7.0564515888690948E-2</v>
      </c>
      <c r="AQ318">
        <v>7.0564515888690948E-2</v>
      </c>
      <c r="AR318">
        <v>6.0483869165182114E-2</v>
      </c>
      <c r="AS318">
        <v>7.4596777558326721E-2</v>
      </c>
      <c r="AT318">
        <v>5.4435484111309052E-2</v>
      </c>
      <c r="AU318">
        <v>6.4516127109527588E-2</v>
      </c>
      <c r="AV318">
        <v>7.8629031777381897E-2</v>
      </c>
      <c r="AW318">
        <v>7.4596777558326721E-2</v>
      </c>
      <c r="AX318">
        <v>6.4516127109527588E-2</v>
      </c>
      <c r="AY318">
        <v>7.0564515888690948E-2</v>
      </c>
      <c r="AZ318">
        <v>0.11290322244167328</v>
      </c>
      <c r="BA318">
        <v>7.2580642998218536E-2</v>
      </c>
      <c r="BB318">
        <v>6.4516127109527588E-2</v>
      </c>
      <c r="BC318">
        <v>9.2741936445236206E-2</v>
      </c>
      <c r="BD318">
        <v>7.0564515888690948E-2</v>
      </c>
      <c r="BE318">
        <v>6.0483869165182114E-2</v>
      </c>
      <c r="BF318">
        <v>8.0645158886909485E-2</v>
      </c>
      <c r="BG318">
        <v>0.10483870655298233</v>
      </c>
      <c r="BH318">
        <v>6.0483869165182114E-2</v>
      </c>
      <c r="BI318">
        <v>0.10483870655298233</v>
      </c>
      <c r="BJ318">
        <v>6.8548388779163361E-2</v>
      </c>
      <c r="BK318">
        <v>9.6774190664291382E-2</v>
      </c>
      <c r="BL318">
        <v>6.25E-2</v>
      </c>
      <c r="BM318">
        <v>0.10080645233392715</v>
      </c>
      <c r="BN318">
        <v>6.0483869165182114E-2</v>
      </c>
      <c r="BO318">
        <v>7.4596777558326721E-2</v>
      </c>
      <c r="BP318">
        <v>6.6532261669635773E-2</v>
      </c>
      <c r="BQ318">
        <v>6.8548388779163361E-2</v>
      </c>
      <c r="BR318">
        <v>6.4516127109527588E-2</v>
      </c>
      <c r="BS318">
        <v>5.6451611220836639E-2</v>
      </c>
      <c r="BT318">
        <v>7.0564515888690948E-2</v>
      </c>
      <c r="BU318">
        <v>4.8387095332145691E-2</v>
      </c>
      <c r="BV318">
        <v>0.13306452333927155</v>
      </c>
      <c r="BW318">
        <v>5.2419353276491165E-2</v>
      </c>
      <c r="BX318">
        <v>8.266129344701767E-2</v>
      </c>
      <c r="BY318">
        <v>7.2580642998218536E-2</v>
      </c>
      <c r="BZ318">
        <v>6.0483869165182114E-2</v>
      </c>
      <c r="CA318">
        <v>7.0564515888690948E-2</v>
      </c>
      <c r="CB318">
        <v>4.8387095332145691E-2</v>
      </c>
      <c r="CC318">
        <v>8.6693547666072845E-2</v>
      </c>
      <c r="CD318">
        <v>6.8548388779163361E-2</v>
      </c>
      <c r="CE318">
        <v>5.0403226166963577E-2</v>
      </c>
      <c r="CF318">
        <v>9.0725809335708618E-2</v>
      </c>
      <c r="CG318">
        <v>0.11290322244167328</v>
      </c>
      <c r="CH318">
        <v>5.4435484111309052E-2</v>
      </c>
      <c r="CI318">
        <v>5.6451611220836639E-2</v>
      </c>
      <c r="CJ318">
        <v>0.10080645233392715</v>
      </c>
      <c r="CK318">
        <v>6.6532261669635773E-2</v>
      </c>
      <c r="CL318">
        <v>7.0564515888690948E-2</v>
      </c>
      <c r="CM318">
        <v>8.0645158886909485E-2</v>
      </c>
      <c r="CN318">
        <v>6.8548388779163361E-2</v>
      </c>
      <c r="CO318">
        <v>6.0483869165182114E-2</v>
      </c>
      <c r="CP318">
        <v>5.6451611220836639E-2</v>
      </c>
      <c r="CQ318">
        <v>7.0564515888690948E-2</v>
      </c>
      <c r="CR318">
        <v>6.8548388779163361E-2</v>
      </c>
      <c r="CS318">
        <v>8.4677420556545258E-2</v>
      </c>
      <c r="CT318">
        <v>9.6774190664291382E-2</v>
      </c>
      <c r="CU318">
        <v>6.4516127109527588E-2</v>
      </c>
      <c r="CV318">
        <v>0.10685484111309052</v>
      </c>
      <c r="CW318">
        <v>8.0645158886909485E-2</v>
      </c>
      <c r="CX318">
        <v>7.4596777558326721E-2</v>
      </c>
      <c r="CY318">
        <v>9.0725809335708618E-2</v>
      </c>
      <c r="CZ318">
        <v>4.2338710278272629E-2</v>
      </c>
      <c r="DA318">
        <v>7.8629031777381897E-2</v>
      </c>
      <c r="DB318">
        <v>6.0483869165182114E-2</v>
      </c>
      <c r="DC318">
        <v>0.10080645233392715</v>
      </c>
      <c r="DD318">
        <v>8.0645158886909485E-2</v>
      </c>
      <c r="DE318">
        <v>9.8790325224399567E-2</v>
      </c>
      <c r="DF318">
        <v>6.25E-2</v>
      </c>
      <c r="DG318">
        <v>7.6612904667854309E-2</v>
      </c>
      <c r="DH318">
        <v>8.4677420556545258E-2</v>
      </c>
      <c r="DI318">
        <v>5.6451611220836639E-2</v>
      </c>
      <c r="DJ318">
        <v>6.4516127109527588E-2</v>
      </c>
      <c r="DK318">
        <v>8.6693547666072845E-2</v>
      </c>
      <c r="DL318">
        <v>6.6532261669635773E-2</v>
      </c>
      <c r="DM318">
        <v>9.4758063554763794E-2</v>
      </c>
      <c r="DN318">
        <v>6.4516127109527588E-2</v>
      </c>
      <c r="DO318">
        <v>5.6451611220836639E-2</v>
      </c>
      <c r="DP318">
        <v>6.0483869165182114E-2</v>
      </c>
      <c r="DQ318">
        <v>8.8709674775600433E-2</v>
      </c>
      <c r="DR318">
        <v>7.6612904667854309E-2</v>
      </c>
      <c r="DS318">
        <v>7.0564515888690948E-2</v>
      </c>
      <c r="DT318">
        <v>5.0403226166963577E-2</v>
      </c>
      <c r="DU318">
        <v>7.2580642998218536E-2</v>
      </c>
      <c r="DV318">
        <v>6.6532261669635773E-2</v>
      </c>
      <c r="DW318">
        <v>7.2580642998218536E-2</v>
      </c>
      <c r="DX318">
        <v>6.6532261669635773E-2</v>
      </c>
      <c r="DY318">
        <v>7.6612904667854309E-2</v>
      </c>
      <c r="DZ318">
        <v>5.4435484111309052E-2</v>
      </c>
      <c r="EA318">
        <v>8.266129344701767E-2</v>
      </c>
      <c r="EB318">
        <v>8.6693547666072845E-2</v>
      </c>
      <c r="EC318">
        <v>7.4596777558326721E-2</v>
      </c>
      <c r="ED318">
        <v>8.266129344701767E-2</v>
      </c>
      <c r="EE318">
        <v>7.6612904667854309E-2</v>
      </c>
      <c r="EF318">
        <v>6.4516127109527588E-2</v>
      </c>
      <c r="EG318">
        <v>6.4516127109527588E-2</v>
      </c>
      <c r="EH318">
        <v>6.8548388779163361E-2</v>
      </c>
      <c r="EI318">
        <v>0.11491935700178146</v>
      </c>
      <c r="EJ318">
        <v>6.25E-2</v>
      </c>
      <c r="EK318">
        <v>5.8467742055654526E-2</v>
      </c>
      <c r="EL318">
        <v>5.6451611220836639E-2</v>
      </c>
      <c r="EM318">
        <v>0.10483870655298233</v>
      </c>
      <c r="EN318">
        <v>8.8709674775600433E-2</v>
      </c>
      <c r="EO318">
        <v>7.0967741310596466E-2</v>
      </c>
      <c r="EP318">
        <v>7.526881992816925E-2</v>
      </c>
      <c r="EQ318">
        <v>7.0967741310596466E-2</v>
      </c>
      <c r="ER318">
        <v>8.6021505296230316E-2</v>
      </c>
      <c r="ES318">
        <v>6.2365591526031494E-2</v>
      </c>
      <c r="ET318">
        <v>6.6666670143604279E-2</v>
      </c>
      <c r="EU318">
        <v>0.15268817543983459</v>
      </c>
      <c r="EV318">
        <v>7.9569891095161438E-2</v>
      </c>
      <c r="EW318">
        <v>6.6666670143604279E-2</v>
      </c>
      <c r="EX318">
        <v>7.526881992816925E-2</v>
      </c>
      <c r="EY318">
        <v>8.3870969712734222E-2</v>
      </c>
      <c r="EZ318">
        <v>7.311827689409256E-2</v>
      </c>
      <c r="FA318">
        <v>7.311827689409256E-2</v>
      </c>
      <c r="FB318">
        <v>6.6666670143604279E-2</v>
      </c>
      <c r="FC318">
        <v>0.10322580486536026</v>
      </c>
      <c r="FD318">
        <v>7.526881992816925E-2</v>
      </c>
      <c r="FE318">
        <v>8.6021505296230316E-2</v>
      </c>
      <c r="FF318">
        <v>7.9569891095161438E-2</v>
      </c>
      <c r="FG318">
        <v>6.0215052217245102E-2</v>
      </c>
      <c r="FH318">
        <v>9.2473119497299194E-2</v>
      </c>
      <c r="FI318">
        <v>5.8064516633749008E-2</v>
      </c>
      <c r="FJ318">
        <v>5.3763441741466522E-2</v>
      </c>
      <c r="FK318">
        <v>9.2473119497299194E-2</v>
      </c>
      <c r="FL318">
        <v>8.6021505296230316E-2</v>
      </c>
      <c r="FM318">
        <v>0.14193548262119293</v>
      </c>
      <c r="FN318">
        <v>7.311827689409256E-2</v>
      </c>
      <c r="FO318">
        <v>9.6774190664291382E-2</v>
      </c>
      <c r="FP318">
        <v>7.0967741310596466E-2</v>
      </c>
      <c r="FQ318">
        <v>6.8817205727100372E-2</v>
      </c>
      <c r="FR318">
        <v>0.10537634044885635</v>
      </c>
      <c r="FS318">
        <v>5.8064516633749008E-2</v>
      </c>
      <c r="FT318">
        <v>6.2365591526031494E-2</v>
      </c>
      <c r="FU318">
        <v>8.817204087972641E-2</v>
      </c>
      <c r="FV318">
        <v>3.655913844704628E-2</v>
      </c>
      <c r="FW318">
        <v>7.7419355511665344E-2</v>
      </c>
      <c r="FX318">
        <v>7.9569891095161438E-2</v>
      </c>
      <c r="FY318">
        <v>7.311827689409256E-2</v>
      </c>
      <c r="FZ318">
        <v>4.9462366849184036E-2</v>
      </c>
      <c r="GA318">
        <v>8.817204087972641E-2</v>
      </c>
      <c r="GB318">
        <v>7.9569891095161438E-2</v>
      </c>
      <c r="GC318">
        <v>5.5913977324962616E-2</v>
      </c>
      <c r="GD318">
        <v>7.311827689409256E-2</v>
      </c>
      <c r="GE318">
        <v>7.311827689409256E-2</v>
      </c>
      <c r="GF318">
        <v>0.11827956885099411</v>
      </c>
      <c r="GG318">
        <v>7.311827689409256E-2</v>
      </c>
      <c r="GH318">
        <v>9.4623655080795288E-2</v>
      </c>
      <c r="GI318">
        <v>6.6666670143604279E-2</v>
      </c>
      <c r="GJ318">
        <v>6.8817205727100372E-2</v>
      </c>
      <c r="GK318">
        <v>8.3870969712734222E-2</v>
      </c>
      <c r="GL318">
        <v>5.3763441741466522E-2</v>
      </c>
      <c r="GM318">
        <v>7.9569891095161438E-2</v>
      </c>
      <c r="GN318">
        <v>5.3763441741466522E-2</v>
      </c>
      <c r="GO318">
        <v>7.526881992816925E-2</v>
      </c>
      <c r="GP318">
        <v>0.14193548262119293</v>
      </c>
      <c r="GQ318">
        <v>8.6021505296230316E-2</v>
      </c>
      <c r="GR318">
        <v>7.7419355511665344E-2</v>
      </c>
      <c r="GS318">
        <v>6.4516127109527588E-2</v>
      </c>
      <c r="GT318">
        <v>9.0322583913803101E-2</v>
      </c>
      <c r="GU318">
        <v>0.10967741906642914</v>
      </c>
      <c r="GV318">
        <v>0.11182795464992523</v>
      </c>
      <c r="GW318">
        <v>6.2365591526031494E-2</v>
      </c>
      <c r="GX318">
        <v>6.2365591526031494E-2</v>
      </c>
      <c r="GY318">
        <v>8.1720426678657532E-2</v>
      </c>
      <c r="GZ318">
        <v>6.2365591526031494E-2</v>
      </c>
      <c r="HA318">
        <v>5.8064516633749008E-2</v>
      </c>
      <c r="HB318">
        <v>5.8064516633749008E-2</v>
      </c>
      <c r="HC318">
        <v>4.0860213339328766E-2</v>
      </c>
      <c r="HD318">
        <v>6.0215052217245102E-2</v>
      </c>
      <c r="HE318">
        <v>0.13118278980255127</v>
      </c>
      <c r="HF318">
        <v>7.311827689409256E-2</v>
      </c>
      <c r="HG318">
        <v>0.11397849768400192</v>
      </c>
      <c r="HH318">
        <v>0.12258064746856689</v>
      </c>
      <c r="HI318">
        <v>8.3870969712734222E-2</v>
      </c>
      <c r="HJ318">
        <v>7.9569891095161438E-2</v>
      </c>
      <c r="HK318">
        <v>9.8924733698368073E-2</v>
      </c>
      <c r="HL318">
        <v>6.4516127109527588E-2</v>
      </c>
      <c r="HM318">
        <v>6.8817205727100372E-2</v>
      </c>
      <c r="HN318">
        <v>9.6774190664291382E-2</v>
      </c>
      <c r="HO318">
        <v>0.11182795464992523</v>
      </c>
      <c r="HP318">
        <v>8.3870969712734222E-2</v>
      </c>
      <c r="HQ318">
        <v>7.7419355511665344E-2</v>
      </c>
      <c r="HR318">
        <v>7.9569891095161438E-2</v>
      </c>
      <c r="HS318">
        <v>9.8924733698368073E-2</v>
      </c>
      <c r="HT318">
        <v>3.8709677755832672E-2</v>
      </c>
      <c r="HU318">
        <v>6.2365591526031494E-2</v>
      </c>
      <c r="HV318">
        <v>7.9569891095161438E-2</v>
      </c>
      <c r="HW318">
        <v>6.0215052217245102E-2</v>
      </c>
      <c r="HX318">
        <v>8.6021505296230316E-2</v>
      </c>
      <c r="HY318">
        <v>9.8924733698368073E-2</v>
      </c>
      <c r="HZ318">
        <v>0.10107526928186417</v>
      </c>
      <c r="IA318">
        <v>7.7419355511665344E-2</v>
      </c>
      <c r="IB318">
        <v>6.6666670143604279E-2</v>
      </c>
      <c r="IC318">
        <v>7.526881992816925E-2</v>
      </c>
      <c r="ID318">
        <v>6.6666670143604279E-2</v>
      </c>
      <c r="IE318">
        <v>8.3870969712734222E-2</v>
      </c>
      <c r="IF318">
        <v>6.6666670143604279E-2</v>
      </c>
      <c r="IG318">
        <v>8.6021505296230316E-2</v>
      </c>
      <c r="IH318">
        <v>9.8924733698368073E-2</v>
      </c>
      <c r="II318">
        <v>9.8924733698368073E-2</v>
      </c>
      <c r="IJ318">
        <v>7.311827689409256E-2</v>
      </c>
      <c r="IK318">
        <v>5.3763441741466522E-2</v>
      </c>
      <c r="IL318">
        <v>0.10107526928186417</v>
      </c>
      <c r="IM318">
        <v>6.0215052217245102E-2</v>
      </c>
      <c r="IN318">
        <v>8.3870969712734222E-2</v>
      </c>
      <c r="IO318">
        <v>9.4623655080795288E-2</v>
      </c>
      <c r="IP318">
        <v>8.6021505296230316E-2</v>
      </c>
      <c r="IQ318">
        <v>8.3870969712734222E-2</v>
      </c>
      <c r="IR318">
        <v>9.8924733698368073E-2</v>
      </c>
      <c r="IS318">
        <v>7.311827689409256E-2</v>
      </c>
      <c r="IT318">
        <v>9.8924733698368073E-2</v>
      </c>
      <c r="IU318">
        <v>7.526881992816925E-2</v>
      </c>
      <c r="IV318">
        <v>6.8817205727100372E-2</v>
      </c>
      <c r="IW318">
        <v>6.2365591526031494E-2</v>
      </c>
      <c r="IX318">
        <v>7.9569891095161438E-2</v>
      </c>
      <c r="IY318">
        <v>4.9462366849184036E-2</v>
      </c>
      <c r="IZ318">
        <v>7.526881992816925E-2</v>
      </c>
      <c r="JA318">
        <v>6.4516127109527588E-2</v>
      </c>
      <c r="JB318">
        <v>6.8817205727100372E-2</v>
      </c>
      <c r="JC318">
        <v>8.817204087972641E-2</v>
      </c>
      <c r="JD318">
        <v>5.161290243268013E-2</v>
      </c>
      <c r="JE318">
        <v>7.0967741310596466E-2</v>
      </c>
      <c r="JF318">
        <v>6.2365591526031494E-2</v>
      </c>
      <c r="JG318">
        <v>6.6666670143604279E-2</v>
      </c>
      <c r="JH318">
        <v>6.2365591526031494E-2</v>
      </c>
      <c r="JI318">
        <v>7.311827689409256E-2</v>
      </c>
      <c r="JJ318">
        <v>6.8817205727100372E-2</v>
      </c>
      <c r="JK318">
        <v>5.5913977324962616E-2</v>
      </c>
      <c r="JL318">
        <v>8.1720426678657532E-2</v>
      </c>
      <c r="JM318">
        <v>5.8064516633749008E-2</v>
      </c>
      <c r="JN318">
        <v>7.526881992816925E-2</v>
      </c>
      <c r="JO318">
        <v>5.8064516633749008E-2</v>
      </c>
      <c r="JP318">
        <v>6.6666670143604279E-2</v>
      </c>
      <c r="JQ318">
        <v>0.11612903326749802</v>
      </c>
      <c r="JR318">
        <v>0.1204301044344902</v>
      </c>
      <c r="JS318">
        <v>7.311827689409256E-2</v>
      </c>
      <c r="JT318">
        <v>8.817204087972641E-2</v>
      </c>
      <c r="JU318">
        <v>7.526881992816925E-2</v>
      </c>
      <c r="JV318">
        <v>8.1720426678657532E-2</v>
      </c>
      <c r="JW318">
        <v>7.9569891095161438E-2</v>
      </c>
      <c r="JX318">
        <v>7.0967741310596466E-2</v>
      </c>
      <c r="JY318">
        <v>7.0967741310596466E-2</v>
      </c>
      <c r="JZ318">
        <v>0.11827956885099411</v>
      </c>
      <c r="KA318">
        <v>8.6021505296230316E-2</v>
      </c>
      <c r="KB318">
        <v>0.11827956885099411</v>
      </c>
      <c r="KC318">
        <v>5.8064516633749008E-2</v>
      </c>
      <c r="KD318">
        <v>0.10322580486536026</v>
      </c>
      <c r="KE318">
        <v>6.6666670143604279E-2</v>
      </c>
      <c r="KF318">
        <v>9.2473119497299194E-2</v>
      </c>
      <c r="KG318">
        <v>6.2365591526031494E-2</v>
      </c>
      <c r="KH318">
        <v>6.2365591526031494E-2</v>
      </c>
      <c r="KI318">
        <v>5.5913977324962616E-2</v>
      </c>
      <c r="KJ318">
        <v>0.11827956885099411</v>
      </c>
      <c r="KK318">
        <v>7.0967741310596466E-2</v>
      </c>
      <c r="KL318">
        <v>6.2365591526031494E-2</v>
      </c>
      <c r="KM318">
        <v>9.0322583913803101E-2</v>
      </c>
      <c r="KN318">
        <v>7.526881992816925E-2</v>
      </c>
      <c r="KO318">
        <v>6.8817205727100372E-2</v>
      </c>
      <c r="KP318">
        <v>9.4623655080795288E-2</v>
      </c>
      <c r="KQ318">
        <v>7.9569891095161438E-2</v>
      </c>
      <c r="KR318">
        <v>0.1806451678276062</v>
      </c>
      <c r="KS318">
        <v>6.6666670143604279E-2</v>
      </c>
      <c r="KT318">
        <v>8.817204087972641E-2</v>
      </c>
    </row>
    <row r="319" spans="4:308" x14ac:dyDescent="0.25">
      <c r="D319" s="41" t="str" cm="1">
        <f t="array" ref="D319">IF(H319="","",IF(AND(E319&lt;AVERAGE(E318,E320)*($L$19/100),$D$23:D318=""),H319,""))</f>
        <v/>
      </c>
      <c r="E319" s="78">
        <f t="shared" si="5"/>
        <v>3.5951792856458858E-3</v>
      </c>
      <c r="F319" s="79"/>
      <c r="H319">
        <v>297</v>
      </c>
      <c r="I319">
        <v>7.7645179285645891E-2</v>
      </c>
      <c r="K319">
        <v>5.2419353276491165E-2</v>
      </c>
      <c r="L319">
        <v>8.266129344701767E-2</v>
      </c>
      <c r="M319">
        <v>8.6693547666072845E-2</v>
      </c>
      <c r="N319">
        <v>9.2741936445236206E-2</v>
      </c>
      <c r="O319">
        <v>9.2741936445236206E-2</v>
      </c>
      <c r="P319">
        <v>7.0564515888690948E-2</v>
      </c>
      <c r="Q319">
        <v>6.4516127109527588E-2</v>
      </c>
      <c r="R319">
        <v>7.6612904667854309E-2</v>
      </c>
      <c r="S319">
        <v>8.0645158886909485E-2</v>
      </c>
      <c r="T319">
        <v>8.0645158886909485E-2</v>
      </c>
      <c r="U319">
        <v>7.0564515888690948E-2</v>
      </c>
      <c r="V319">
        <v>9.2741936445236206E-2</v>
      </c>
      <c r="W319">
        <v>4.6370968222618103E-2</v>
      </c>
      <c r="X319">
        <v>0.11290322244167328</v>
      </c>
      <c r="Y319">
        <v>4.2338710278272629E-2</v>
      </c>
      <c r="Z319">
        <v>5.8467742055654526E-2</v>
      </c>
      <c r="AA319">
        <v>6.4516127109527588E-2</v>
      </c>
      <c r="AB319">
        <v>8.8709674775600433E-2</v>
      </c>
      <c r="AC319">
        <v>7.4596777558326721E-2</v>
      </c>
      <c r="AD319">
        <v>8.0645158886909485E-2</v>
      </c>
      <c r="AE319">
        <v>7.2580642998218536E-2</v>
      </c>
      <c r="AF319">
        <v>7.0564515888690948E-2</v>
      </c>
      <c r="AG319">
        <v>5.0403226166963577E-2</v>
      </c>
      <c r="AH319">
        <v>9.8790325224399567E-2</v>
      </c>
      <c r="AI319">
        <v>4.6370968222618103E-2</v>
      </c>
      <c r="AJ319">
        <v>8.0645158886909485E-2</v>
      </c>
      <c r="AK319">
        <v>9.6774190664291382E-2</v>
      </c>
      <c r="AL319">
        <v>7.6612904667854309E-2</v>
      </c>
      <c r="AM319">
        <v>0.10483870655298233</v>
      </c>
      <c r="AN319">
        <v>8.266129344701767E-2</v>
      </c>
      <c r="AO319">
        <v>7.2580642998218536E-2</v>
      </c>
      <c r="AP319">
        <v>5.8467742055654526E-2</v>
      </c>
      <c r="AQ319">
        <v>6.4516127109527588E-2</v>
      </c>
      <c r="AR319">
        <v>6.6532261669635773E-2</v>
      </c>
      <c r="AS319">
        <v>7.8629031777381897E-2</v>
      </c>
      <c r="AT319">
        <v>0.11088709533214569</v>
      </c>
      <c r="AU319">
        <v>4.2338710278272629E-2</v>
      </c>
      <c r="AV319">
        <v>7.4596777558326721E-2</v>
      </c>
      <c r="AW319">
        <v>6.8548388779163361E-2</v>
      </c>
      <c r="AX319">
        <v>6.25E-2</v>
      </c>
      <c r="AY319">
        <v>0.11088709533214569</v>
      </c>
      <c r="AZ319">
        <v>6.4516127109527588E-2</v>
      </c>
      <c r="BA319">
        <v>8.266129344701767E-2</v>
      </c>
      <c r="BB319">
        <v>5.4435484111309052E-2</v>
      </c>
      <c r="BC319">
        <v>7.6612904667854309E-2</v>
      </c>
      <c r="BD319">
        <v>9.6774190664291382E-2</v>
      </c>
      <c r="BE319">
        <v>6.6532261669635773E-2</v>
      </c>
      <c r="BF319">
        <v>9.8790325224399567E-2</v>
      </c>
      <c r="BG319">
        <v>6.25E-2</v>
      </c>
      <c r="BH319">
        <v>6.4516127109527588E-2</v>
      </c>
      <c r="BI319">
        <v>6.4516127109527588E-2</v>
      </c>
      <c r="BJ319">
        <v>8.6693547666072845E-2</v>
      </c>
      <c r="BK319">
        <v>8.8709674775600433E-2</v>
      </c>
      <c r="BL319">
        <v>6.0483869165182114E-2</v>
      </c>
      <c r="BM319">
        <v>7.8629031777381897E-2</v>
      </c>
      <c r="BN319">
        <v>6.25E-2</v>
      </c>
      <c r="BO319">
        <v>7.6612904667854309E-2</v>
      </c>
      <c r="BP319">
        <v>9.0725809335708618E-2</v>
      </c>
      <c r="BQ319">
        <v>8.266129344701767E-2</v>
      </c>
      <c r="BR319">
        <v>0.11290322244167328</v>
      </c>
      <c r="BS319">
        <v>6.8548388779163361E-2</v>
      </c>
      <c r="BT319">
        <v>5.2419353276491165E-2</v>
      </c>
      <c r="BU319">
        <v>8.266129344701767E-2</v>
      </c>
      <c r="BV319">
        <v>7.2580642998218536E-2</v>
      </c>
      <c r="BW319">
        <v>0.10080645233392715</v>
      </c>
      <c r="BX319">
        <v>0.10483870655298233</v>
      </c>
      <c r="BY319">
        <v>9.8790325224399567E-2</v>
      </c>
      <c r="BZ319">
        <v>9.2741936445236206E-2</v>
      </c>
      <c r="CA319">
        <v>7.4596777558326721E-2</v>
      </c>
      <c r="CB319">
        <v>5.4435484111309052E-2</v>
      </c>
      <c r="CC319">
        <v>6.0483869165182114E-2</v>
      </c>
      <c r="CD319">
        <v>6.8548388779163361E-2</v>
      </c>
      <c r="CE319">
        <v>6.25E-2</v>
      </c>
      <c r="CF319">
        <v>6.4516127109527588E-2</v>
      </c>
      <c r="CG319">
        <v>5.6451611220836639E-2</v>
      </c>
      <c r="CH319">
        <v>6.4516127109527588E-2</v>
      </c>
      <c r="CI319">
        <v>5.8467742055654526E-2</v>
      </c>
      <c r="CJ319">
        <v>0.13911290466785431</v>
      </c>
      <c r="CK319">
        <v>7.8629031777381897E-2</v>
      </c>
      <c r="CL319">
        <v>9.8790325224399567E-2</v>
      </c>
      <c r="CM319">
        <v>5.8467742055654526E-2</v>
      </c>
      <c r="CN319">
        <v>6.4516127109527588E-2</v>
      </c>
      <c r="CO319">
        <v>0.10282257944345474</v>
      </c>
      <c r="CP319">
        <v>5.6451611220836639E-2</v>
      </c>
      <c r="CQ319">
        <v>0.10282257944345474</v>
      </c>
      <c r="CR319">
        <v>0.10483870655298233</v>
      </c>
      <c r="CS319">
        <v>8.0645158886909485E-2</v>
      </c>
      <c r="CT319">
        <v>5.4435484111309052E-2</v>
      </c>
      <c r="CU319">
        <v>9.2741936445236206E-2</v>
      </c>
      <c r="CV319">
        <v>5.8467742055654526E-2</v>
      </c>
      <c r="CW319">
        <v>5.8467742055654526E-2</v>
      </c>
      <c r="CX319">
        <v>7.4596777558326721E-2</v>
      </c>
      <c r="CY319">
        <v>0.10685484111309052</v>
      </c>
      <c r="CZ319">
        <v>7.6612904667854309E-2</v>
      </c>
      <c r="DA319">
        <v>9.8790325224399567E-2</v>
      </c>
      <c r="DB319">
        <v>5.8467742055654526E-2</v>
      </c>
      <c r="DC319">
        <v>6.8548388779163361E-2</v>
      </c>
      <c r="DD319">
        <v>7.4596777558326721E-2</v>
      </c>
      <c r="DE319">
        <v>0.11290322244167328</v>
      </c>
      <c r="DF319">
        <v>0.10080645233392715</v>
      </c>
      <c r="DG319">
        <v>8.6693547666072845E-2</v>
      </c>
      <c r="DH319">
        <v>5.6451611220836639E-2</v>
      </c>
      <c r="DI319">
        <v>5.0403226166963577E-2</v>
      </c>
      <c r="DJ319">
        <v>6.8817205727100372E-2</v>
      </c>
      <c r="DK319">
        <v>7.9569891095161438E-2</v>
      </c>
      <c r="DL319">
        <v>0.10967741906642914</v>
      </c>
      <c r="DM319">
        <v>7.526881992816925E-2</v>
      </c>
      <c r="DN319">
        <v>9.2473119497299194E-2</v>
      </c>
      <c r="DO319">
        <v>6.6666670143604279E-2</v>
      </c>
      <c r="DP319">
        <v>7.311827689409256E-2</v>
      </c>
      <c r="DQ319">
        <v>6.2365591526031494E-2</v>
      </c>
      <c r="DR319">
        <v>0.10107526928186417</v>
      </c>
      <c r="DS319">
        <v>6.4516127109527588E-2</v>
      </c>
      <c r="DT319">
        <v>6.0215052217245102E-2</v>
      </c>
      <c r="DU319">
        <v>8.3870969712734222E-2</v>
      </c>
      <c r="DV319">
        <v>0.10322580486536026</v>
      </c>
      <c r="DW319">
        <v>7.0967741310596466E-2</v>
      </c>
      <c r="DX319">
        <v>8.1720426678657532E-2</v>
      </c>
      <c r="DY319">
        <v>7.526881992816925E-2</v>
      </c>
      <c r="DZ319">
        <v>8.1720426678657532E-2</v>
      </c>
      <c r="EA319">
        <v>6.0215052217245102E-2</v>
      </c>
      <c r="EB319">
        <v>6.4516127109527588E-2</v>
      </c>
      <c r="EC319">
        <v>0.10107526928186417</v>
      </c>
      <c r="ED319">
        <v>7.0967741310596466E-2</v>
      </c>
      <c r="EE319">
        <v>5.5913977324962616E-2</v>
      </c>
      <c r="EF319">
        <v>4.3010752648115158E-2</v>
      </c>
      <c r="EG319">
        <v>0.10322580486536026</v>
      </c>
      <c r="EH319">
        <v>6.6666670143604279E-2</v>
      </c>
      <c r="EI319">
        <v>5.8064516633749008E-2</v>
      </c>
      <c r="EJ319">
        <v>0.10537634044885635</v>
      </c>
      <c r="EK319">
        <v>6.8817205727100372E-2</v>
      </c>
      <c r="EL319">
        <v>7.526881992816925E-2</v>
      </c>
      <c r="EM319">
        <v>6.6666670143604279E-2</v>
      </c>
      <c r="EN319">
        <v>6.8817205727100372E-2</v>
      </c>
      <c r="EO319">
        <v>0.10537634044885635</v>
      </c>
      <c r="EP319">
        <v>5.161290243268013E-2</v>
      </c>
      <c r="EQ319">
        <v>5.3763441741466522E-2</v>
      </c>
      <c r="ER319">
        <v>0.10107526928186417</v>
      </c>
      <c r="ES319">
        <v>7.526881992816925E-2</v>
      </c>
      <c r="ET319">
        <v>7.526881992816925E-2</v>
      </c>
      <c r="EU319">
        <v>7.9569891095161438E-2</v>
      </c>
      <c r="EV319">
        <v>7.7419355511665344E-2</v>
      </c>
      <c r="EW319">
        <v>6.0215052217245102E-2</v>
      </c>
      <c r="EX319">
        <v>9.6774190664291382E-2</v>
      </c>
      <c r="EY319">
        <v>6.6666670143604279E-2</v>
      </c>
      <c r="EZ319">
        <v>5.5913977324962616E-2</v>
      </c>
      <c r="FA319">
        <v>0.10322580486536026</v>
      </c>
      <c r="FB319">
        <v>6.2365591526031494E-2</v>
      </c>
      <c r="FC319">
        <v>5.8064516633749008E-2</v>
      </c>
      <c r="FD319">
        <v>8.6021505296230316E-2</v>
      </c>
      <c r="FE319">
        <v>6.2365591526031494E-2</v>
      </c>
      <c r="FF319">
        <v>6.8817205727100372E-2</v>
      </c>
      <c r="FG319">
        <v>5.5913977324962616E-2</v>
      </c>
      <c r="FH319">
        <v>8.1720426678657532E-2</v>
      </c>
      <c r="FI319">
        <v>5.161290243268013E-2</v>
      </c>
      <c r="FJ319">
        <v>0.10322580486536026</v>
      </c>
      <c r="FK319">
        <v>7.9569891095161438E-2</v>
      </c>
      <c r="FL319">
        <v>8.817204087972641E-2</v>
      </c>
      <c r="FM319">
        <v>8.1720426678657532E-2</v>
      </c>
      <c r="FN319">
        <v>6.4516127109527588E-2</v>
      </c>
      <c r="FO319">
        <v>6.0215052217245102E-2</v>
      </c>
      <c r="FP319">
        <v>6.4516127109527588E-2</v>
      </c>
      <c r="FQ319">
        <v>0.11182795464992523</v>
      </c>
      <c r="FR319">
        <v>5.3763441741466522E-2</v>
      </c>
      <c r="FS319">
        <v>8.1720426678657532E-2</v>
      </c>
      <c r="FT319">
        <v>6.4516127109527588E-2</v>
      </c>
      <c r="FU319">
        <v>0.11182795464992523</v>
      </c>
      <c r="FV319">
        <v>0.10752688348293304</v>
      </c>
      <c r="FW319">
        <v>7.0967741310596466E-2</v>
      </c>
      <c r="FX319">
        <v>0.1204301044344902</v>
      </c>
      <c r="FY319">
        <v>7.7419355511665344E-2</v>
      </c>
      <c r="FZ319">
        <v>4.516129195690155E-2</v>
      </c>
      <c r="GA319">
        <v>7.0967741310596466E-2</v>
      </c>
      <c r="GB319">
        <v>0.14193548262119293</v>
      </c>
      <c r="GC319">
        <v>6.2365591526031494E-2</v>
      </c>
      <c r="GD319">
        <v>9.2473119497299194E-2</v>
      </c>
      <c r="GE319">
        <v>5.3763441741466522E-2</v>
      </c>
      <c r="GF319">
        <v>0.11612903326749802</v>
      </c>
      <c r="GG319">
        <v>7.526881992816925E-2</v>
      </c>
      <c r="GH319">
        <v>8.6021505296230316E-2</v>
      </c>
      <c r="GI319">
        <v>8.3870969712734222E-2</v>
      </c>
      <c r="GJ319">
        <v>7.9569891095161438E-2</v>
      </c>
      <c r="GK319">
        <v>6.6666670143604279E-2</v>
      </c>
      <c r="GL319">
        <v>7.311827689409256E-2</v>
      </c>
      <c r="GM319">
        <v>6.4516127109527588E-2</v>
      </c>
      <c r="GN319">
        <v>7.311827689409256E-2</v>
      </c>
      <c r="GO319">
        <v>0.12688171863555908</v>
      </c>
      <c r="GP319">
        <v>0.11827956885099411</v>
      </c>
      <c r="GQ319">
        <v>5.5913977324962616E-2</v>
      </c>
      <c r="GR319">
        <v>0.12903225421905518</v>
      </c>
      <c r="GS319">
        <v>0.10107526928186417</v>
      </c>
      <c r="GT319">
        <v>7.526881992816925E-2</v>
      </c>
      <c r="GU319">
        <v>9.0322583913803101E-2</v>
      </c>
      <c r="GV319">
        <v>0.12258064746856689</v>
      </c>
      <c r="GW319">
        <v>8.1720426678657532E-2</v>
      </c>
      <c r="GX319">
        <v>6.6666670143604279E-2</v>
      </c>
      <c r="GY319">
        <v>7.7419355511665344E-2</v>
      </c>
      <c r="GZ319">
        <v>9.8924733698368073E-2</v>
      </c>
      <c r="HA319">
        <v>6.6666670143604279E-2</v>
      </c>
      <c r="HB319">
        <v>8.6021505296230316E-2</v>
      </c>
      <c r="HC319">
        <v>0.10537634044885635</v>
      </c>
      <c r="HD319">
        <v>5.3763441741466522E-2</v>
      </c>
      <c r="HE319">
        <v>7.9569891095161438E-2</v>
      </c>
      <c r="HF319">
        <v>8.3870969712734222E-2</v>
      </c>
      <c r="HG319">
        <v>5.161290243268013E-2</v>
      </c>
      <c r="HH319">
        <v>5.3763441741466522E-2</v>
      </c>
      <c r="HI319">
        <v>8.1720426678657532E-2</v>
      </c>
      <c r="HJ319">
        <v>7.311827689409256E-2</v>
      </c>
      <c r="HK319">
        <v>7.526881992816925E-2</v>
      </c>
      <c r="HL319">
        <v>7.311827689409256E-2</v>
      </c>
      <c r="HM319">
        <v>6.4516127109527588E-2</v>
      </c>
      <c r="HN319">
        <v>7.7419355511665344E-2</v>
      </c>
      <c r="HO319">
        <v>0.10752688348293304</v>
      </c>
      <c r="HP319">
        <v>0.10967741906642914</v>
      </c>
      <c r="HQ319">
        <v>8.1720426678657532E-2</v>
      </c>
      <c r="HR319">
        <v>0.10322580486536026</v>
      </c>
      <c r="HS319">
        <v>7.9569891095161438E-2</v>
      </c>
      <c r="HT319">
        <v>9.6774190664291382E-2</v>
      </c>
      <c r="HU319">
        <v>4.516129195690155E-2</v>
      </c>
      <c r="HV319">
        <v>6.2365591526031494E-2</v>
      </c>
      <c r="HW319">
        <v>6.2365591526031494E-2</v>
      </c>
      <c r="HX319">
        <v>4.516129195690155E-2</v>
      </c>
      <c r="HY319">
        <v>6.2365591526031494E-2</v>
      </c>
      <c r="HZ319">
        <v>7.311827689409256E-2</v>
      </c>
      <c r="IA319">
        <v>7.9569891095161438E-2</v>
      </c>
      <c r="IB319">
        <v>7.7419355511665344E-2</v>
      </c>
      <c r="IC319">
        <v>0.10537634044885635</v>
      </c>
      <c r="ID319">
        <v>8.6021505296230316E-2</v>
      </c>
      <c r="IE319">
        <v>6.6666670143604279E-2</v>
      </c>
      <c r="IF319">
        <v>8.6021505296230316E-2</v>
      </c>
      <c r="IG319">
        <v>5.3763441741466522E-2</v>
      </c>
      <c r="IH319">
        <v>4.516129195690155E-2</v>
      </c>
      <c r="II319">
        <v>7.311827689409256E-2</v>
      </c>
      <c r="IJ319">
        <v>5.5913977324962616E-2</v>
      </c>
      <c r="IK319">
        <v>7.7419355511665344E-2</v>
      </c>
      <c r="IL319">
        <v>4.9462366849184036E-2</v>
      </c>
      <c r="IM319">
        <v>8.817204087972641E-2</v>
      </c>
      <c r="IN319">
        <v>0.13763441145420074</v>
      </c>
      <c r="IO319">
        <v>9.2473119497299194E-2</v>
      </c>
      <c r="IP319">
        <v>7.0967741310596466E-2</v>
      </c>
      <c r="IQ319">
        <v>8.1720426678657532E-2</v>
      </c>
      <c r="IR319">
        <v>6.2365591526031494E-2</v>
      </c>
      <c r="IS319">
        <v>5.161290243268013E-2</v>
      </c>
      <c r="IT319">
        <v>6.4516127109527588E-2</v>
      </c>
      <c r="IU319">
        <v>6.6666670143604279E-2</v>
      </c>
      <c r="IV319">
        <v>6.8817205727100372E-2</v>
      </c>
      <c r="IW319">
        <v>9.0322583913803101E-2</v>
      </c>
      <c r="IX319">
        <v>5.5913977324962616E-2</v>
      </c>
      <c r="IY319">
        <v>5.3763441741466522E-2</v>
      </c>
      <c r="IZ319">
        <v>9.2473119497299194E-2</v>
      </c>
      <c r="JA319">
        <v>7.311827689409256E-2</v>
      </c>
      <c r="JB319">
        <v>9.0322583913803101E-2</v>
      </c>
      <c r="JC319">
        <v>9.0322583913803101E-2</v>
      </c>
      <c r="JD319">
        <v>7.311827689409256E-2</v>
      </c>
      <c r="JE319">
        <v>6.0215052217245102E-2</v>
      </c>
      <c r="JF319">
        <v>0.10107526928186417</v>
      </c>
      <c r="JG319">
        <v>6.0215052217245102E-2</v>
      </c>
      <c r="JH319">
        <v>8.6021505296230316E-2</v>
      </c>
      <c r="JI319">
        <v>7.0967741310596466E-2</v>
      </c>
      <c r="JJ319">
        <v>6.6666670143604279E-2</v>
      </c>
      <c r="JK319">
        <v>6.4516127109527588E-2</v>
      </c>
      <c r="JL319">
        <v>9.0322583913803101E-2</v>
      </c>
      <c r="JM319">
        <v>5.161290243268013E-2</v>
      </c>
      <c r="JN319">
        <v>0.12258064746856689</v>
      </c>
      <c r="JO319">
        <v>9.0322583913803101E-2</v>
      </c>
      <c r="JP319">
        <v>7.0967741310596466E-2</v>
      </c>
      <c r="JQ319">
        <v>0.10967741906642914</v>
      </c>
      <c r="JR319">
        <v>7.0967741310596466E-2</v>
      </c>
      <c r="JS319">
        <v>0.10537634044885635</v>
      </c>
      <c r="JT319">
        <v>5.8064516633749008E-2</v>
      </c>
      <c r="JU319">
        <v>5.8064516633749008E-2</v>
      </c>
      <c r="JV319">
        <v>0.12258064746856689</v>
      </c>
      <c r="JW319">
        <v>7.0967741310596466E-2</v>
      </c>
      <c r="JX319">
        <v>6.4516127109527588E-2</v>
      </c>
      <c r="JY319">
        <v>9.8924733698368073E-2</v>
      </c>
      <c r="JZ319">
        <v>7.9569891095161438E-2</v>
      </c>
      <c r="KA319">
        <v>8.6021505296230316E-2</v>
      </c>
      <c r="KB319">
        <v>5.3763441741466522E-2</v>
      </c>
      <c r="KC319">
        <v>8.1720426678657532E-2</v>
      </c>
      <c r="KD319">
        <v>7.0967741310596466E-2</v>
      </c>
      <c r="KE319">
        <v>8.3870969712734222E-2</v>
      </c>
      <c r="KF319">
        <v>9.2473119497299194E-2</v>
      </c>
      <c r="KG319">
        <v>6.8817205727100372E-2</v>
      </c>
      <c r="KH319">
        <v>5.161290243268013E-2</v>
      </c>
      <c r="KI319">
        <v>5.8064516633749008E-2</v>
      </c>
      <c r="KJ319">
        <v>7.9569891095161438E-2</v>
      </c>
      <c r="KK319">
        <v>9.6774190664291382E-2</v>
      </c>
      <c r="KL319">
        <v>8.6021505296230316E-2</v>
      </c>
      <c r="KM319">
        <v>7.7419355511665344E-2</v>
      </c>
      <c r="KN319">
        <v>6.2365591526031494E-2</v>
      </c>
      <c r="KO319">
        <v>9.2473119497299194E-2</v>
      </c>
      <c r="KP319">
        <v>5.8064516633749008E-2</v>
      </c>
      <c r="KQ319">
        <v>7.9569891095161438E-2</v>
      </c>
      <c r="KR319">
        <v>9.4623655080795288E-2</v>
      </c>
      <c r="KS319">
        <v>7.0967741310596466E-2</v>
      </c>
      <c r="KT319">
        <v>6.6666670143604279E-2</v>
      </c>
      <c r="KU319">
        <v>7.0967741310596466E-2</v>
      </c>
    </row>
    <row r="320" spans="4:308" x14ac:dyDescent="0.25">
      <c r="D320" s="41" t="str" cm="1">
        <f t="array" ref="D320">IF(H320="","",IF(AND(E320&lt;AVERAGE(E319,E321)*($L$19/100),$D$23:D319=""),H320,""))</f>
        <v/>
      </c>
      <c r="E320" s="78">
        <f t="shared" si="5"/>
        <v>3.0261168393112686E-3</v>
      </c>
      <c r="F320" s="79"/>
      <c r="H320">
        <v>298</v>
      </c>
      <c r="I320">
        <v>7.7076116839311273E-2</v>
      </c>
      <c r="K320">
        <v>7.2580642998218536E-2</v>
      </c>
      <c r="L320">
        <v>6.6532261669635773E-2</v>
      </c>
      <c r="M320">
        <v>5.4435484111309052E-2</v>
      </c>
      <c r="N320">
        <v>7.0564515888690948E-2</v>
      </c>
      <c r="O320">
        <v>8.8709674775600433E-2</v>
      </c>
      <c r="P320">
        <v>7.2580642998218536E-2</v>
      </c>
      <c r="Q320">
        <v>8.8709674775600433E-2</v>
      </c>
      <c r="R320">
        <v>7.6612904667854309E-2</v>
      </c>
      <c r="S320">
        <v>0.10282257944345474</v>
      </c>
      <c r="T320">
        <v>4.2338710278272629E-2</v>
      </c>
      <c r="U320">
        <v>9.6774190664291382E-2</v>
      </c>
      <c r="V320">
        <v>5.2419353276491165E-2</v>
      </c>
      <c r="W320">
        <v>6.8548388779163361E-2</v>
      </c>
      <c r="X320">
        <v>0.10483870655298233</v>
      </c>
      <c r="Y320">
        <v>9.2741936445236206E-2</v>
      </c>
      <c r="Z320">
        <v>5.8467742055654526E-2</v>
      </c>
      <c r="AA320">
        <v>7.8629031777381897E-2</v>
      </c>
      <c r="AB320">
        <v>8.4677420556545258E-2</v>
      </c>
      <c r="AC320">
        <v>7.0564515888690948E-2</v>
      </c>
      <c r="AD320">
        <v>7.4596777558326721E-2</v>
      </c>
      <c r="AE320">
        <v>8.266129344701767E-2</v>
      </c>
      <c r="AF320">
        <v>5.4435484111309052E-2</v>
      </c>
      <c r="AG320">
        <v>9.0725809335708618E-2</v>
      </c>
      <c r="AH320">
        <v>7.2580642998218536E-2</v>
      </c>
      <c r="AI320">
        <v>7.2580642998218536E-2</v>
      </c>
      <c r="AJ320">
        <v>5.8467742055654526E-2</v>
      </c>
      <c r="AK320">
        <v>9.2741936445236206E-2</v>
      </c>
      <c r="AL320">
        <v>4.8387095332145691E-2</v>
      </c>
      <c r="AM320">
        <v>6.8548388779163361E-2</v>
      </c>
      <c r="AN320">
        <v>5.2419353276491165E-2</v>
      </c>
      <c r="AO320">
        <v>7.8629031777381897E-2</v>
      </c>
      <c r="AP320">
        <v>6.25E-2</v>
      </c>
      <c r="AQ320">
        <v>6.6532261669635773E-2</v>
      </c>
      <c r="AR320">
        <v>6.8548388779163361E-2</v>
      </c>
      <c r="AS320">
        <v>7.4596777558326721E-2</v>
      </c>
      <c r="AT320">
        <v>9.4758063554763794E-2</v>
      </c>
      <c r="AU320">
        <v>6.25E-2</v>
      </c>
      <c r="AV320">
        <v>9.8790325224399567E-2</v>
      </c>
      <c r="AW320">
        <v>0.1088709682226181</v>
      </c>
      <c r="AX320">
        <v>6.0483869165182114E-2</v>
      </c>
      <c r="AY320">
        <v>6.4516127109527588E-2</v>
      </c>
      <c r="AZ320">
        <v>6.8548388779163361E-2</v>
      </c>
      <c r="BA320">
        <v>0.11290322244167328</v>
      </c>
      <c r="BB320">
        <v>0.10080645233392715</v>
      </c>
      <c r="BC320">
        <v>8.0645158886909485E-2</v>
      </c>
      <c r="BD320">
        <v>7.0564515888690948E-2</v>
      </c>
      <c r="BE320">
        <v>5.8467742055654526E-2</v>
      </c>
      <c r="BF320">
        <v>7.4596777558326721E-2</v>
      </c>
      <c r="BG320">
        <v>5.2419353276491165E-2</v>
      </c>
      <c r="BH320">
        <v>6.8548388779163361E-2</v>
      </c>
      <c r="BI320">
        <v>6.6532261669635773E-2</v>
      </c>
      <c r="BJ320">
        <v>6.6532261669635773E-2</v>
      </c>
      <c r="BK320">
        <v>8.266129344701767E-2</v>
      </c>
      <c r="BL320">
        <v>6.4516127109527588E-2</v>
      </c>
      <c r="BM320">
        <v>7.4596777558326721E-2</v>
      </c>
      <c r="BN320">
        <v>7.4596777558326721E-2</v>
      </c>
      <c r="BO320">
        <v>4.6370968222618103E-2</v>
      </c>
      <c r="BP320">
        <v>5.8467742055654526E-2</v>
      </c>
      <c r="BQ320">
        <v>8.6693547666072845E-2</v>
      </c>
      <c r="BR320">
        <v>6.6532261669635773E-2</v>
      </c>
      <c r="BS320">
        <v>0.11491935700178146</v>
      </c>
      <c r="BT320">
        <v>6.4516127109527588E-2</v>
      </c>
      <c r="BU320">
        <v>7.8629031777381897E-2</v>
      </c>
      <c r="BV320">
        <v>6.0483869165182114E-2</v>
      </c>
      <c r="BW320">
        <v>9.4758063554763794E-2</v>
      </c>
      <c r="BX320">
        <v>4.8387095332145691E-2</v>
      </c>
      <c r="BY320">
        <v>8.266129344701767E-2</v>
      </c>
      <c r="BZ320">
        <v>0.10080645233392715</v>
      </c>
      <c r="CA320">
        <v>5.6451611220836639E-2</v>
      </c>
      <c r="CB320">
        <v>6.8548388779163361E-2</v>
      </c>
      <c r="CC320">
        <v>7.0564515888690948E-2</v>
      </c>
      <c r="CD320">
        <v>7.2580642998218536E-2</v>
      </c>
      <c r="CE320">
        <v>6.0215052217245102E-2</v>
      </c>
      <c r="CF320">
        <v>7.526881992816925E-2</v>
      </c>
      <c r="CG320">
        <v>0.13763441145420074</v>
      </c>
      <c r="CH320">
        <v>6.2365591526031494E-2</v>
      </c>
      <c r="CI320">
        <v>7.526881992816925E-2</v>
      </c>
      <c r="CJ320">
        <v>7.9569891095161438E-2</v>
      </c>
      <c r="CK320">
        <v>9.0322583913803101E-2</v>
      </c>
      <c r="CL320">
        <v>6.4516127109527588E-2</v>
      </c>
      <c r="CM320">
        <v>7.7419355511665344E-2</v>
      </c>
      <c r="CN320">
        <v>4.9462366849184036E-2</v>
      </c>
      <c r="CO320">
        <v>5.3763441741466522E-2</v>
      </c>
      <c r="CP320">
        <v>0.10752688348293304</v>
      </c>
      <c r="CQ320">
        <v>6.0215052217245102E-2</v>
      </c>
      <c r="CR320">
        <v>8.3870969712734222E-2</v>
      </c>
      <c r="CS320">
        <v>7.526881992816925E-2</v>
      </c>
      <c r="CT320">
        <v>5.5913977324962616E-2</v>
      </c>
      <c r="CU320">
        <v>7.0967741310596466E-2</v>
      </c>
      <c r="CV320">
        <v>7.311827689409256E-2</v>
      </c>
      <c r="CW320">
        <v>4.9462366849184036E-2</v>
      </c>
      <c r="CX320">
        <v>5.5913977324962616E-2</v>
      </c>
      <c r="CY320">
        <v>0.10322580486536026</v>
      </c>
      <c r="CZ320">
        <v>7.7419355511665344E-2</v>
      </c>
      <c r="DA320">
        <v>6.4516127109527588E-2</v>
      </c>
      <c r="DB320">
        <v>6.6666670143604279E-2</v>
      </c>
      <c r="DC320">
        <v>9.6774190664291382E-2</v>
      </c>
      <c r="DD320">
        <v>6.6666670143604279E-2</v>
      </c>
      <c r="DE320">
        <v>7.526881992816925E-2</v>
      </c>
      <c r="DF320">
        <v>6.0215052217245102E-2</v>
      </c>
      <c r="DG320">
        <v>6.2365591526031494E-2</v>
      </c>
      <c r="DH320">
        <v>6.8817205727100372E-2</v>
      </c>
      <c r="DI320">
        <v>0.10967741906642914</v>
      </c>
      <c r="DJ320">
        <v>5.3763441741466522E-2</v>
      </c>
      <c r="DK320">
        <v>8.3870969712734222E-2</v>
      </c>
      <c r="DL320">
        <v>9.4623655080795288E-2</v>
      </c>
      <c r="DM320">
        <v>8.1720426678657532E-2</v>
      </c>
      <c r="DN320">
        <v>4.9462366849184036E-2</v>
      </c>
      <c r="DO320">
        <v>0.10107526928186417</v>
      </c>
      <c r="DP320">
        <v>7.526881992816925E-2</v>
      </c>
      <c r="DQ320">
        <v>0.13763441145420074</v>
      </c>
      <c r="DR320">
        <v>7.9569891095161438E-2</v>
      </c>
      <c r="DS320">
        <v>7.9569891095161438E-2</v>
      </c>
      <c r="DT320">
        <v>5.5913977324962616E-2</v>
      </c>
      <c r="DU320">
        <v>9.2473119497299194E-2</v>
      </c>
      <c r="DV320">
        <v>7.0967741310596466E-2</v>
      </c>
      <c r="DW320">
        <v>9.6774190664291382E-2</v>
      </c>
      <c r="DX320">
        <v>7.311827689409256E-2</v>
      </c>
      <c r="DY320">
        <v>7.0967741310596466E-2</v>
      </c>
      <c r="DZ320">
        <v>0.14193548262119293</v>
      </c>
      <c r="EA320">
        <v>8.3870969712734222E-2</v>
      </c>
      <c r="EB320">
        <v>8.817204087972641E-2</v>
      </c>
      <c r="EC320">
        <v>7.526881992816925E-2</v>
      </c>
      <c r="ED320">
        <v>7.7419355511665344E-2</v>
      </c>
      <c r="EE320">
        <v>6.4516127109527588E-2</v>
      </c>
      <c r="EF320">
        <v>6.4516127109527588E-2</v>
      </c>
      <c r="EG320">
        <v>7.0967741310596466E-2</v>
      </c>
      <c r="EH320">
        <v>8.1720426678657532E-2</v>
      </c>
      <c r="EI320">
        <v>9.2473119497299194E-2</v>
      </c>
      <c r="EJ320">
        <v>6.8817205727100372E-2</v>
      </c>
      <c r="EK320">
        <v>8.6021505296230316E-2</v>
      </c>
      <c r="EL320">
        <v>9.0322583913803101E-2</v>
      </c>
      <c r="EM320">
        <v>6.6666670143604279E-2</v>
      </c>
      <c r="EN320">
        <v>9.4623655080795288E-2</v>
      </c>
      <c r="EO320">
        <v>9.8924733698368073E-2</v>
      </c>
      <c r="EP320">
        <v>7.311827689409256E-2</v>
      </c>
      <c r="EQ320">
        <v>9.2473119497299194E-2</v>
      </c>
      <c r="ER320">
        <v>5.8064516633749008E-2</v>
      </c>
      <c r="ES320">
        <v>0.10107526928186417</v>
      </c>
      <c r="ET320">
        <v>5.5913977324962616E-2</v>
      </c>
      <c r="EU320">
        <v>9.2473119497299194E-2</v>
      </c>
      <c r="EV320">
        <v>6.4516127109527588E-2</v>
      </c>
      <c r="EW320">
        <v>6.0215052217245102E-2</v>
      </c>
      <c r="EX320">
        <v>6.8817205727100372E-2</v>
      </c>
      <c r="EY320">
        <v>7.0967741310596466E-2</v>
      </c>
      <c r="EZ320">
        <v>4.7311827540397644E-2</v>
      </c>
      <c r="FA320">
        <v>9.0322583913803101E-2</v>
      </c>
      <c r="FB320">
        <v>9.4623655080795288E-2</v>
      </c>
      <c r="FC320">
        <v>9.4623655080795288E-2</v>
      </c>
      <c r="FD320">
        <v>8.817204087972641E-2</v>
      </c>
      <c r="FE320">
        <v>7.0967741310596466E-2</v>
      </c>
      <c r="FF320">
        <v>0.12688171863555908</v>
      </c>
      <c r="FG320">
        <v>7.0967741310596466E-2</v>
      </c>
      <c r="FH320">
        <v>7.9569891095161438E-2</v>
      </c>
      <c r="FI320">
        <v>6.2365591526031494E-2</v>
      </c>
      <c r="FJ320">
        <v>7.9569891095161438E-2</v>
      </c>
      <c r="FK320">
        <v>6.8817205727100372E-2</v>
      </c>
      <c r="FL320">
        <v>9.0322583913803101E-2</v>
      </c>
      <c r="FM320">
        <v>7.311827689409256E-2</v>
      </c>
      <c r="FN320">
        <v>6.4516127109527588E-2</v>
      </c>
      <c r="FO320">
        <v>8.1720426678657532E-2</v>
      </c>
      <c r="FP320">
        <v>7.526881992816925E-2</v>
      </c>
      <c r="FQ320">
        <v>5.3763441741466522E-2</v>
      </c>
      <c r="FR320">
        <v>7.0967741310596466E-2</v>
      </c>
      <c r="FS320">
        <v>7.526881992816925E-2</v>
      </c>
      <c r="FT320">
        <v>9.0322583913803101E-2</v>
      </c>
      <c r="FU320">
        <v>7.9569891095161438E-2</v>
      </c>
      <c r="FV320">
        <v>7.0967741310596466E-2</v>
      </c>
      <c r="FW320">
        <v>8.3870969712734222E-2</v>
      </c>
      <c r="FX320">
        <v>6.2365591526031494E-2</v>
      </c>
      <c r="FY320">
        <v>9.4623655080795288E-2</v>
      </c>
      <c r="FZ320">
        <v>6.6666670143604279E-2</v>
      </c>
      <c r="GA320">
        <v>6.8817205727100372E-2</v>
      </c>
      <c r="GB320">
        <v>5.5913977324962616E-2</v>
      </c>
      <c r="GC320">
        <v>7.311827689409256E-2</v>
      </c>
      <c r="GD320">
        <v>9.4623655080795288E-2</v>
      </c>
      <c r="GE320">
        <v>8.6021505296230316E-2</v>
      </c>
      <c r="GF320">
        <v>8.6021505296230316E-2</v>
      </c>
      <c r="GG320">
        <v>0.15268817543983459</v>
      </c>
      <c r="GH320">
        <v>7.7419355511665344E-2</v>
      </c>
      <c r="GI320">
        <v>5.5913977324962616E-2</v>
      </c>
      <c r="GJ320">
        <v>7.7419355511665344E-2</v>
      </c>
      <c r="GK320">
        <v>6.6666670143604279E-2</v>
      </c>
      <c r="GL320">
        <v>6.4516127109527588E-2</v>
      </c>
      <c r="GM320">
        <v>0.1204301044344902</v>
      </c>
      <c r="GN320">
        <v>0.11182795464992523</v>
      </c>
      <c r="GO320">
        <v>6.2365591526031494E-2</v>
      </c>
      <c r="GP320">
        <v>7.526881992816925E-2</v>
      </c>
      <c r="GQ320">
        <v>6.0215052217245102E-2</v>
      </c>
      <c r="GR320">
        <v>9.0322583913803101E-2</v>
      </c>
      <c r="GS320">
        <v>8.3870969712734222E-2</v>
      </c>
      <c r="GT320">
        <v>0.12473118305206299</v>
      </c>
      <c r="GU320">
        <v>8.1720426678657532E-2</v>
      </c>
      <c r="GV320">
        <v>8.3870969712734222E-2</v>
      </c>
      <c r="GW320">
        <v>8.1720426678657532E-2</v>
      </c>
      <c r="GX320">
        <v>6.2365591526031494E-2</v>
      </c>
      <c r="GY320">
        <v>0.11612903326749802</v>
      </c>
      <c r="GZ320">
        <v>5.8064516633749008E-2</v>
      </c>
      <c r="HA320">
        <v>8.1720426678657532E-2</v>
      </c>
      <c r="HB320">
        <v>9.2473119497299194E-2</v>
      </c>
      <c r="HC320">
        <v>6.6666670143604279E-2</v>
      </c>
      <c r="HD320">
        <v>6.4516127109527588E-2</v>
      </c>
      <c r="HE320">
        <v>5.5913977324962616E-2</v>
      </c>
      <c r="HF320">
        <v>8.3870969712734222E-2</v>
      </c>
      <c r="HG320">
        <v>6.4516127109527588E-2</v>
      </c>
      <c r="HH320">
        <v>9.0322583913803101E-2</v>
      </c>
      <c r="HI320">
        <v>6.8817205727100372E-2</v>
      </c>
      <c r="HJ320">
        <v>9.0322583913803101E-2</v>
      </c>
      <c r="HK320">
        <v>8.6021505296230316E-2</v>
      </c>
      <c r="HL320">
        <v>7.311827689409256E-2</v>
      </c>
      <c r="HM320">
        <v>6.0215052217245102E-2</v>
      </c>
      <c r="HN320">
        <v>0.10107526928186417</v>
      </c>
      <c r="HO320">
        <v>7.0967741310596466E-2</v>
      </c>
      <c r="HP320">
        <v>7.0967741310596466E-2</v>
      </c>
      <c r="HQ320">
        <v>4.9462366849184036E-2</v>
      </c>
      <c r="HR320">
        <v>0.10537634044885635</v>
      </c>
      <c r="HS320">
        <v>4.7311827540397644E-2</v>
      </c>
      <c r="HT320">
        <v>4.0860213339328766E-2</v>
      </c>
      <c r="HU320">
        <v>7.0967741310596466E-2</v>
      </c>
      <c r="HV320">
        <v>7.9569891095161438E-2</v>
      </c>
      <c r="HW320">
        <v>7.526881992816925E-2</v>
      </c>
      <c r="HX320">
        <v>0.17204301059246063</v>
      </c>
      <c r="HY320">
        <v>0.10967741906642914</v>
      </c>
      <c r="HZ320">
        <v>0.14623655378818512</v>
      </c>
      <c r="IA320">
        <v>6.6666670143604279E-2</v>
      </c>
      <c r="IB320">
        <v>7.311827689409256E-2</v>
      </c>
      <c r="IC320">
        <v>8.3870969712734222E-2</v>
      </c>
      <c r="ID320">
        <v>4.7311827540397644E-2</v>
      </c>
      <c r="IE320">
        <v>8.6021505296230316E-2</v>
      </c>
      <c r="IF320">
        <v>7.9569891095161438E-2</v>
      </c>
      <c r="IG320">
        <v>5.8064516633749008E-2</v>
      </c>
      <c r="IH320">
        <v>7.0967741310596466E-2</v>
      </c>
      <c r="II320">
        <v>7.9569891095161438E-2</v>
      </c>
      <c r="IJ320">
        <v>5.5913977324962616E-2</v>
      </c>
      <c r="IK320">
        <v>6.2365591526031494E-2</v>
      </c>
      <c r="IL320">
        <v>0.11182795464992523</v>
      </c>
      <c r="IM320">
        <v>7.7419355511665344E-2</v>
      </c>
      <c r="IN320">
        <v>6.6666670143604279E-2</v>
      </c>
      <c r="IO320">
        <v>6.8817205727100372E-2</v>
      </c>
      <c r="IP320">
        <v>5.3763441741466522E-2</v>
      </c>
      <c r="IQ320">
        <v>0.11182795464992523</v>
      </c>
      <c r="IR320">
        <v>7.311827689409256E-2</v>
      </c>
      <c r="IS320">
        <v>6.2365591526031494E-2</v>
      </c>
      <c r="IT320">
        <v>8.3870969712734222E-2</v>
      </c>
      <c r="IU320">
        <v>7.9569891095161438E-2</v>
      </c>
      <c r="IV320">
        <v>6.0215052217245102E-2</v>
      </c>
      <c r="IW320">
        <v>9.2473119497299194E-2</v>
      </c>
      <c r="IX320">
        <v>4.7311827540397644E-2</v>
      </c>
      <c r="IY320">
        <v>5.5913977324962616E-2</v>
      </c>
      <c r="IZ320">
        <v>9.4623655080795288E-2</v>
      </c>
      <c r="JA320">
        <v>5.8064516633749008E-2</v>
      </c>
      <c r="JB320">
        <v>6.2365591526031494E-2</v>
      </c>
      <c r="JC320">
        <v>4.7311827540397644E-2</v>
      </c>
      <c r="JD320">
        <v>7.9569891095161438E-2</v>
      </c>
      <c r="JE320">
        <v>9.0322583913803101E-2</v>
      </c>
      <c r="JF320">
        <v>8.3870969712734222E-2</v>
      </c>
      <c r="JG320">
        <v>6.4516127109527588E-2</v>
      </c>
      <c r="JH320">
        <v>7.526881992816925E-2</v>
      </c>
      <c r="JI320">
        <v>7.311827689409256E-2</v>
      </c>
      <c r="JJ320">
        <v>6.8817205727100372E-2</v>
      </c>
      <c r="JK320">
        <v>6.0215052217245102E-2</v>
      </c>
      <c r="JL320">
        <v>9.4623655080795288E-2</v>
      </c>
      <c r="JM320">
        <v>7.526881992816925E-2</v>
      </c>
      <c r="JN320">
        <v>8.6021505296230316E-2</v>
      </c>
      <c r="JO320">
        <v>7.526881992816925E-2</v>
      </c>
      <c r="JP320">
        <v>7.9569891095161438E-2</v>
      </c>
      <c r="JQ320">
        <v>4.3010752648115158E-2</v>
      </c>
      <c r="JR320">
        <v>6.0215052217245102E-2</v>
      </c>
      <c r="JS320">
        <v>5.161290243268013E-2</v>
      </c>
      <c r="JT320">
        <v>6.4516127109527588E-2</v>
      </c>
      <c r="JU320">
        <v>7.9569891095161438E-2</v>
      </c>
      <c r="JV320">
        <v>9.0322583913803101E-2</v>
      </c>
      <c r="JW320">
        <v>7.526881992816925E-2</v>
      </c>
      <c r="JX320">
        <v>7.526881992816925E-2</v>
      </c>
      <c r="JY320">
        <v>7.9569891095161438E-2</v>
      </c>
      <c r="JZ320">
        <v>6.2365591526031494E-2</v>
      </c>
      <c r="KA320">
        <v>7.526881992816925E-2</v>
      </c>
      <c r="KB320">
        <v>0.11612903326749802</v>
      </c>
      <c r="KC320">
        <v>7.311827689409256E-2</v>
      </c>
      <c r="KD320">
        <v>7.7419355511665344E-2</v>
      </c>
      <c r="KE320">
        <v>6.4516127109527588E-2</v>
      </c>
      <c r="KF320">
        <v>5.8064516633749008E-2</v>
      </c>
      <c r="KG320">
        <v>8.1720426678657532E-2</v>
      </c>
      <c r="KH320">
        <v>3.8709677755832672E-2</v>
      </c>
      <c r="KI320">
        <v>0.10107526928186417</v>
      </c>
      <c r="KJ320">
        <v>0.13763441145420074</v>
      </c>
      <c r="KK320">
        <v>8.3870969712734222E-2</v>
      </c>
      <c r="KL320">
        <v>0.10537634044885635</v>
      </c>
      <c r="KM320">
        <v>6.8817205727100372E-2</v>
      </c>
      <c r="KN320">
        <v>7.0967741310596466E-2</v>
      </c>
      <c r="KO320">
        <v>6.8817205727100372E-2</v>
      </c>
      <c r="KP320">
        <v>9.4623655080795288E-2</v>
      </c>
      <c r="KQ320">
        <v>7.526881992816925E-2</v>
      </c>
      <c r="KR320">
        <v>7.311827689409256E-2</v>
      </c>
      <c r="KS320">
        <v>7.526881992816925E-2</v>
      </c>
      <c r="KT320">
        <v>8.1720426678657532E-2</v>
      </c>
      <c r="KU320">
        <v>8.817204087972641E-2</v>
      </c>
      <c r="KV320">
        <v>7.0967741310596466E-2</v>
      </c>
    </row>
    <row r="321" spans="4:310" x14ac:dyDescent="0.25">
      <c r="D321" s="41" t="str" cm="1">
        <f t="array" ref="D321">IF(H321="","",IF(AND(E321&lt;AVERAGE(E320,E322)*($L$19/100),$D$23:D320=""),H321,""))</f>
        <v/>
      </c>
      <c r="E321" s="78">
        <f t="shared" si="5"/>
        <v>3.8530459954786433E-3</v>
      </c>
      <c r="F321" s="79"/>
      <c r="H321">
        <v>299</v>
      </c>
      <c r="I321">
        <v>7.7903045995478648E-2</v>
      </c>
      <c r="K321">
        <v>7.0564515888690948E-2</v>
      </c>
      <c r="L321">
        <v>0.13104838132858276</v>
      </c>
      <c r="M321">
        <v>6.25E-2</v>
      </c>
      <c r="N321">
        <v>7.8629031777381897E-2</v>
      </c>
      <c r="O321">
        <v>6.8548388779163361E-2</v>
      </c>
      <c r="P321">
        <v>8.0645158886909485E-2</v>
      </c>
      <c r="Q321">
        <v>8.266129344701767E-2</v>
      </c>
      <c r="R321">
        <v>9.2741936445236206E-2</v>
      </c>
      <c r="S321">
        <v>8.0645158886909485E-2</v>
      </c>
      <c r="T321">
        <v>6.8548388779163361E-2</v>
      </c>
      <c r="U321">
        <v>7.8629031777381897E-2</v>
      </c>
      <c r="V321">
        <v>6.4516127109527588E-2</v>
      </c>
      <c r="W321">
        <v>6.8548388779163361E-2</v>
      </c>
      <c r="X321">
        <v>5.4435484111309052E-2</v>
      </c>
      <c r="Y321">
        <v>0.13508065044879913</v>
      </c>
      <c r="Z321">
        <v>5.6451611220836639E-2</v>
      </c>
      <c r="AA321">
        <v>5.6451611220836639E-2</v>
      </c>
      <c r="AB321">
        <v>0.11088709533214569</v>
      </c>
      <c r="AC321">
        <v>7.4596777558326721E-2</v>
      </c>
      <c r="AD321">
        <v>0.11088709533214569</v>
      </c>
      <c r="AE321">
        <v>8.0645158886909485E-2</v>
      </c>
      <c r="AF321">
        <v>4.4354837387800217E-2</v>
      </c>
      <c r="AG321">
        <v>7.0564515888690948E-2</v>
      </c>
      <c r="AH321">
        <v>5.2419353276491165E-2</v>
      </c>
      <c r="AI321">
        <v>6.25E-2</v>
      </c>
      <c r="AJ321">
        <v>0.13911290466785431</v>
      </c>
      <c r="AK321">
        <v>6.8548388779163361E-2</v>
      </c>
      <c r="AL321">
        <v>5.2419353276491165E-2</v>
      </c>
      <c r="AM321">
        <v>7.2580642998218536E-2</v>
      </c>
      <c r="AN321">
        <v>8.8709674775600433E-2</v>
      </c>
      <c r="AO321">
        <v>7.2580642998218536E-2</v>
      </c>
      <c r="AP321">
        <v>5.2419353276491165E-2</v>
      </c>
      <c r="AQ321">
        <v>0.12903225421905518</v>
      </c>
      <c r="AR321">
        <v>7.0564515888690948E-2</v>
      </c>
      <c r="AS321">
        <v>4.8387095332145691E-2</v>
      </c>
      <c r="AT321">
        <v>6.25E-2</v>
      </c>
      <c r="AU321">
        <v>0.12096773833036423</v>
      </c>
      <c r="AV321">
        <v>6.6532261669635773E-2</v>
      </c>
      <c r="AW321">
        <v>5.4435484111309052E-2</v>
      </c>
      <c r="AX321">
        <v>8.4677420556545258E-2</v>
      </c>
      <c r="AY321">
        <v>6.4516127109527588E-2</v>
      </c>
      <c r="AZ321">
        <v>0.10322580486536026</v>
      </c>
      <c r="BA321">
        <v>5.5913977324962616E-2</v>
      </c>
      <c r="BB321">
        <v>7.0967741310596466E-2</v>
      </c>
      <c r="BC321">
        <v>9.0322583913803101E-2</v>
      </c>
      <c r="BD321">
        <v>6.8817205727100372E-2</v>
      </c>
      <c r="BE321">
        <v>6.6666670143604279E-2</v>
      </c>
      <c r="BF321">
        <v>8.1720426678657532E-2</v>
      </c>
      <c r="BG321">
        <v>0.11397849768400192</v>
      </c>
      <c r="BH321">
        <v>8.6021505296230316E-2</v>
      </c>
      <c r="BI321">
        <v>7.311827689409256E-2</v>
      </c>
      <c r="BJ321">
        <v>9.8924733698368073E-2</v>
      </c>
      <c r="BK321">
        <v>5.161290243268013E-2</v>
      </c>
      <c r="BL321">
        <v>7.7419355511665344E-2</v>
      </c>
      <c r="BM321">
        <v>6.0215052217245102E-2</v>
      </c>
      <c r="BN321">
        <v>8.6021505296230316E-2</v>
      </c>
      <c r="BO321">
        <v>6.2365591526031494E-2</v>
      </c>
      <c r="BP321">
        <v>9.8924733698368073E-2</v>
      </c>
      <c r="BQ321">
        <v>0.12258064746856689</v>
      </c>
      <c r="BR321">
        <v>7.311827689409256E-2</v>
      </c>
      <c r="BS321">
        <v>6.8817205727100372E-2</v>
      </c>
      <c r="BT321">
        <v>4.0860213339328766E-2</v>
      </c>
      <c r="BU321">
        <v>5.5913977324962616E-2</v>
      </c>
      <c r="BV321">
        <v>0.10107526928186417</v>
      </c>
      <c r="BW321">
        <v>7.0967741310596466E-2</v>
      </c>
      <c r="BX321">
        <v>4.9462366849184036E-2</v>
      </c>
      <c r="BY321">
        <v>0.11397849768400192</v>
      </c>
      <c r="BZ321">
        <v>7.311827689409256E-2</v>
      </c>
      <c r="CA321">
        <v>0.10107526928186417</v>
      </c>
      <c r="CB321">
        <v>9.8924733698368073E-2</v>
      </c>
      <c r="CC321">
        <v>9.0322583913803101E-2</v>
      </c>
      <c r="CD321">
        <v>0.10752688348293304</v>
      </c>
      <c r="CE321">
        <v>7.0967741310596466E-2</v>
      </c>
      <c r="CF321">
        <v>6.2365591526031494E-2</v>
      </c>
      <c r="CG321">
        <v>0.13763441145420074</v>
      </c>
      <c r="CH321">
        <v>7.311827689409256E-2</v>
      </c>
      <c r="CI321">
        <v>6.6666670143604279E-2</v>
      </c>
      <c r="CJ321">
        <v>9.6774190664291382E-2</v>
      </c>
      <c r="CK321">
        <v>6.2365591526031494E-2</v>
      </c>
      <c r="CL321">
        <v>7.311827689409256E-2</v>
      </c>
      <c r="CM321">
        <v>5.5913977324962616E-2</v>
      </c>
      <c r="CN321">
        <v>7.9569891095161438E-2</v>
      </c>
      <c r="CO321">
        <v>8.3870969712734222E-2</v>
      </c>
      <c r="CP321">
        <v>9.4623655080795288E-2</v>
      </c>
      <c r="CQ321">
        <v>7.9569891095161438E-2</v>
      </c>
      <c r="CR321">
        <v>7.311827689409256E-2</v>
      </c>
      <c r="CS321">
        <v>6.0215052217245102E-2</v>
      </c>
      <c r="CT321">
        <v>6.2365591526031494E-2</v>
      </c>
      <c r="CU321">
        <v>9.2473119497299194E-2</v>
      </c>
      <c r="CV321">
        <v>4.516129195690155E-2</v>
      </c>
      <c r="CW321">
        <v>5.8064516633749008E-2</v>
      </c>
      <c r="CX321">
        <v>0.10322580486536026</v>
      </c>
      <c r="CY321">
        <v>6.4516127109527588E-2</v>
      </c>
      <c r="CZ321">
        <v>6.6666670143604279E-2</v>
      </c>
      <c r="DA321">
        <v>9.6774190664291382E-2</v>
      </c>
      <c r="DB321">
        <v>8.6021505296230316E-2</v>
      </c>
      <c r="DC321">
        <v>7.526881992816925E-2</v>
      </c>
      <c r="DD321">
        <v>9.4623655080795288E-2</v>
      </c>
      <c r="DE321">
        <v>7.9569891095161438E-2</v>
      </c>
      <c r="DF321">
        <v>8.3870969712734222E-2</v>
      </c>
      <c r="DG321">
        <v>0.10537634044885635</v>
      </c>
      <c r="DH321">
        <v>8.6021505296230316E-2</v>
      </c>
      <c r="DI321">
        <v>7.7419355511665344E-2</v>
      </c>
      <c r="DJ321">
        <v>8.6021505296230316E-2</v>
      </c>
      <c r="DK321">
        <v>5.3763441741466522E-2</v>
      </c>
      <c r="DL321">
        <v>8.3870969712734222E-2</v>
      </c>
      <c r="DM321">
        <v>0.10107526928186417</v>
      </c>
      <c r="DN321">
        <v>7.311827689409256E-2</v>
      </c>
      <c r="DO321">
        <v>9.6774190664291382E-2</v>
      </c>
      <c r="DP321">
        <v>7.9569891095161438E-2</v>
      </c>
      <c r="DQ321">
        <v>7.0967741310596466E-2</v>
      </c>
      <c r="DR321">
        <v>4.7311827540397644E-2</v>
      </c>
      <c r="DS321">
        <v>0.10752688348293304</v>
      </c>
      <c r="DT321">
        <v>6.0215052217245102E-2</v>
      </c>
      <c r="DU321">
        <v>9.0322583913803101E-2</v>
      </c>
      <c r="DV321">
        <v>6.8817205727100372E-2</v>
      </c>
      <c r="DW321">
        <v>8.6021505296230316E-2</v>
      </c>
      <c r="DX321">
        <v>9.8924733698368073E-2</v>
      </c>
      <c r="DY321">
        <v>7.526881992816925E-2</v>
      </c>
      <c r="DZ321">
        <v>9.2473119497299194E-2</v>
      </c>
      <c r="EA321">
        <v>8.6021505296230316E-2</v>
      </c>
      <c r="EB321">
        <v>7.0967741310596466E-2</v>
      </c>
      <c r="EC321">
        <v>5.5913977324962616E-2</v>
      </c>
      <c r="ED321">
        <v>8.3870969712734222E-2</v>
      </c>
      <c r="EE321">
        <v>7.0967741310596466E-2</v>
      </c>
      <c r="EF321">
        <v>0.11397849768400192</v>
      </c>
      <c r="EG321">
        <v>6.8817205727100372E-2</v>
      </c>
      <c r="EH321">
        <v>5.161290243268013E-2</v>
      </c>
      <c r="EI321">
        <v>8.3870969712734222E-2</v>
      </c>
      <c r="EJ321">
        <v>7.311827689409256E-2</v>
      </c>
      <c r="EK321">
        <v>9.8924733698368073E-2</v>
      </c>
      <c r="EL321">
        <v>6.8817205727100372E-2</v>
      </c>
      <c r="EM321">
        <v>6.0215052217245102E-2</v>
      </c>
      <c r="EN321">
        <v>7.311827689409256E-2</v>
      </c>
      <c r="EO321">
        <v>8.6021505296230316E-2</v>
      </c>
      <c r="EP321">
        <v>7.0967741310596466E-2</v>
      </c>
      <c r="EQ321">
        <v>6.2365591526031494E-2</v>
      </c>
      <c r="ER321">
        <v>8.3870969712734222E-2</v>
      </c>
      <c r="ES321">
        <v>6.0215052217245102E-2</v>
      </c>
      <c r="ET321">
        <v>9.8924733698368073E-2</v>
      </c>
      <c r="EU321">
        <v>5.8064516633749008E-2</v>
      </c>
      <c r="EV321">
        <v>8.3870969712734222E-2</v>
      </c>
      <c r="EW321">
        <v>8.3870969712734222E-2</v>
      </c>
      <c r="EX321">
        <v>7.311827689409256E-2</v>
      </c>
      <c r="EY321">
        <v>5.161290243268013E-2</v>
      </c>
      <c r="EZ321">
        <v>8.1720426678657532E-2</v>
      </c>
      <c r="FA321">
        <v>5.5913977324962616E-2</v>
      </c>
      <c r="FB321">
        <v>0.11827956885099411</v>
      </c>
      <c r="FC321">
        <v>8.3870969712734222E-2</v>
      </c>
      <c r="FD321">
        <v>6.2365591526031494E-2</v>
      </c>
      <c r="FE321">
        <v>8.3870969712734222E-2</v>
      </c>
      <c r="FF321">
        <v>7.0967741310596466E-2</v>
      </c>
      <c r="FG321">
        <v>6.8817205727100372E-2</v>
      </c>
      <c r="FH321">
        <v>0.10752688348293304</v>
      </c>
      <c r="FI321">
        <v>0.10322580486536026</v>
      </c>
      <c r="FJ321">
        <v>0.13548387587070465</v>
      </c>
      <c r="FK321">
        <v>8.817204087972641E-2</v>
      </c>
      <c r="FL321">
        <v>5.3763441741466522E-2</v>
      </c>
      <c r="FM321">
        <v>7.0967741310596466E-2</v>
      </c>
      <c r="FN321">
        <v>6.4516127109527588E-2</v>
      </c>
      <c r="FO321">
        <v>6.4516127109527588E-2</v>
      </c>
      <c r="FP321">
        <v>0.11827956885099411</v>
      </c>
      <c r="FQ321">
        <v>4.9462366849184036E-2</v>
      </c>
      <c r="FR321">
        <v>0.11612903326749802</v>
      </c>
      <c r="FS321">
        <v>6.2365591526031494E-2</v>
      </c>
      <c r="FT321">
        <v>0.10752688348293304</v>
      </c>
      <c r="FU321">
        <v>6.6666670143604279E-2</v>
      </c>
      <c r="FV321">
        <v>7.526881992816925E-2</v>
      </c>
      <c r="FW321">
        <v>8.1720426678657532E-2</v>
      </c>
      <c r="FX321">
        <v>9.8924733698368073E-2</v>
      </c>
      <c r="FY321">
        <v>6.8817205727100372E-2</v>
      </c>
      <c r="FZ321">
        <v>5.5913977324962616E-2</v>
      </c>
      <c r="GA321">
        <v>7.7419355511665344E-2</v>
      </c>
      <c r="GB321">
        <v>7.0967741310596466E-2</v>
      </c>
      <c r="GC321">
        <v>0.10752688348293304</v>
      </c>
      <c r="GD321">
        <v>8.3870969712734222E-2</v>
      </c>
      <c r="GE321">
        <v>6.0215052217245102E-2</v>
      </c>
      <c r="GF321">
        <v>0.16344085335731506</v>
      </c>
      <c r="GG321">
        <v>5.161290243268013E-2</v>
      </c>
      <c r="GH321">
        <v>4.9462366849184036E-2</v>
      </c>
      <c r="GI321">
        <v>8.817204087972641E-2</v>
      </c>
      <c r="GJ321">
        <v>7.526881992816925E-2</v>
      </c>
      <c r="GK321">
        <v>6.6666670143604279E-2</v>
      </c>
      <c r="GL321">
        <v>6.4516127109527588E-2</v>
      </c>
      <c r="GM321">
        <v>8.6021505296230316E-2</v>
      </c>
      <c r="GN321">
        <v>6.6666670143604279E-2</v>
      </c>
      <c r="GO321">
        <v>6.2365591526031494E-2</v>
      </c>
      <c r="GP321">
        <v>7.311827689409256E-2</v>
      </c>
      <c r="GQ321">
        <v>6.2365591526031494E-2</v>
      </c>
      <c r="GR321">
        <v>9.0322583913803101E-2</v>
      </c>
      <c r="GS321">
        <v>5.8064516633749008E-2</v>
      </c>
      <c r="GT321">
        <v>5.5913977324962616E-2</v>
      </c>
      <c r="GU321">
        <v>6.4516127109527588E-2</v>
      </c>
      <c r="GV321">
        <v>6.8817205727100372E-2</v>
      </c>
      <c r="GW321">
        <v>7.0967741310596466E-2</v>
      </c>
      <c r="GX321">
        <v>7.311827689409256E-2</v>
      </c>
      <c r="GY321">
        <v>6.8817205727100372E-2</v>
      </c>
      <c r="GZ321">
        <v>7.311827689409256E-2</v>
      </c>
      <c r="HA321">
        <v>6.8817205727100372E-2</v>
      </c>
      <c r="HB321">
        <v>9.6774190664291382E-2</v>
      </c>
      <c r="HC321">
        <v>8.3870969712734222E-2</v>
      </c>
      <c r="HD321">
        <v>4.7311827540397644E-2</v>
      </c>
      <c r="HE321">
        <v>6.6666670143604279E-2</v>
      </c>
      <c r="HF321">
        <v>7.7419355511665344E-2</v>
      </c>
      <c r="HG321">
        <v>6.8817205727100372E-2</v>
      </c>
      <c r="HH321">
        <v>5.161290243268013E-2</v>
      </c>
      <c r="HI321">
        <v>0.11182795464992523</v>
      </c>
      <c r="HJ321">
        <v>6.2365591526031494E-2</v>
      </c>
      <c r="HK321">
        <v>7.0967741310596466E-2</v>
      </c>
      <c r="HL321">
        <v>6.2365591526031494E-2</v>
      </c>
      <c r="HM321">
        <v>9.0322583913803101E-2</v>
      </c>
      <c r="HN321">
        <v>7.7419355511665344E-2</v>
      </c>
      <c r="HO321">
        <v>6.4516127109527588E-2</v>
      </c>
      <c r="HP321">
        <v>6.6666670143604279E-2</v>
      </c>
      <c r="HQ321">
        <v>6.8817205727100372E-2</v>
      </c>
      <c r="HR321">
        <v>7.311827689409256E-2</v>
      </c>
      <c r="HS321">
        <v>0.10752688348293304</v>
      </c>
      <c r="HT321">
        <v>6.6666670143604279E-2</v>
      </c>
      <c r="HU321">
        <v>6.8817205727100372E-2</v>
      </c>
      <c r="HV321">
        <v>7.7419355511665344E-2</v>
      </c>
      <c r="HW321">
        <v>3.4408602863550186E-2</v>
      </c>
      <c r="HX321">
        <v>0.10967741906642914</v>
      </c>
      <c r="HY321">
        <v>0.10322580486536026</v>
      </c>
      <c r="HZ321">
        <v>0.10537634044885635</v>
      </c>
      <c r="IA321">
        <v>6.2365591526031494E-2</v>
      </c>
      <c r="IB321">
        <v>9.2473119497299194E-2</v>
      </c>
      <c r="IC321">
        <v>0.10752688348293304</v>
      </c>
      <c r="ID321">
        <v>4.7311827540397644E-2</v>
      </c>
      <c r="IE321">
        <v>9.8924733698368073E-2</v>
      </c>
      <c r="IF321">
        <v>4.7311827540397644E-2</v>
      </c>
      <c r="IG321">
        <v>6.6666670143604279E-2</v>
      </c>
      <c r="IH321">
        <v>0.10752688348293304</v>
      </c>
      <c r="II321">
        <v>6.8817205727100372E-2</v>
      </c>
      <c r="IJ321">
        <v>8.1720426678657532E-2</v>
      </c>
      <c r="IK321">
        <v>6.6666670143604279E-2</v>
      </c>
      <c r="IL321">
        <v>6.0215052217245102E-2</v>
      </c>
      <c r="IM321">
        <v>6.4516127109527588E-2</v>
      </c>
      <c r="IN321">
        <v>0.10107526928186417</v>
      </c>
      <c r="IO321">
        <v>5.8064516633749008E-2</v>
      </c>
      <c r="IP321">
        <v>9.6774190664291382E-2</v>
      </c>
      <c r="IQ321">
        <v>6.8817205727100372E-2</v>
      </c>
      <c r="IR321">
        <v>0.10107526928186417</v>
      </c>
      <c r="IS321">
        <v>7.9569891095161438E-2</v>
      </c>
      <c r="IT321">
        <v>9.6774190664291382E-2</v>
      </c>
      <c r="IU321">
        <v>8.817204087972641E-2</v>
      </c>
      <c r="IV321">
        <v>6.8817205727100372E-2</v>
      </c>
      <c r="IW321">
        <v>5.5913977324962616E-2</v>
      </c>
      <c r="IX321">
        <v>5.3763441741466522E-2</v>
      </c>
      <c r="IY321">
        <v>6.2365591526031494E-2</v>
      </c>
      <c r="IZ321">
        <v>7.0967741310596466E-2</v>
      </c>
      <c r="JA321">
        <v>8.1720426678657532E-2</v>
      </c>
      <c r="JB321">
        <v>6.2365591526031494E-2</v>
      </c>
      <c r="JC321">
        <v>7.9569891095161438E-2</v>
      </c>
      <c r="JD321">
        <v>7.526881992816925E-2</v>
      </c>
      <c r="JE321">
        <v>5.5913977324962616E-2</v>
      </c>
      <c r="JF321">
        <v>5.5913977324962616E-2</v>
      </c>
      <c r="JG321">
        <v>0.11182795464992523</v>
      </c>
      <c r="JH321">
        <v>5.3763441741466522E-2</v>
      </c>
      <c r="JI321">
        <v>0.11612903326749802</v>
      </c>
      <c r="JJ321">
        <v>4.516129195690155E-2</v>
      </c>
      <c r="JK321">
        <v>0.10107526928186417</v>
      </c>
      <c r="JL321">
        <v>8.6021505296230316E-2</v>
      </c>
      <c r="JM321">
        <v>6.0215052217245102E-2</v>
      </c>
      <c r="JN321">
        <v>6.0215052217245102E-2</v>
      </c>
      <c r="JO321">
        <v>9.2473119497299194E-2</v>
      </c>
      <c r="JP321">
        <v>5.8064516633749008E-2</v>
      </c>
      <c r="JQ321">
        <v>8.6021505296230316E-2</v>
      </c>
      <c r="JR321">
        <v>4.516129195690155E-2</v>
      </c>
      <c r="JS321">
        <v>8.3870969712734222E-2</v>
      </c>
      <c r="JT321">
        <v>0.10322580486536026</v>
      </c>
      <c r="JU321">
        <v>9.0322583913803101E-2</v>
      </c>
      <c r="JV321">
        <v>0.10322580486536026</v>
      </c>
      <c r="JW321">
        <v>6.4516127109527588E-2</v>
      </c>
      <c r="JX321">
        <v>6.4516127109527588E-2</v>
      </c>
      <c r="JY321">
        <v>0.10537634044885635</v>
      </c>
      <c r="JZ321">
        <v>7.311827689409256E-2</v>
      </c>
      <c r="KA321">
        <v>8.3870969712734222E-2</v>
      </c>
      <c r="KB321">
        <v>6.2365591526031494E-2</v>
      </c>
      <c r="KC321">
        <v>7.526881992816925E-2</v>
      </c>
      <c r="KD321">
        <v>6.4516127109527588E-2</v>
      </c>
      <c r="KE321">
        <v>9.0322583913803101E-2</v>
      </c>
      <c r="KF321">
        <v>7.9569891095161438E-2</v>
      </c>
      <c r="KG321">
        <v>6.0215052217245102E-2</v>
      </c>
      <c r="KH321">
        <v>0.11612903326749802</v>
      </c>
      <c r="KI321">
        <v>7.311827689409256E-2</v>
      </c>
      <c r="KJ321">
        <v>8.1720426678657532E-2</v>
      </c>
      <c r="KK321">
        <v>9.2473119497299194E-2</v>
      </c>
      <c r="KL321">
        <v>8.3870969712734222E-2</v>
      </c>
      <c r="KM321">
        <v>5.5913977324962616E-2</v>
      </c>
      <c r="KN321">
        <v>7.526881992816925E-2</v>
      </c>
      <c r="KO321">
        <v>9.0322583913803101E-2</v>
      </c>
      <c r="KP321">
        <v>9.2473119497299194E-2</v>
      </c>
      <c r="KQ321">
        <v>6.2365591526031494E-2</v>
      </c>
      <c r="KR321">
        <v>7.7419355511665344E-2</v>
      </c>
      <c r="KS321">
        <v>6.4516127109527588E-2</v>
      </c>
      <c r="KT321">
        <v>8.817204087972641E-2</v>
      </c>
      <c r="KU321">
        <v>7.0967741310596466E-2</v>
      </c>
      <c r="KV321">
        <v>5.161290243268013E-2</v>
      </c>
      <c r="KW321">
        <v>8.817204087972641E-2</v>
      </c>
    </row>
    <row r="322" spans="4:310" x14ac:dyDescent="0.25">
      <c r="D322" s="41" t="str" cm="1">
        <f t="array" ref="D322">IF(H322="","",IF(AND(E322&lt;AVERAGE(E321,E323)*($L$19/100),$D$23:D321=""),H322,""))</f>
        <v/>
      </c>
      <c r="E322" s="78">
        <f t="shared" si="5"/>
        <v>4.6520608906944483E-3</v>
      </c>
      <c r="F322" s="79"/>
      <c r="H322">
        <v>300</v>
      </c>
      <c r="I322">
        <v>7.8702060890694453E-2</v>
      </c>
      <c r="K322">
        <v>7.4596777558326721E-2</v>
      </c>
      <c r="L322">
        <v>8.266129344701767E-2</v>
      </c>
      <c r="M322">
        <v>6.4516127109527588E-2</v>
      </c>
      <c r="N322">
        <v>9.0725809335708618E-2</v>
      </c>
      <c r="O322">
        <v>9.8790325224399567E-2</v>
      </c>
      <c r="P322">
        <v>6.4516127109527588E-2</v>
      </c>
      <c r="Q322">
        <v>7.0564515888690948E-2</v>
      </c>
      <c r="R322">
        <v>6.6532261669635773E-2</v>
      </c>
      <c r="S322">
        <v>7.8629031777381897E-2</v>
      </c>
      <c r="T322">
        <v>5.2419353276491165E-2</v>
      </c>
      <c r="U322">
        <v>7.311827689409256E-2</v>
      </c>
      <c r="V322">
        <v>8.6021505296230316E-2</v>
      </c>
      <c r="W322">
        <v>8.1720426678657532E-2</v>
      </c>
      <c r="X322">
        <v>8.6021505296230316E-2</v>
      </c>
      <c r="Y322">
        <v>5.8064516633749008E-2</v>
      </c>
      <c r="Z322">
        <v>7.9569891095161438E-2</v>
      </c>
      <c r="AA322">
        <v>5.161290243268013E-2</v>
      </c>
      <c r="AB322">
        <v>5.5913977324962616E-2</v>
      </c>
      <c r="AC322">
        <v>6.8817205727100372E-2</v>
      </c>
      <c r="AD322">
        <v>6.4516127109527588E-2</v>
      </c>
      <c r="AE322">
        <v>7.311827689409256E-2</v>
      </c>
      <c r="AF322">
        <v>7.0967741310596466E-2</v>
      </c>
      <c r="AG322">
        <v>9.6774190664291382E-2</v>
      </c>
      <c r="AH322">
        <v>6.2365591526031494E-2</v>
      </c>
      <c r="AI322">
        <v>0.11182795464992523</v>
      </c>
      <c r="AJ322">
        <v>7.526881992816925E-2</v>
      </c>
      <c r="AK322">
        <v>7.7419355511665344E-2</v>
      </c>
      <c r="AL322">
        <v>4.516129195690155E-2</v>
      </c>
      <c r="AM322">
        <v>6.6666670143604279E-2</v>
      </c>
      <c r="AN322">
        <v>6.6666670143604279E-2</v>
      </c>
      <c r="AO322">
        <v>7.7419355511665344E-2</v>
      </c>
      <c r="AP322">
        <v>7.0967741310596466E-2</v>
      </c>
      <c r="AQ322">
        <v>9.6774190664291382E-2</v>
      </c>
      <c r="AR322">
        <v>7.9569891095161438E-2</v>
      </c>
      <c r="AS322">
        <v>7.9569891095161438E-2</v>
      </c>
      <c r="AT322">
        <v>7.7419355511665344E-2</v>
      </c>
      <c r="AU322">
        <v>6.6666670143604279E-2</v>
      </c>
      <c r="AV322">
        <v>0.10107526928186417</v>
      </c>
      <c r="AW322">
        <v>7.311827689409256E-2</v>
      </c>
      <c r="AX322">
        <v>6.6666670143604279E-2</v>
      </c>
      <c r="AY322">
        <v>6.4516127109527588E-2</v>
      </c>
      <c r="AZ322">
        <v>9.4623655080795288E-2</v>
      </c>
      <c r="BA322">
        <v>7.7419355511665344E-2</v>
      </c>
      <c r="BB322">
        <v>6.2365591526031494E-2</v>
      </c>
      <c r="BC322">
        <v>0.11612903326749802</v>
      </c>
      <c r="BD322">
        <v>5.8064516633749008E-2</v>
      </c>
      <c r="BE322">
        <v>7.7419355511665344E-2</v>
      </c>
      <c r="BF322">
        <v>6.2365591526031494E-2</v>
      </c>
      <c r="BG322">
        <v>0.13118278980255127</v>
      </c>
      <c r="BH322">
        <v>7.7419355511665344E-2</v>
      </c>
      <c r="BI322">
        <v>6.6666670143604279E-2</v>
      </c>
      <c r="BJ322">
        <v>6.2365591526031494E-2</v>
      </c>
      <c r="BK322">
        <v>7.0967741310596466E-2</v>
      </c>
      <c r="BL322">
        <v>7.526881992816925E-2</v>
      </c>
      <c r="BM322">
        <v>7.9569891095161438E-2</v>
      </c>
      <c r="BN322">
        <v>6.6666670143604279E-2</v>
      </c>
      <c r="BO322">
        <v>0.11827956885099411</v>
      </c>
      <c r="BP322">
        <v>5.5913977324962616E-2</v>
      </c>
      <c r="BQ322">
        <v>9.2473119497299194E-2</v>
      </c>
      <c r="BR322">
        <v>7.0967741310596466E-2</v>
      </c>
      <c r="BS322">
        <v>5.161290243268013E-2</v>
      </c>
      <c r="BT322">
        <v>6.4516127109527588E-2</v>
      </c>
      <c r="BU322">
        <v>8.1720426678657532E-2</v>
      </c>
      <c r="BV322">
        <v>5.161290243268013E-2</v>
      </c>
      <c r="BW322">
        <v>5.5913977324962616E-2</v>
      </c>
      <c r="BX322">
        <v>0.10107526928186417</v>
      </c>
      <c r="BY322">
        <v>8.817204087972641E-2</v>
      </c>
      <c r="BZ322">
        <v>8.817204087972641E-2</v>
      </c>
      <c r="CA322">
        <v>7.311827689409256E-2</v>
      </c>
      <c r="CB322">
        <v>6.8817205727100372E-2</v>
      </c>
      <c r="CC322">
        <v>8.6021505296230316E-2</v>
      </c>
      <c r="CD322">
        <v>5.3763441741466522E-2</v>
      </c>
      <c r="CE322">
        <v>9.2473119497299194E-2</v>
      </c>
      <c r="CF322">
        <v>7.526881992816925E-2</v>
      </c>
      <c r="CG322">
        <v>9.0322583913803101E-2</v>
      </c>
      <c r="CH322">
        <v>8.1720426678657532E-2</v>
      </c>
      <c r="CI322">
        <v>8.1720426678657532E-2</v>
      </c>
      <c r="CJ322">
        <v>5.5913977324962616E-2</v>
      </c>
      <c r="CK322">
        <v>6.8817205727100372E-2</v>
      </c>
      <c r="CL322">
        <v>6.8817205727100372E-2</v>
      </c>
      <c r="CM322">
        <v>7.526881992816925E-2</v>
      </c>
      <c r="CN322">
        <v>6.0215052217245102E-2</v>
      </c>
      <c r="CO322">
        <v>5.8064516633749008E-2</v>
      </c>
      <c r="CP322">
        <v>9.2473119497299194E-2</v>
      </c>
      <c r="CQ322">
        <v>6.2365591526031494E-2</v>
      </c>
      <c r="CR322">
        <v>5.161290243268013E-2</v>
      </c>
      <c r="CS322">
        <v>7.311827689409256E-2</v>
      </c>
      <c r="CT322">
        <v>7.526881992816925E-2</v>
      </c>
      <c r="CU322">
        <v>9.2473119497299194E-2</v>
      </c>
      <c r="CV322">
        <v>7.9569891095161438E-2</v>
      </c>
      <c r="CW322">
        <v>9.2473119497299194E-2</v>
      </c>
      <c r="CX322">
        <v>5.8064516633749008E-2</v>
      </c>
      <c r="CY322">
        <v>9.6774190664291382E-2</v>
      </c>
      <c r="CZ322">
        <v>6.4516127109527588E-2</v>
      </c>
      <c r="DA322">
        <v>5.3763441741466522E-2</v>
      </c>
      <c r="DB322">
        <v>0.13118278980255127</v>
      </c>
      <c r="DC322">
        <v>7.7419355511665344E-2</v>
      </c>
      <c r="DD322">
        <v>0.10322580486536026</v>
      </c>
      <c r="DE322">
        <v>7.7419355511665344E-2</v>
      </c>
      <c r="DF322">
        <v>8.1720426678657532E-2</v>
      </c>
      <c r="DG322">
        <v>0.12688171863555908</v>
      </c>
      <c r="DH322">
        <v>6.6666670143604279E-2</v>
      </c>
      <c r="DI322">
        <v>0.10752688348293304</v>
      </c>
      <c r="DJ322">
        <v>0.10967741906642914</v>
      </c>
      <c r="DK322">
        <v>0.10967741906642914</v>
      </c>
      <c r="DL322">
        <v>6.6666670143604279E-2</v>
      </c>
      <c r="DM322">
        <v>0.11397849768400192</v>
      </c>
      <c r="DN322">
        <v>7.7419355511665344E-2</v>
      </c>
      <c r="DO322">
        <v>5.5913977324962616E-2</v>
      </c>
      <c r="DP322">
        <v>8.1720426678657532E-2</v>
      </c>
      <c r="DQ322">
        <v>6.6666670143604279E-2</v>
      </c>
      <c r="DR322">
        <v>6.6666670143604279E-2</v>
      </c>
      <c r="DS322">
        <v>0.10752688348293304</v>
      </c>
      <c r="DT322">
        <v>6.8817205727100372E-2</v>
      </c>
      <c r="DU322">
        <v>8.1720426678657532E-2</v>
      </c>
      <c r="DV322">
        <v>6.2365591526031494E-2</v>
      </c>
      <c r="DW322">
        <v>0.10537634044885635</v>
      </c>
      <c r="DX322">
        <v>0.10107526928186417</v>
      </c>
      <c r="DY322">
        <v>8.817204087972641E-2</v>
      </c>
      <c r="DZ322">
        <v>9.6774190664291382E-2</v>
      </c>
      <c r="EA322">
        <v>7.526881992816925E-2</v>
      </c>
      <c r="EB322">
        <v>6.4516127109527588E-2</v>
      </c>
      <c r="EC322">
        <v>7.7419355511665344E-2</v>
      </c>
      <c r="ED322">
        <v>6.8817205727100372E-2</v>
      </c>
      <c r="EE322">
        <v>7.7419355511665344E-2</v>
      </c>
      <c r="EF322">
        <v>6.4516127109527588E-2</v>
      </c>
      <c r="EG322">
        <v>8.3870969712734222E-2</v>
      </c>
      <c r="EH322">
        <v>7.311827689409256E-2</v>
      </c>
      <c r="EI322">
        <v>5.3763441741466522E-2</v>
      </c>
      <c r="EJ322">
        <v>6.0215052217245102E-2</v>
      </c>
      <c r="EK322">
        <v>9.8924733698368073E-2</v>
      </c>
      <c r="EL322">
        <v>9.4623655080795288E-2</v>
      </c>
      <c r="EM322">
        <v>8.3870969712734222E-2</v>
      </c>
      <c r="EN322">
        <v>0.10537634044885635</v>
      </c>
      <c r="EO322">
        <v>8.6021505296230316E-2</v>
      </c>
      <c r="EP322">
        <v>6.2365591526031494E-2</v>
      </c>
      <c r="EQ322">
        <v>0.11182795464992523</v>
      </c>
      <c r="ER322">
        <v>6.8817205727100372E-2</v>
      </c>
      <c r="ES322">
        <v>9.6774190664291382E-2</v>
      </c>
      <c r="ET322">
        <v>0.10322580486536026</v>
      </c>
      <c r="EU322">
        <v>9.8924733698368073E-2</v>
      </c>
      <c r="EV322">
        <v>9.6774190664291382E-2</v>
      </c>
      <c r="EW322">
        <v>9.4623655080795288E-2</v>
      </c>
      <c r="EX322">
        <v>7.0967741310596466E-2</v>
      </c>
      <c r="EY322">
        <v>7.7419355511665344E-2</v>
      </c>
      <c r="EZ322">
        <v>7.311827689409256E-2</v>
      </c>
      <c r="FA322">
        <v>0.10967741906642914</v>
      </c>
      <c r="FB322">
        <v>5.3763441741466522E-2</v>
      </c>
      <c r="FC322">
        <v>0.10322580486536026</v>
      </c>
      <c r="FD322">
        <v>5.3763441741466522E-2</v>
      </c>
      <c r="FE322">
        <v>5.8064516633749008E-2</v>
      </c>
      <c r="FF322">
        <v>7.9569891095161438E-2</v>
      </c>
      <c r="FG322">
        <v>6.4516127109527588E-2</v>
      </c>
      <c r="FH322">
        <v>7.7419355511665344E-2</v>
      </c>
      <c r="FI322">
        <v>7.0967741310596466E-2</v>
      </c>
      <c r="FJ322">
        <v>6.4516127109527588E-2</v>
      </c>
      <c r="FK322">
        <v>6.8817205727100372E-2</v>
      </c>
      <c r="FL322">
        <v>9.4623655080795288E-2</v>
      </c>
      <c r="FM322">
        <v>9.0322583913803101E-2</v>
      </c>
      <c r="FN322">
        <v>0.14838708937168121</v>
      </c>
      <c r="FO322">
        <v>6.8817205727100372E-2</v>
      </c>
      <c r="FP322">
        <v>0.10107526928186417</v>
      </c>
      <c r="FQ322">
        <v>7.311827689409256E-2</v>
      </c>
      <c r="FR322">
        <v>0.10322580486536026</v>
      </c>
      <c r="FS322">
        <v>5.5913977324962616E-2</v>
      </c>
      <c r="FT322">
        <v>6.4516127109527588E-2</v>
      </c>
      <c r="FU322">
        <v>8.1720426678657532E-2</v>
      </c>
      <c r="FV322">
        <v>0.10537634044885635</v>
      </c>
      <c r="FW322">
        <v>6.4516127109527588E-2</v>
      </c>
      <c r="FX322">
        <v>6.4516127109527588E-2</v>
      </c>
      <c r="FY322">
        <v>9.8924733698368073E-2</v>
      </c>
      <c r="FZ322">
        <v>7.7419355511665344E-2</v>
      </c>
      <c r="GA322">
        <v>7.526881992816925E-2</v>
      </c>
      <c r="GB322">
        <v>6.2365591526031494E-2</v>
      </c>
      <c r="GC322">
        <v>7.7419355511665344E-2</v>
      </c>
      <c r="GD322">
        <v>0.10107526928186417</v>
      </c>
      <c r="GE322">
        <v>6.4516127109527588E-2</v>
      </c>
      <c r="GF322">
        <v>7.311827689409256E-2</v>
      </c>
      <c r="GG322">
        <v>4.7311827540397644E-2</v>
      </c>
      <c r="GH322">
        <v>8.1720426678657532E-2</v>
      </c>
      <c r="GI322">
        <v>6.2365591526031494E-2</v>
      </c>
      <c r="GJ322">
        <v>9.4623655080795288E-2</v>
      </c>
      <c r="GK322">
        <v>6.4516127109527588E-2</v>
      </c>
      <c r="GL322">
        <v>0.10967741906642914</v>
      </c>
      <c r="GM322">
        <v>7.311827689409256E-2</v>
      </c>
      <c r="GN322">
        <v>7.311827689409256E-2</v>
      </c>
      <c r="GO322">
        <v>8.6021505296230316E-2</v>
      </c>
      <c r="GP322">
        <v>5.5913977324962616E-2</v>
      </c>
      <c r="GQ322">
        <v>6.8817205727100372E-2</v>
      </c>
      <c r="GR322">
        <v>8.3870969712734222E-2</v>
      </c>
      <c r="GS322">
        <v>6.8817205727100372E-2</v>
      </c>
      <c r="GT322">
        <v>8.1720426678657532E-2</v>
      </c>
      <c r="GU322">
        <v>5.161290243268013E-2</v>
      </c>
      <c r="GV322">
        <v>5.3763441741466522E-2</v>
      </c>
      <c r="GW322">
        <v>5.161290243268013E-2</v>
      </c>
      <c r="GX322">
        <v>6.6666670143604279E-2</v>
      </c>
      <c r="GY322">
        <v>7.526881992816925E-2</v>
      </c>
      <c r="GZ322">
        <v>5.8064516633749008E-2</v>
      </c>
      <c r="HA322">
        <v>7.9569891095161438E-2</v>
      </c>
      <c r="HB322">
        <v>6.2365591526031494E-2</v>
      </c>
      <c r="HC322">
        <v>9.0322583913803101E-2</v>
      </c>
      <c r="HD322">
        <v>0.10537634044885635</v>
      </c>
      <c r="HE322">
        <v>6.2365591526031494E-2</v>
      </c>
      <c r="HF322">
        <v>6.8817205727100372E-2</v>
      </c>
      <c r="HG322">
        <v>6.8817205727100372E-2</v>
      </c>
      <c r="HH322">
        <v>8.6021505296230316E-2</v>
      </c>
      <c r="HI322">
        <v>6.8817205727100372E-2</v>
      </c>
      <c r="HJ322">
        <v>6.6666670143604279E-2</v>
      </c>
      <c r="HK322">
        <v>6.2365591526031494E-2</v>
      </c>
      <c r="HL322">
        <v>7.9569891095161438E-2</v>
      </c>
      <c r="HM322">
        <v>6.6666670143604279E-2</v>
      </c>
      <c r="HN322">
        <v>9.6774190664291382E-2</v>
      </c>
      <c r="HO322">
        <v>6.6666670143604279E-2</v>
      </c>
      <c r="HP322">
        <v>0.10322580486536026</v>
      </c>
      <c r="HQ322">
        <v>0.10107526928186417</v>
      </c>
      <c r="HR322">
        <v>0.16989247500896454</v>
      </c>
      <c r="HS322">
        <v>6.8817205727100372E-2</v>
      </c>
      <c r="HT322">
        <v>9.0322583913803101E-2</v>
      </c>
      <c r="HU322">
        <v>8.1720426678657532E-2</v>
      </c>
      <c r="HV322">
        <v>5.5913977324962616E-2</v>
      </c>
      <c r="HW322">
        <v>9.4623655080795288E-2</v>
      </c>
      <c r="HX322">
        <v>0.10537634044885635</v>
      </c>
      <c r="HY322">
        <v>6.4516127109527588E-2</v>
      </c>
      <c r="HZ322">
        <v>9.4623655080795288E-2</v>
      </c>
      <c r="IA322">
        <v>6.0215052217245102E-2</v>
      </c>
      <c r="IB322">
        <v>0.11612903326749802</v>
      </c>
      <c r="IC322">
        <v>6.2365591526031494E-2</v>
      </c>
      <c r="ID322">
        <v>7.0967741310596466E-2</v>
      </c>
      <c r="IE322">
        <v>9.8924733698368073E-2</v>
      </c>
      <c r="IF322">
        <v>7.526881992816925E-2</v>
      </c>
      <c r="IG322">
        <v>8.6021505296230316E-2</v>
      </c>
      <c r="IH322">
        <v>5.161290243268013E-2</v>
      </c>
      <c r="II322">
        <v>7.0967741310596466E-2</v>
      </c>
      <c r="IJ322">
        <v>7.9569891095161438E-2</v>
      </c>
      <c r="IK322">
        <v>5.8064516633749008E-2</v>
      </c>
      <c r="IL322">
        <v>0.13548387587070465</v>
      </c>
      <c r="IM322">
        <v>8.817204087972641E-2</v>
      </c>
      <c r="IN322">
        <v>7.311827689409256E-2</v>
      </c>
      <c r="IO322">
        <v>8.3870969712734222E-2</v>
      </c>
      <c r="IP322">
        <v>5.161290243268013E-2</v>
      </c>
      <c r="IQ322">
        <v>5.8064516633749008E-2</v>
      </c>
      <c r="IR322">
        <v>5.3763441741466522E-2</v>
      </c>
      <c r="IS322">
        <v>5.8064516633749008E-2</v>
      </c>
      <c r="IT322">
        <v>8.817204087972641E-2</v>
      </c>
      <c r="IU322">
        <v>6.4516127109527588E-2</v>
      </c>
      <c r="IV322">
        <v>6.2365591526031494E-2</v>
      </c>
      <c r="IW322">
        <v>0.10107526928186417</v>
      </c>
      <c r="IX322">
        <v>6.6666670143604279E-2</v>
      </c>
      <c r="IY322">
        <v>5.5913977324962616E-2</v>
      </c>
      <c r="IZ322">
        <v>8.6021505296230316E-2</v>
      </c>
      <c r="JA322">
        <v>7.526881992816925E-2</v>
      </c>
      <c r="JB322">
        <v>8.817204087972641E-2</v>
      </c>
      <c r="JC322">
        <v>5.8064516633749008E-2</v>
      </c>
      <c r="JD322">
        <v>7.7419355511665344E-2</v>
      </c>
      <c r="JE322">
        <v>7.526881992816925E-2</v>
      </c>
      <c r="JF322">
        <v>0.10322580486536026</v>
      </c>
      <c r="JG322">
        <v>9.8924733698368073E-2</v>
      </c>
      <c r="JH322">
        <v>0.10322580486536026</v>
      </c>
      <c r="JI322">
        <v>9.8924733698368073E-2</v>
      </c>
      <c r="JJ322">
        <v>0.14408601820468903</v>
      </c>
      <c r="JK322">
        <v>6.8817205727100372E-2</v>
      </c>
      <c r="JL322">
        <v>6.8817205727100372E-2</v>
      </c>
      <c r="JM322">
        <v>6.4516127109527588E-2</v>
      </c>
      <c r="JN322">
        <v>7.9569891095161438E-2</v>
      </c>
      <c r="JO322">
        <v>9.4623655080795288E-2</v>
      </c>
      <c r="JP322">
        <v>7.0967741310596466E-2</v>
      </c>
      <c r="JQ322">
        <v>0.11397849768400192</v>
      </c>
      <c r="JR322">
        <v>4.7311827540397644E-2</v>
      </c>
      <c r="JS322">
        <v>6.6666670143604279E-2</v>
      </c>
      <c r="JT322">
        <v>7.7419355511665344E-2</v>
      </c>
      <c r="JU322">
        <v>8.6021505296230316E-2</v>
      </c>
      <c r="JV322">
        <v>8.3870969712734222E-2</v>
      </c>
      <c r="JW322">
        <v>0.12258064746856689</v>
      </c>
      <c r="JX322">
        <v>4.516129195690155E-2</v>
      </c>
      <c r="JY322">
        <v>8.3870969712734222E-2</v>
      </c>
      <c r="JZ322">
        <v>0.12473118305206299</v>
      </c>
      <c r="KA322">
        <v>7.311827689409256E-2</v>
      </c>
      <c r="KB322">
        <v>8.817204087972641E-2</v>
      </c>
      <c r="KC322">
        <v>0.13763441145420074</v>
      </c>
      <c r="KD322">
        <v>6.6666670143604279E-2</v>
      </c>
      <c r="KE322">
        <v>5.3763441741466522E-2</v>
      </c>
      <c r="KF322">
        <v>9.8924733698368073E-2</v>
      </c>
      <c r="KG322">
        <v>6.4516127109527588E-2</v>
      </c>
      <c r="KH322">
        <v>6.4516127109527588E-2</v>
      </c>
      <c r="KI322">
        <v>7.9569891095161438E-2</v>
      </c>
      <c r="KJ322">
        <v>6.6666670143604279E-2</v>
      </c>
      <c r="KK322">
        <v>6.6666670143604279E-2</v>
      </c>
      <c r="KL322">
        <v>7.311827689409256E-2</v>
      </c>
      <c r="KM322">
        <v>7.526881992816925E-2</v>
      </c>
      <c r="KN322">
        <v>8.817204087972641E-2</v>
      </c>
      <c r="KO322">
        <v>6.4516127109527588E-2</v>
      </c>
      <c r="KP322">
        <v>6.2365591526031494E-2</v>
      </c>
      <c r="KQ322">
        <v>9.0322583913803101E-2</v>
      </c>
      <c r="KR322">
        <v>6.0215052217245102E-2</v>
      </c>
      <c r="KS322">
        <v>9.0322583913803101E-2</v>
      </c>
      <c r="KT322">
        <v>7.7419355511665344E-2</v>
      </c>
      <c r="KU322">
        <v>6.2365591526031494E-2</v>
      </c>
      <c r="KV322">
        <v>6.6666670143604279E-2</v>
      </c>
      <c r="KW322">
        <v>0.10107526928186417</v>
      </c>
      <c r="KX322">
        <v>5.3763441741466522E-2</v>
      </c>
    </row>
    <row r="323" spans="4:310" x14ac:dyDescent="0.25">
      <c r="D323" s="41" t="str" cm="1">
        <f t="array" ref="D323">IF(H323="","",IF(AND(E323&lt;AVERAGE(E322,E324)*($L$19/100),$D$23:D322=""),H323,""))</f>
        <v/>
      </c>
      <c r="E323" s="78" t="str">
        <f t="shared" si="5"/>
        <v/>
      </c>
      <c r="F323" s="79"/>
    </row>
    <row r="324" spans="4:310" x14ac:dyDescent="0.25">
      <c r="D324" s="41" t="str" cm="1">
        <f t="array" ref="D324">IF(H324="","",IF(AND(E324&lt;AVERAGE(E323,E325)*($L$19/100),$D$23:D323=""),H324,""))</f>
        <v/>
      </c>
      <c r="E324" s="78" t="str">
        <f t="shared" si="5"/>
        <v/>
      </c>
      <c r="F324" s="79"/>
    </row>
    <row r="325" spans="4:310" x14ac:dyDescent="0.25">
      <c r="D325" s="41" t="str" cm="1">
        <f t="array" ref="D325">IF(H325="","",IF(AND(E325&lt;AVERAGE(E324,E326)*($L$19/100),$D$23:D324=""),H325,""))</f>
        <v/>
      </c>
      <c r="E325" s="78" t="str">
        <f t="shared" si="5"/>
        <v/>
      </c>
      <c r="F325" s="79"/>
    </row>
    <row r="326" spans="4:310" x14ac:dyDescent="0.25">
      <c r="D326" s="41" t="str" cm="1">
        <f t="array" ref="D326">IF(H326="","",IF(AND(E326&lt;AVERAGE(E325,E327)*($L$19/100),$D$23:D325=""),H326,""))</f>
        <v/>
      </c>
      <c r="E326" s="78" t="str">
        <f t="shared" si="5"/>
        <v/>
      </c>
      <c r="F326" s="79"/>
    </row>
    <row r="327" spans="4:310" x14ac:dyDescent="0.25">
      <c r="D327" s="41" t="str" cm="1">
        <f t="array" ref="D327">IF(H327="","",IF(AND(E327&lt;AVERAGE(E326,E328)*($L$19/100),$D$23:D326=""),H327,""))</f>
        <v/>
      </c>
      <c r="E327" s="78" t="str">
        <f t="shared" si="5"/>
        <v/>
      </c>
      <c r="F327" s="79"/>
    </row>
    <row r="328" spans="4:310" x14ac:dyDescent="0.25">
      <c r="D328" s="41" t="str" cm="1">
        <f t="array" ref="D328">IF(H328="","",IF(AND(E328&lt;AVERAGE(E327,E329)*($L$19/100),$D$23:D327=""),H328,""))</f>
        <v/>
      </c>
      <c r="E328" s="78" t="str">
        <f t="shared" si="5"/>
        <v/>
      </c>
      <c r="F328" s="79"/>
    </row>
    <row r="329" spans="4:310" x14ac:dyDescent="0.25">
      <c r="D329" s="41" t="str" cm="1">
        <f t="array" ref="D329">IF(H329="","",IF(AND(E329&lt;AVERAGE(E328,E330)*($L$19/100),$D$23:D328=""),H329,""))</f>
        <v/>
      </c>
      <c r="E329" s="78" t="str">
        <f t="shared" si="5"/>
        <v/>
      </c>
      <c r="F329" s="79"/>
    </row>
    <row r="330" spans="4:310" x14ac:dyDescent="0.25">
      <c r="D330" s="41" t="str" cm="1">
        <f t="array" ref="D330">IF(H330="","",IF(AND(E330&lt;AVERAGE(E329,E331)*($L$19/100),$D$23:D329=""),H330,""))</f>
        <v/>
      </c>
      <c r="E330" s="78" t="str">
        <f t="shared" si="5"/>
        <v/>
      </c>
      <c r="F330" s="79"/>
    </row>
    <row r="331" spans="4:310" x14ac:dyDescent="0.25">
      <c r="D331" s="41" t="str" cm="1">
        <f t="array" ref="D331">IF(H331="","",IF(AND(E331&lt;AVERAGE(E330,E332)*($L$19/100),$D$23:D330=""),H331,""))</f>
        <v/>
      </c>
      <c r="E331" s="78" t="str">
        <f t="shared" si="5"/>
        <v/>
      </c>
      <c r="F331" s="79"/>
    </row>
    <row r="332" spans="4:310" x14ac:dyDescent="0.25">
      <c r="D332" s="41" t="str" cm="1">
        <f t="array" ref="D332">IF(H332="","",IF(AND(E332&lt;AVERAGE(E331,E333)*($L$19/100),$D$23:D331=""),H332,""))</f>
        <v/>
      </c>
      <c r="E332" s="78" t="str">
        <f t="shared" si="5"/>
        <v/>
      </c>
      <c r="F332" s="79"/>
    </row>
    <row r="333" spans="4:310" x14ac:dyDescent="0.25">
      <c r="D333" s="41" t="str" cm="1">
        <f t="array" ref="D333">IF(H333="","",IF(AND(E333&lt;AVERAGE(E332,E334)*($L$19/100),$D$23:D332=""),H333,""))</f>
        <v/>
      </c>
      <c r="E333" s="78" t="str">
        <f t="shared" si="5"/>
        <v/>
      </c>
      <c r="F333" s="79"/>
    </row>
    <row r="334" spans="4:310" x14ac:dyDescent="0.25">
      <c r="D334" s="41" t="str" cm="1">
        <f t="array" ref="D334">IF(H334="","",IF(AND(E334&lt;AVERAGE(E333,E335)*($L$19/100),$D$23:D333=""),H334,""))</f>
        <v/>
      </c>
      <c r="E334" s="78" t="str">
        <f t="shared" si="5"/>
        <v/>
      </c>
      <c r="F334" s="79"/>
    </row>
    <row r="335" spans="4:310" x14ac:dyDescent="0.25">
      <c r="D335" s="41" t="str" cm="1">
        <f t="array" ref="D335">IF(H335="","",IF(AND(E335&lt;AVERAGE(E334,E336)*($L$19/100),$D$23:D334=""),H335,""))</f>
        <v/>
      </c>
      <c r="E335" s="78" t="str">
        <f t="shared" si="5"/>
        <v/>
      </c>
      <c r="F335" s="79"/>
    </row>
    <row r="336" spans="4:310" x14ac:dyDescent="0.25">
      <c r="D336" s="41" t="str" cm="1">
        <f t="array" ref="D336">IF(H336="","",IF(AND(E336&lt;AVERAGE(E335,E337)*($L$19/100),$D$23:D335=""),H336,""))</f>
        <v/>
      </c>
      <c r="E336" s="78" t="str">
        <f t="shared" si="5"/>
        <v/>
      </c>
      <c r="F336" s="79"/>
    </row>
    <row r="337" spans="4:6" x14ac:dyDescent="0.25">
      <c r="D337" s="41" t="str" cm="1">
        <f t="array" ref="D337">IF(H337="","",IF(AND(E337&lt;AVERAGE(E336,E338)*($L$19/100),$D$23:D336=""),H337,""))</f>
        <v/>
      </c>
      <c r="E337" s="78" t="str">
        <f t="shared" si="5"/>
        <v/>
      </c>
      <c r="F337" s="79"/>
    </row>
    <row r="338" spans="4:6" x14ac:dyDescent="0.25">
      <c r="D338" s="41" t="str" cm="1">
        <f t="array" ref="D338">IF(H338="","",IF(AND(E338&lt;AVERAGE(E337,E339)*($L$19/100),$D$23:D337=""),H338,""))</f>
        <v/>
      </c>
      <c r="E338" s="78" t="str">
        <f t="shared" si="5"/>
        <v/>
      </c>
      <c r="F338" s="79"/>
    </row>
    <row r="339" spans="4:6" x14ac:dyDescent="0.25">
      <c r="D339" s="41" t="str" cm="1">
        <f t="array" ref="D339">IF(H339="","",IF(AND(E339&lt;AVERAGE(E338,E340)*($L$19/100),$D$23:D338=""),H339,""))</f>
        <v/>
      </c>
      <c r="E339" s="78" t="str">
        <f t="shared" si="5"/>
        <v/>
      </c>
      <c r="F339" s="79"/>
    </row>
    <row r="340" spans="4:6" x14ac:dyDescent="0.25">
      <c r="D340" s="41" t="str" cm="1">
        <f t="array" ref="D340">IF(H340="","",IF(AND(E340&lt;AVERAGE(E339,E341)*($L$19/100),$D$23:D339=""),H340,""))</f>
        <v/>
      </c>
      <c r="E340" s="78" t="str">
        <f t="shared" si="5"/>
        <v/>
      </c>
      <c r="F340" s="79"/>
    </row>
    <row r="341" spans="4:6" x14ac:dyDescent="0.25">
      <c r="D341" s="41" t="str" cm="1">
        <f t="array" ref="D341">IF(H341="","",IF(AND(E341&lt;AVERAGE(E340,E342)*($L$19/100),$D$23:D340=""),H341,""))</f>
        <v/>
      </c>
      <c r="E341" s="78" t="str">
        <f t="shared" si="5"/>
        <v/>
      </c>
      <c r="F341" s="79"/>
    </row>
    <row r="342" spans="4:6" x14ac:dyDescent="0.25">
      <c r="D342" s="41" t="str" cm="1">
        <f t="array" ref="D342">IF(H342="","",IF(AND(E342&lt;AVERAGE(E341,E343)*($L$19/100),$D$23:D341=""),H342,""))</f>
        <v/>
      </c>
      <c r="E342" s="78" t="str">
        <f t="shared" si="5"/>
        <v/>
      </c>
      <c r="F342" s="79"/>
    </row>
    <row r="343" spans="4:6" x14ac:dyDescent="0.25">
      <c r="D343" s="41" t="str" cm="1">
        <f t="array" ref="D343">IF(H343="","",IF(AND(E343&lt;AVERAGE(E342,E344)*($L$19/100),$D$23:D342=""),H343,""))</f>
        <v/>
      </c>
      <c r="E343" s="78" t="str">
        <f t="shared" si="5"/>
        <v/>
      </c>
      <c r="F343" s="79"/>
    </row>
    <row r="344" spans="4:6" x14ac:dyDescent="0.25">
      <c r="D344" s="41" t="str" cm="1">
        <f t="array" ref="D344">IF(H344="","",IF(AND(E344&lt;AVERAGE(E343,E345)*($L$19/100),$D$23:D343=""),H344,""))</f>
        <v/>
      </c>
      <c r="E344" s="78" t="str">
        <f t="shared" si="5"/>
        <v/>
      </c>
      <c r="F344" s="79"/>
    </row>
    <row r="345" spans="4:6" x14ac:dyDescent="0.25">
      <c r="D345" s="41" t="str" cm="1">
        <f t="array" ref="D345">IF(H345="","",IF(AND(E345&lt;AVERAGE(E344,E346)*($L$19/100),$D$23:D344=""),H345,""))</f>
        <v/>
      </c>
      <c r="E345" s="78" t="str">
        <f t="shared" si="5"/>
        <v/>
      </c>
      <c r="F345" s="79"/>
    </row>
    <row r="346" spans="4:6" x14ac:dyDescent="0.25">
      <c r="D346" s="41" t="str" cm="1">
        <f t="array" ref="D346">IF(H346="","",IF(AND(E346&lt;AVERAGE(E345,E347)*($L$19/100),$D$23:D345=""),H346,""))</f>
        <v/>
      </c>
      <c r="E346" s="78" t="str">
        <f t="shared" si="5"/>
        <v/>
      </c>
      <c r="F346" s="79"/>
    </row>
    <row r="347" spans="4:6" x14ac:dyDescent="0.25">
      <c r="D347" s="41" t="str" cm="1">
        <f t="array" ref="D347">IF(H347="","",IF(AND(E347&lt;AVERAGE(E346,E348)*($L$19/100),$D$23:D346=""),H347,""))</f>
        <v/>
      </c>
      <c r="E347" s="78" t="str">
        <f t="shared" si="5"/>
        <v/>
      </c>
      <c r="F347" s="79"/>
    </row>
    <row r="348" spans="4:6" x14ac:dyDescent="0.25">
      <c r="D348" s="41" t="str" cm="1">
        <f t="array" ref="D348">IF(H348="","",IF(AND(E348&lt;AVERAGE(E347,E349)*($L$19/100),$D$23:D347=""),H348,""))</f>
        <v/>
      </c>
      <c r="E348" s="78" t="str">
        <f t="shared" si="5"/>
        <v/>
      </c>
      <c r="F348" s="79"/>
    </row>
    <row r="349" spans="4:6" x14ac:dyDescent="0.25">
      <c r="D349" s="41" t="str" cm="1">
        <f t="array" ref="D349">IF(H349="","",IF(AND(E349&lt;AVERAGE(E348,E350)*($L$19/100),$D$23:D348=""),H349,""))</f>
        <v/>
      </c>
      <c r="E349" s="78" t="str">
        <f t="shared" si="5"/>
        <v/>
      </c>
      <c r="F349" s="79"/>
    </row>
    <row r="350" spans="4:6" x14ac:dyDescent="0.25">
      <c r="D350" s="41" t="str" cm="1">
        <f t="array" ref="D350">IF(H350="","",IF(AND(E350&lt;AVERAGE(E349,E351)*($L$19/100),$D$23:D349=""),H350,""))</f>
        <v/>
      </c>
      <c r="E350" s="78" t="str">
        <f t="shared" si="5"/>
        <v/>
      </c>
      <c r="F350" s="79"/>
    </row>
    <row r="351" spans="4:6" x14ac:dyDescent="0.25">
      <c r="D351" s="41" t="str" cm="1">
        <f t="array" ref="D351">IF(H351="","",IF(AND(E351&lt;AVERAGE(E350,E352)*($L$19/100),$D$23:D350=""),H351,""))</f>
        <v/>
      </c>
      <c r="E351" s="78" t="str">
        <f t="shared" si="5"/>
        <v/>
      </c>
      <c r="F351" s="79"/>
    </row>
    <row r="352" spans="4:6" x14ac:dyDescent="0.25">
      <c r="D352" s="41" t="str" cm="1">
        <f t="array" ref="D352">IF(H352="","",IF(AND(E352&lt;AVERAGE(E351,E353)*($L$19/100),$D$23:D351=""),H352,""))</f>
        <v/>
      </c>
      <c r="E352" s="78" t="str">
        <f t="shared" si="5"/>
        <v/>
      </c>
      <c r="F352" s="79"/>
    </row>
    <row r="353" spans="4:6" x14ac:dyDescent="0.25">
      <c r="D353" s="41" t="str" cm="1">
        <f t="array" ref="D353">IF(H353="","",IF(AND(E353&lt;AVERAGE(E352,E354)*($L$19/100),$D$23:D352=""),H353,""))</f>
        <v/>
      </c>
      <c r="E353" s="78" t="str">
        <f t="shared" si="5"/>
        <v/>
      </c>
      <c r="F353" s="79"/>
    </row>
    <row r="354" spans="4:6" x14ac:dyDescent="0.25">
      <c r="D354" s="41" t="str" cm="1">
        <f t="array" ref="D354">IF(H354="","",IF(AND(E354&lt;AVERAGE(E353,E355)*($L$19/100),$D$23:D353=""),H354,""))</f>
        <v/>
      </c>
      <c r="E354" s="78" t="str">
        <f t="shared" si="5"/>
        <v/>
      </c>
      <c r="F354" s="79"/>
    </row>
    <row r="355" spans="4:6" x14ac:dyDescent="0.25">
      <c r="D355" s="41" t="str" cm="1">
        <f t="array" ref="D355">IF(H355="","",IF(AND(E355&lt;AVERAGE(E354,E356)*($L$19/100),$D$23:D354=""),H355,""))</f>
        <v/>
      </c>
      <c r="E355" s="78" t="str">
        <f t="shared" si="5"/>
        <v/>
      </c>
      <c r="F355" s="79"/>
    </row>
    <row r="356" spans="4:6" x14ac:dyDescent="0.25">
      <c r="D356" s="41" t="str" cm="1">
        <f t="array" ref="D356">IF(H356="","",IF(AND(E356&lt;AVERAGE(E355,E357)*($L$19/100),$D$23:D355=""),H356,""))</f>
        <v/>
      </c>
      <c r="E356" s="78" t="str">
        <f t="shared" si="5"/>
        <v/>
      </c>
      <c r="F356" s="79"/>
    </row>
    <row r="357" spans="4:6" x14ac:dyDescent="0.25">
      <c r="D357" s="41" t="str" cm="1">
        <f t="array" ref="D357">IF(H357="","",IF(AND(E357&lt;AVERAGE(E356,E358)*($L$19/100),$D$23:D356=""),H357,""))</f>
        <v/>
      </c>
      <c r="E357" s="78" t="str">
        <f t="shared" si="5"/>
        <v/>
      </c>
      <c r="F357" s="79"/>
    </row>
    <row r="358" spans="4:6" x14ac:dyDescent="0.25">
      <c r="D358" s="41" t="str" cm="1">
        <f t="array" ref="D358">IF(H358="","",IF(AND(E358&lt;AVERAGE(E357,E359)*($L$19/100),$D$23:D357=""),H358,""))</f>
        <v/>
      </c>
      <c r="E358" s="78" t="str">
        <f t="shared" si="5"/>
        <v/>
      </c>
      <c r="F358" s="79"/>
    </row>
    <row r="359" spans="4:6" x14ac:dyDescent="0.25">
      <c r="D359" s="41" t="str" cm="1">
        <f t="array" ref="D359">IF(H359="","",IF(AND(E359&lt;AVERAGE(E358,E360)*($L$19/100),$D$23:D358=""),H359,""))</f>
        <v/>
      </c>
      <c r="E359" s="78" t="str">
        <f t="shared" si="5"/>
        <v/>
      </c>
      <c r="F359" s="79"/>
    </row>
    <row r="360" spans="4:6" x14ac:dyDescent="0.25">
      <c r="D360" s="41" t="str" cm="1">
        <f t="array" ref="D360">IF(H360="","",IF(AND(E360&lt;AVERAGE(E359,E361)*($L$19/100),$D$23:D359=""),H360,""))</f>
        <v/>
      </c>
      <c r="E360" s="78" t="str">
        <f t="shared" si="5"/>
        <v/>
      </c>
      <c r="F360" s="79"/>
    </row>
    <row r="361" spans="4:6" x14ac:dyDescent="0.25">
      <c r="D361" s="41" t="str" cm="1">
        <f t="array" ref="D361">IF(H361="","",IF(AND(E361&lt;AVERAGE(E360,E362)*($L$19/100),$D$23:D360=""),H361,""))</f>
        <v/>
      </c>
      <c r="E361" s="78" t="str">
        <f t="shared" si="5"/>
        <v/>
      </c>
      <c r="F361" s="79"/>
    </row>
    <row r="362" spans="4:6" x14ac:dyDescent="0.25">
      <c r="D362" s="41" t="str" cm="1">
        <f t="array" ref="D362">IF(H362="","",IF(AND(E362&lt;AVERAGE(E361,E363)*($L$19/100),$D$23:D361=""),H362,""))</f>
        <v/>
      </c>
      <c r="E362" s="78" t="str">
        <f t="shared" si="5"/>
        <v/>
      </c>
      <c r="F362" s="79"/>
    </row>
    <row r="363" spans="4:6" x14ac:dyDescent="0.25">
      <c r="D363" s="41" t="str" cm="1">
        <f t="array" ref="D363">IF(H363="","",IF(AND(E363&lt;AVERAGE(E362,E364)*($L$19/100),$D$23:D362=""),H363,""))</f>
        <v/>
      </c>
      <c r="E363" s="78" t="str">
        <f t="shared" ref="E363:E426" si="6">IF(H363="","",ABS(I363-$G$19))</f>
        <v/>
      </c>
      <c r="F363" s="79"/>
    </row>
    <row r="364" spans="4:6" x14ac:dyDescent="0.25">
      <c r="D364" s="41" t="str" cm="1">
        <f t="array" ref="D364">IF(H364="","",IF(AND(E364&lt;AVERAGE(E363,E365)*($L$19/100),$D$23:D363=""),H364,""))</f>
        <v/>
      </c>
      <c r="E364" s="78" t="str">
        <f t="shared" si="6"/>
        <v/>
      </c>
      <c r="F364" s="79"/>
    </row>
    <row r="365" spans="4:6" x14ac:dyDescent="0.25">
      <c r="D365" s="41" t="str" cm="1">
        <f t="array" ref="D365">IF(H365="","",IF(AND(E365&lt;AVERAGE(E364,E366)*($L$19/100),$D$23:D364=""),H365,""))</f>
        <v/>
      </c>
      <c r="E365" s="78" t="str">
        <f t="shared" si="6"/>
        <v/>
      </c>
      <c r="F365" s="79"/>
    </row>
    <row r="366" spans="4:6" x14ac:dyDescent="0.25">
      <c r="D366" s="41" t="str" cm="1">
        <f t="array" ref="D366">IF(H366="","",IF(AND(E366&lt;AVERAGE(E365,E367)*($L$19/100),$D$23:D365=""),H366,""))</f>
        <v/>
      </c>
      <c r="E366" s="78" t="str">
        <f t="shared" si="6"/>
        <v/>
      </c>
      <c r="F366" s="79"/>
    </row>
    <row r="367" spans="4:6" x14ac:dyDescent="0.25">
      <c r="D367" s="41" t="str" cm="1">
        <f t="array" ref="D367">IF(H367="","",IF(AND(E367&lt;AVERAGE(E366,E368)*($L$19/100),$D$23:D366=""),H367,""))</f>
        <v/>
      </c>
      <c r="E367" s="78" t="str">
        <f t="shared" si="6"/>
        <v/>
      </c>
      <c r="F367" s="79"/>
    </row>
    <row r="368" spans="4:6" x14ac:dyDescent="0.25">
      <c r="D368" s="41" t="str" cm="1">
        <f t="array" ref="D368">IF(H368="","",IF(AND(E368&lt;AVERAGE(E367,E369)*($L$19/100),$D$23:D367=""),H368,""))</f>
        <v/>
      </c>
      <c r="E368" s="78" t="str">
        <f t="shared" si="6"/>
        <v/>
      </c>
      <c r="F368" s="79"/>
    </row>
    <row r="369" spans="4:6" x14ac:dyDescent="0.25">
      <c r="D369" s="41" t="str" cm="1">
        <f t="array" ref="D369">IF(H369="","",IF(AND(E369&lt;AVERAGE(E368,E370)*($L$19/100),$D$23:D368=""),H369,""))</f>
        <v/>
      </c>
      <c r="E369" s="78" t="str">
        <f t="shared" si="6"/>
        <v/>
      </c>
      <c r="F369" s="79"/>
    </row>
    <row r="370" spans="4:6" x14ac:dyDescent="0.25">
      <c r="D370" s="41" t="str" cm="1">
        <f t="array" ref="D370">IF(H370="","",IF(AND(E370&lt;AVERAGE(E369,E371)*($L$19/100),$D$23:D369=""),H370,""))</f>
        <v/>
      </c>
      <c r="E370" s="78" t="str">
        <f t="shared" si="6"/>
        <v/>
      </c>
      <c r="F370" s="79"/>
    </row>
    <row r="371" spans="4:6" x14ac:dyDescent="0.25">
      <c r="D371" s="41" t="str" cm="1">
        <f t="array" ref="D371">IF(H371="","",IF(AND(E371&lt;AVERAGE(E370,E372)*($L$19/100),$D$23:D370=""),H371,""))</f>
        <v/>
      </c>
      <c r="E371" s="78" t="str">
        <f t="shared" si="6"/>
        <v/>
      </c>
      <c r="F371" s="79"/>
    </row>
    <row r="372" spans="4:6" x14ac:dyDescent="0.25">
      <c r="D372" s="41" t="str" cm="1">
        <f t="array" ref="D372">IF(H372="","",IF(AND(E372&lt;AVERAGE(E371,E373)*($L$19/100),$D$23:D371=""),H372,""))</f>
        <v/>
      </c>
      <c r="E372" s="78" t="str">
        <f t="shared" si="6"/>
        <v/>
      </c>
      <c r="F372" s="79"/>
    </row>
    <row r="373" spans="4:6" x14ac:dyDescent="0.25">
      <c r="D373" s="41" t="str" cm="1">
        <f t="array" ref="D373">IF(H373="","",IF(AND(E373&lt;AVERAGE(E372,E374)*($L$19/100),$D$23:D372=""),H373,""))</f>
        <v/>
      </c>
      <c r="E373" s="78" t="str">
        <f t="shared" si="6"/>
        <v/>
      </c>
      <c r="F373" s="79"/>
    </row>
    <row r="374" spans="4:6" x14ac:dyDescent="0.25">
      <c r="D374" s="41" t="str" cm="1">
        <f t="array" ref="D374">IF(H374="","",IF(AND(E374&lt;AVERAGE(E373,E375)*($L$19/100),$D$23:D373=""),H374,""))</f>
        <v/>
      </c>
      <c r="E374" s="78" t="str">
        <f t="shared" si="6"/>
        <v/>
      </c>
      <c r="F374" s="79"/>
    </row>
    <row r="375" spans="4:6" x14ac:dyDescent="0.25">
      <c r="D375" s="41" t="str" cm="1">
        <f t="array" ref="D375">IF(H375="","",IF(AND(E375&lt;AVERAGE(E374,E376)*($L$19/100),$D$23:D374=""),H375,""))</f>
        <v/>
      </c>
      <c r="E375" s="78" t="str">
        <f t="shared" si="6"/>
        <v/>
      </c>
      <c r="F375" s="79"/>
    </row>
    <row r="376" spans="4:6" x14ac:dyDescent="0.25">
      <c r="D376" s="41" t="str" cm="1">
        <f t="array" ref="D376">IF(H376="","",IF(AND(E376&lt;AVERAGE(E375,E377)*($L$19/100),$D$23:D375=""),H376,""))</f>
        <v/>
      </c>
      <c r="E376" s="78" t="str">
        <f t="shared" si="6"/>
        <v/>
      </c>
      <c r="F376" s="79"/>
    </row>
    <row r="377" spans="4:6" x14ac:dyDescent="0.25">
      <c r="D377" s="41" t="str" cm="1">
        <f t="array" ref="D377">IF(H377="","",IF(AND(E377&lt;AVERAGE(E376,E378)*($L$19/100),$D$23:D376=""),H377,""))</f>
        <v/>
      </c>
      <c r="E377" s="78" t="str">
        <f t="shared" si="6"/>
        <v/>
      </c>
      <c r="F377" s="79"/>
    </row>
    <row r="378" spans="4:6" x14ac:dyDescent="0.25">
      <c r="D378" s="41" t="str" cm="1">
        <f t="array" ref="D378">IF(H378="","",IF(AND(E378&lt;AVERAGE(E377,E379)*($L$19/100),$D$23:D377=""),H378,""))</f>
        <v/>
      </c>
      <c r="E378" s="78" t="str">
        <f t="shared" si="6"/>
        <v/>
      </c>
      <c r="F378" s="79"/>
    </row>
    <row r="379" spans="4:6" x14ac:dyDescent="0.25">
      <c r="D379" s="41" t="str" cm="1">
        <f t="array" ref="D379">IF(H379="","",IF(AND(E379&lt;AVERAGE(E378,E380)*($L$19/100),$D$23:D378=""),H379,""))</f>
        <v/>
      </c>
      <c r="E379" s="78" t="str">
        <f t="shared" si="6"/>
        <v/>
      </c>
      <c r="F379" s="79"/>
    </row>
    <row r="380" spans="4:6" x14ac:dyDescent="0.25">
      <c r="D380" s="41" t="str" cm="1">
        <f t="array" ref="D380">IF(H380="","",IF(AND(E380&lt;AVERAGE(E379,E381)*($L$19/100),$D$23:D379=""),H380,""))</f>
        <v/>
      </c>
      <c r="E380" s="78" t="str">
        <f t="shared" si="6"/>
        <v/>
      </c>
      <c r="F380" s="79"/>
    </row>
    <row r="381" spans="4:6" x14ac:dyDescent="0.25">
      <c r="D381" s="41" t="str" cm="1">
        <f t="array" ref="D381">IF(H381="","",IF(AND(E381&lt;AVERAGE(E380,E382)*($L$19/100),$D$23:D380=""),H381,""))</f>
        <v/>
      </c>
      <c r="E381" s="78" t="str">
        <f t="shared" si="6"/>
        <v/>
      </c>
      <c r="F381" s="79"/>
    </row>
    <row r="382" spans="4:6" x14ac:dyDescent="0.25">
      <c r="D382" s="41" t="str" cm="1">
        <f t="array" ref="D382">IF(H382="","",IF(AND(E382&lt;AVERAGE(E381,E383)*($L$19/100),$D$23:D381=""),H382,""))</f>
        <v/>
      </c>
      <c r="E382" s="78" t="str">
        <f t="shared" si="6"/>
        <v/>
      </c>
      <c r="F382" s="79"/>
    </row>
    <row r="383" spans="4:6" x14ac:dyDescent="0.25">
      <c r="D383" s="41" t="str" cm="1">
        <f t="array" ref="D383">IF(H383="","",IF(AND(E383&lt;AVERAGE(E382,E384)*($L$19/100),$D$23:D382=""),H383,""))</f>
        <v/>
      </c>
      <c r="E383" s="78" t="str">
        <f t="shared" si="6"/>
        <v/>
      </c>
      <c r="F383" s="79"/>
    </row>
    <row r="384" spans="4:6" x14ac:dyDescent="0.25">
      <c r="D384" s="41" t="str" cm="1">
        <f t="array" ref="D384">IF(H384="","",IF(AND(E384&lt;AVERAGE(E383,E385)*($L$19/100),$D$23:D383=""),H384,""))</f>
        <v/>
      </c>
      <c r="E384" s="78" t="str">
        <f t="shared" si="6"/>
        <v/>
      </c>
      <c r="F384" s="79"/>
    </row>
    <row r="385" spans="4:6" x14ac:dyDescent="0.25">
      <c r="D385" s="41" t="str" cm="1">
        <f t="array" ref="D385">IF(H385="","",IF(AND(E385&lt;AVERAGE(E384,E386)*($L$19/100),$D$23:D384=""),H385,""))</f>
        <v/>
      </c>
      <c r="E385" s="78" t="str">
        <f t="shared" si="6"/>
        <v/>
      </c>
      <c r="F385" s="79"/>
    </row>
    <row r="386" spans="4:6" x14ac:dyDescent="0.25">
      <c r="D386" s="41" t="str" cm="1">
        <f t="array" ref="D386">IF(H386="","",IF(AND(E386&lt;AVERAGE(E385,E387)*($L$19/100),$D$23:D385=""),H386,""))</f>
        <v/>
      </c>
      <c r="E386" s="78" t="str">
        <f t="shared" si="6"/>
        <v/>
      </c>
      <c r="F386" s="79"/>
    </row>
    <row r="387" spans="4:6" x14ac:dyDescent="0.25">
      <c r="D387" s="41" t="str" cm="1">
        <f t="array" ref="D387">IF(H387="","",IF(AND(E387&lt;AVERAGE(E386,E388)*($L$19/100),$D$23:D386=""),H387,""))</f>
        <v/>
      </c>
      <c r="E387" s="78" t="str">
        <f t="shared" si="6"/>
        <v/>
      </c>
      <c r="F387" s="79"/>
    </row>
    <row r="388" spans="4:6" x14ac:dyDescent="0.25">
      <c r="D388" s="41" t="str" cm="1">
        <f t="array" ref="D388">IF(H388="","",IF(AND(E388&lt;AVERAGE(E387,E389)*($L$19/100),$D$23:D387=""),H388,""))</f>
        <v/>
      </c>
      <c r="E388" s="78" t="str">
        <f t="shared" si="6"/>
        <v/>
      </c>
      <c r="F388" s="79"/>
    </row>
    <row r="389" spans="4:6" x14ac:dyDescent="0.25">
      <c r="D389" s="41" t="str" cm="1">
        <f t="array" ref="D389">IF(H389="","",IF(AND(E389&lt;AVERAGE(E388,E390)*($L$19/100),$D$23:D388=""),H389,""))</f>
        <v/>
      </c>
      <c r="E389" s="78" t="str">
        <f t="shared" si="6"/>
        <v/>
      </c>
      <c r="F389" s="79"/>
    </row>
    <row r="390" spans="4:6" x14ac:dyDescent="0.25">
      <c r="D390" s="41" t="str" cm="1">
        <f t="array" ref="D390">IF(H390="","",IF(AND(E390&lt;AVERAGE(E389,E391)*($L$19/100),$D$23:D389=""),H390,""))</f>
        <v/>
      </c>
      <c r="E390" s="78" t="str">
        <f t="shared" si="6"/>
        <v/>
      </c>
      <c r="F390" s="79"/>
    </row>
    <row r="391" spans="4:6" x14ac:dyDescent="0.25">
      <c r="D391" s="41" t="str" cm="1">
        <f t="array" ref="D391">IF(H391="","",IF(AND(E391&lt;AVERAGE(E390,E392)*($L$19/100),$D$23:D390=""),H391,""))</f>
        <v/>
      </c>
      <c r="E391" s="78" t="str">
        <f t="shared" si="6"/>
        <v/>
      </c>
      <c r="F391" s="79"/>
    </row>
    <row r="392" spans="4:6" x14ac:dyDescent="0.25">
      <c r="D392" s="41" t="str" cm="1">
        <f t="array" ref="D392">IF(H392="","",IF(AND(E392&lt;AVERAGE(E391,E393)*($L$19/100),$D$23:D391=""),H392,""))</f>
        <v/>
      </c>
      <c r="E392" s="78" t="str">
        <f t="shared" si="6"/>
        <v/>
      </c>
      <c r="F392" s="79"/>
    </row>
    <row r="393" spans="4:6" x14ac:dyDescent="0.25">
      <c r="D393" s="41" t="str" cm="1">
        <f t="array" ref="D393">IF(H393="","",IF(AND(E393&lt;AVERAGE(E392,E394)*($L$19/100),$D$23:D392=""),H393,""))</f>
        <v/>
      </c>
      <c r="E393" s="78" t="str">
        <f t="shared" si="6"/>
        <v/>
      </c>
      <c r="F393" s="79"/>
    </row>
    <row r="394" spans="4:6" x14ac:dyDescent="0.25">
      <c r="D394" s="41" t="str" cm="1">
        <f t="array" ref="D394">IF(H394="","",IF(AND(E394&lt;AVERAGE(E393,E395)*($L$19/100),$D$23:D393=""),H394,""))</f>
        <v/>
      </c>
      <c r="E394" s="78" t="str">
        <f t="shared" si="6"/>
        <v/>
      </c>
      <c r="F394" s="79"/>
    </row>
    <row r="395" spans="4:6" x14ac:dyDescent="0.25">
      <c r="D395" s="41" t="str" cm="1">
        <f t="array" ref="D395">IF(H395="","",IF(AND(E395&lt;AVERAGE(E394,E396)*($L$19/100),$D$23:D394=""),H395,""))</f>
        <v/>
      </c>
      <c r="E395" s="78" t="str">
        <f t="shared" si="6"/>
        <v/>
      </c>
      <c r="F395" s="79"/>
    </row>
    <row r="396" spans="4:6" x14ac:dyDescent="0.25">
      <c r="D396" s="41" t="str" cm="1">
        <f t="array" ref="D396">IF(H396="","",IF(AND(E396&lt;AVERAGE(E395,E397)*($L$19/100),$D$23:D395=""),H396,""))</f>
        <v/>
      </c>
      <c r="E396" s="78" t="str">
        <f t="shared" si="6"/>
        <v/>
      </c>
      <c r="F396" s="79"/>
    </row>
    <row r="397" spans="4:6" x14ac:dyDescent="0.25">
      <c r="D397" s="41" t="str" cm="1">
        <f t="array" ref="D397">IF(H397="","",IF(AND(E397&lt;AVERAGE(E396,E398)*($L$19/100),$D$23:D396=""),H397,""))</f>
        <v/>
      </c>
      <c r="E397" s="78" t="str">
        <f t="shared" si="6"/>
        <v/>
      </c>
      <c r="F397" s="79"/>
    </row>
    <row r="398" spans="4:6" x14ac:dyDescent="0.25">
      <c r="D398" s="41" t="str" cm="1">
        <f t="array" ref="D398">IF(H398="","",IF(AND(E398&lt;AVERAGE(E397,E399)*($L$19/100),$D$23:D397=""),H398,""))</f>
        <v/>
      </c>
      <c r="E398" s="78" t="str">
        <f t="shared" si="6"/>
        <v/>
      </c>
      <c r="F398" s="79"/>
    </row>
    <row r="399" spans="4:6" x14ac:dyDescent="0.25">
      <c r="D399" s="41" t="str" cm="1">
        <f t="array" ref="D399">IF(H399="","",IF(AND(E399&lt;AVERAGE(E398,E400)*($L$19/100),$D$23:D398=""),H399,""))</f>
        <v/>
      </c>
      <c r="E399" s="78" t="str">
        <f t="shared" si="6"/>
        <v/>
      </c>
      <c r="F399" s="79"/>
    </row>
    <row r="400" spans="4:6" x14ac:dyDescent="0.25">
      <c r="D400" s="41" t="str" cm="1">
        <f t="array" ref="D400">IF(H400="","",IF(AND(E400&lt;AVERAGE(E399,E401)*($L$19/100),$D$23:D399=""),H400,""))</f>
        <v/>
      </c>
      <c r="E400" s="78" t="str">
        <f t="shared" si="6"/>
        <v/>
      </c>
      <c r="F400" s="79"/>
    </row>
    <row r="401" spans="4:6" x14ac:dyDescent="0.25">
      <c r="D401" s="41" t="str" cm="1">
        <f t="array" ref="D401">IF(H401="","",IF(AND(E401&lt;AVERAGE(E400,E402)*($L$19/100),$D$23:D400=""),H401,""))</f>
        <v/>
      </c>
      <c r="E401" s="78" t="str">
        <f t="shared" si="6"/>
        <v/>
      </c>
      <c r="F401" s="79"/>
    </row>
    <row r="402" spans="4:6" x14ac:dyDescent="0.25">
      <c r="D402" s="41" t="str" cm="1">
        <f t="array" ref="D402">IF(H402="","",IF(AND(E402&lt;AVERAGE(E401,E403)*($L$19/100),$D$23:D401=""),H402,""))</f>
        <v/>
      </c>
      <c r="E402" s="78" t="str">
        <f t="shared" si="6"/>
        <v/>
      </c>
      <c r="F402" s="79"/>
    </row>
    <row r="403" spans="4:6" x14ac:dyDescent="0.25">
      <c r="D403" s="41" t="str" cm="1">
        <f t="array" ref="D403">IF(H403="","",IF(AND(E403&lt;AVERAGE(E402,E404)*($L$19/100),$D$23:D402=""),H403,""))</f>
        <v/>
      </c>
      <c r="E403" s="78" t="str">
        <f t="shared" si="6"/>
        <v/>
      </c>
      <c r="F403" s="79"/>
    </row>
    <row r="404" spans="4:6" x14ac:dyDescent="0.25">
      <c r="D404" s="41" t="str" cm="1">
        <f t="array" ref="D404">IF(H404="","",IF(AND(E404&lt;AVERAGE(E403,E405)*($L$19/100),$D$23:D403=""),H404,""))</f>
        <v/>
      </c>
      <c r="E404" s="78" t="str">
        <f t="shared" si="6"/>
        <v/>
      </c>
      <c r="F404" s="79"/>
    </row>
    <row r="405" spans="4:6" x14ac:dyDescent="0.25">
      <c r="D405" s="41" t="str" cm="1">
        <f t="array" ref="D405">IF(H405="","",IF(AND(E405&lt;AVERAGE(E404,E406)*($L$19/100),$D$23:D404=""),H405,""))</f>
        <v/>
      </c>
      <c r="E405" s="78" t="str">
        <f t="shared" si="6"/>
        <v/>
      </c>
      <c r="F405" s="79"/>
    </row>
    <row r="406" spans="4:6" x14ac:dyDescent="0.25">
      <c r="D406" s="41" t="str" cm="1">
        <f t="array" ref="D406">IF(H406="","",IF(AND(E406&lt;AVERAGE(E405,E407)*($L$19/100),$D$23:D405=""),H406,""))</f>
        <v/>
      </c>
      <c r="E406" s="78" t="str">
        <f t="shared" si="6"/>
        <v/>
      </c>
      <c r="F406" s="79"/>
    </row>
    <row r="407" spans="4:6" x14ac:dyDescent="0.25">
      <c r="D407" s="41" t="str" cm="1">
        <f t="array" ref="D407">IF(H407="","",IF(AND(E407&lt;AVERAGE(E406,E408)*($L$19/100),$D$23:D406=""),H407,""))</f>
        <v/>
      </c>
      <c r="E407" s="78" t="str">
        <f t="shared" si="6"/>
        <v/>
      </c>
      <c r="F407" s="79"/>
    </row>
    <row r="408" spans="4:6" x14ac:dyDescent="0.25">
      <c r="D408" s="41" t="str" cm="1">
        <f t="array" ref="D408">IF(H408="","",IF(AND(E408&lt;AVERAGE(E407,E409)*($L$19/100),$D$23:D407=""),H408,""))</f>
        <v/>
      </c>
      <c r="E408" s="78" t="str">
        <f t="shared" si="6"/>
        <v/>
      </c>
      <c r="F408" s="79"/>
    </row>
    <row r="409" spans="4:6" x14ac:dyDescent="0.25">
      <c r="D409" s="41" t="str" cm="1">
        <f t="array" ref="D409">IF(H409="","",IF(AND(E409&lt;AVERAGE(E408,E410)*($L$19/100),$D$23:D408=""),H409,""))</f>
        <v/>
      </c>
      <c r="E409" s="78" t="str">
        <f t="shared" si="6"/>
        <v/>
      </c>
      <c r="F409" s="79"/>
    </row>
    <row r="410" spans="4:6" x14ac:dyDescent="0.25">
      <c r="D410" s="41" t="str" cm="1">
        <f t="array" ref="D410">IF(H410="","",IF(AND(E410&lt;AVERAGE(E409,E411)*($L$19/100),$D$23:D409=""),H410,""))</f>
        <v/>
      </c>
      <c r="E410" s="78" t="str">
        <f t="shared" si="6"/>
        <v/>
      </c>
      <c r="F410" s="79"/>
    </row>
    <row r="411" spans="4:6" x14ac:dyDescent="0.25">
      <c r="D411" s="41" t="str" cm="1">
        <f t="array" ref="D411">IF(H411="","",IF(AND(E411&lt;AVERAGE(E410,E412)*($L$19/100),$D$23:D410=""),H411,""))</f>
        <v/>
      </c>
      <c r="E411" s="78" t="str">
        <f t="shared" si="6"/>
        <v/>
      </c>
      <c r="F411" s="79"/>
    </row>
    <row r="412" spans="4:6" x14ac:dyDescent="0.25">
      <c r="D412" s="41" t="str" cm="1">
        <f t="array" ref="D412">IF(H412="","",IF(AND(E412&lt;AVERAGE(E411,E413)*($L$19/100),$D$23:D411=""),H412,""))</f>
        <v/>
      </c>
      <c r="E412" s="78" t="str">
        <f t="shared" si="6"/>
        <v/>
      </c>
      <c r="F412" s="79"/>
    </row>
    <row r="413" spans="4:6" x14ac:dyDescent="0.25">
      <c r="D413" s="41" t="str" cm="1">
        <f t="array" ref="D413">IF(H413="","",IF(AND(E413&lt;AVERAGE(E412,E414)*($L$19/100),$D$23:D412=""),H413,""))</f>
        <v/>
      </c>
      <c r="E413" s="78" t="str">
        <f t="shared" si="6"/>
        <v/>
      </c>
      <c r="F413" s="79"/>
    </row>
    <row r="414" spans="4:6" x14ac:dyDescent="0.25">
      <c r="D414" s="41" t="str" cm="1">
        <f t="array" ref="D414">IF(H414="","",IF(AND(E414&lt;AVERAGE(E413,E415)*($L$19/100),$D$23:D413=""),H414,""))</f>
        <v/>
      </c>
      <c r="E414" s="78" t="str">
        <f t="shared" si="6"/>
        <v/>
      </c>
      <c r="F414" s="79"/>
    </row>
    <row r="415" spans="4:6" x14ac:dyDescent="0.25">
      <c r="D415" s="41" t="str" cm="1">
        <f t="array" ref="D415">IF(H415="","",IF(AND(E415&lt;AVERAGE(E414,E416)*($L$19/100),$D$23:D414=""),H415,""))</f>
        <v/>
      </c>
      <c r="E415" s="78" t="str">
        <f t="shared" si="6"/>
        <v/>
      </c>
      <c r="F415" s="79"/>
    </row>
    <row r="416" spans="4:6" x14ac:dyDescent="0.25">
      <c r="D416" s="41" t="str" cm="1">
        <f t="array" ref="D416">IF(H416="","",IF(AND(E416&lt;AVERAGE(E415,E417)*($L$19/100),$D$23:D415=""),H416,""))</f>
        <v/>
      </c>
      <c r="E416" s="78" t="str">
        <f t="shared" si="6"/>
        <v/>
      </c>
      <c r="F416" s="79"/>
    </row>
    <row r="417" spans="4:6" x14ac:dyDescent="0.25">
      <c r="D417" s="41" t="str" cm="1">
        <f t="array" ref="D417">IF(H417="","",IF(AND(E417&lt;AVERAGE(E416,E418)*($L$19/100),$D$23:D416=""),H417,""))</f>
        <v/>
      </c>
      <c r="E417" s="78" t="str">
        <f t="shared" si="6"/>
        <v/>
      </c>
      <c r="F417" s="79"/>
    </row>
    <row r="418" spans="4:6" x14ac:dyDescent="0.25">
      <c r="D418" s="41" t="str" cm="1">
        <f t="array" ref="D418">IF(H418="","",IF(AND(E418&lt;AVERAGE(E417,E419)*($L$19/100),$D$23:D417=""),H418,""))</f>
        <v/>
      </c>
      <c r="E418" s="78" t="str">
        <f t="shared" si="6"/>
        <v/>
      </c>
      <c r="F418" s="79"/>
    </row>
    <row r="419" spans="4:6" x14ac:dyDescent="0.25">
      <c r="D419" s="41" t="str" cm="1">
        <f t="array" ref="D419">IF(H419="","",IF(AND(E419&lt;AVERAGE(E418,E420)*($L$19/100),$D$23:D418=""),H419,""))</f>
        <v/>
      </c>
      <c r="E419" s="78" t="str">
        <f t="shared" si="6"/>
        <v/>
      </c>
      <c r="F419" s="79"/>
    </row>
    <row r="420" spans="4:6" x14ac:dyDescent="0.25">
      <c r="D420" s="41" t="str" cm="1">
        <f t="array" ref="D420">IF(H420="","",IF(AND(E420&lt;AVERAGE(E419,E421)*($L$19/100),$D$23:D419=""),H420,""))</f>
        <v/>
      </c>
      <c r="E420" s="78" t="str">
        <f t="shared" si="6"/>
        <v/>
      </c>
      <c r="F420" s="79"/>
    </row>
    <row r="421" spans="4:6" x14ac:dyDescent="0.25">
      <c r="D421" s="41" t="str" cm="1">
        <f t="array" ref="D421">IF(H421="","",IF(AND(E421&lt;AVERAGE(E420,E422)*($L$19/100),$D$23:D420=""),H421,""))</f>
        <v/>
      </c>
      <c r="E421" s="78" t="str">
        <f t="shared" si="6"/>
        <v/>
      </c>
      <c r="F421" s="79"/>
    </row>
    <row r="422" spans="4:6" x14ac:dyDescent="0.25">
      <c r="D422" s="41" t="str" cm="1">
        <f t="array" ref="D422">IF(H422="","",IF(AND(E422&lt;AVERAGE(E421,E423)*($L$19/100),$D$23:D421=""),H422,""))</f>
        <v/>
      </c>
      <c r="E422" s="78" t="str">
        <f t="shared" si="6"/>
        <v/>
      </c>
      <c r="F422" s="79"/>
    </row>
    <row r="423" spans="4:6" x14ac:dyDescent="0.25">
      <c r="D423" s="41" t="str" cm="1">
        <f t="array" ref="D423">IF(H423="","",IF(AND(E423&lt;AVERAGE(E422,E424)*($L$19/100),$D$23:D422=""),H423,""))</f>
        <v/>
      </c>
      <c r="E423" s="78" t="str">
        <f t="shared" si="6"/>
        <v/>
      </c>
      <c r="F423" s="79"/>
    </row>
    <row r="424" spans="4:6" x14ac:dyDescent="0.25">
      <c r="D424" s="41" t="str" cm="1">
        <f t="array" ref="D424">IF(H424="","",IF(AND(E424&lt;AVERAGE(E423,E425)*($L$19/100),$D$23:D423=""),H424,""))</f>
        <v/>
      </c>
      <c r="E424" s="78" t="str">
        <f t="shared" si="6"/>
        <v/>
      </c>
      <c r="F424" s="79"/>
    </row>
    <row r="425" spans="4:6" x14ac:dyDescent="0.25">
      <c r="D425" s="41" t="str" cm="1">
        <f t="array" ref="D425">IF(H425="","",IF(AND(E425&lt;AVERAGE(E424,E426)*($L$19/100),$D$23:D424=""),H425,""))</f>
        <v/>
      </c>
      <c r="E425" s="78" t="str">
        <f t="shared" si="6"/>
        <v/>
      </c>
      <c r="F425" s="79"/>
    </row>
    <row r="426" spans="4:6" x14ac:dyDescent="0.25">
      <c r="D426" s="41" t="str" cm="1">
        <f t="array" ref="D426">IF(H426="","",IF(AND(E426&lt;AVERAGE(E425,E427)*($L$19/100),$D$23:D425=""),H426,""))</f>
        <v/>
      </c>
      <c r="E426" s="78" t="str">
        <f t="shared" si="6"/>
        <v/>
      </c>
      <c r="F426" s="79"/>
    </row>
    <row r="427" spans="4:6" x14ac:dyDescent="0.25">
      <c r="D427" s="41" t="str" cm="1">
        <f t="array" ref="D427">IF(H427="","",IF(AND(E427&lt;AVERAGE(E426,E428)*($L$19/100),$D$23:D426=""),H427,""))</f>
        <v/>
      </c>
      <c r="E427" s="78" t="str">
        <f t="shared" ref="E427:E490" si="7">IF(H427="","",ABS(I427-$G$19))</f>
        <v/>
      </c>
      <c r="F427" s="79"/>
    </row>
    <row r="428" spans="4:6" x14ac:dyDescent="0.25">
      <c r="D428" s="41" t="str" cm="1">
        <f t="array" ref="D428">IF(H428="","",IF(AND(E428&lt;AVERAGE(E427,E429)*($L$19/100),$D$23:D427=""),H428,""))</f>
        <v/>
      </c>
      <c r="E428" s="78" t="str">
        <f t="shared" si="7"/>
        <v/>
      </c>
      <c r="F428" s="79"/>
    </row>
    <row r="429" spans="4:6" x14ac:dyDescent="0.25">
      <c r="D429" s="41" t="str" cm="1">
        <f t="array" ref="D429">IF(H429="","",IF(AND(E429&lt;AVERAGE(E428,E430)*($L$19/100),$D$23:D428=""),H429,""))</f>
        <v/>
      </c>
      <c r="E429" s="78" t="str">
        <f t="shared" si="7"/>
        <v/>
      </c>
      <c r="F429" s="79"/>
    </row>
    <row r="430" spans="4:6" x14ac:dyDescent="0.25">
      <c r="D430" s="41" t="str" cm="1">
        <f t="array" ref="D430">IF(H430="","",IF(AND(E430&lt;AVERAGE(E429,E431)*($L$19/100),$D$23:D429=""),H430,""))</f>
        <v/>
      </c>
      <c r="E430" s="78" t="str">
        <f t="shared" si="7"/>
        <v/>
      </c>
      <c r="F430" s="79"/>
    </row>
    <row r="431" spans="4:6" x14ac:dyDescent="0.25">
      <c r="D431" s="41" t="str" cm="1">
        <f t="array" ref="D431">IF(H431="","",IF(AND(E431&lt;AVERAGE(E430,E432)*($L$19/100),$D$23:D430=""),H431,""))</f>
        <v/>
      </c>
      <c r="E431" s="78" t="str">
        <f t="shared" si="7"/>
        <v/>
      </c>
      <c r="F431" s="79"/>
    </row>
    <row r="432" spans="4:6" x14ac:dyDescent="0.25">
      <c r="D432" s="41" t="str" cm="1">
        <f t="array" ref="D432">IF(H432="","",IF(AND(E432&lt;AVERAGE(E431,E433)*($L$19/100),$D$23:D431=""),H432,""))</f>
        <v/>
      </c>
      <c r="E432" s="78" t="str">
        <f t="shared" si="7"/>
        <v/>
      </c>
      <c r="F432" s="79"/>
    </row>
    <row r="433" spans="4:6" x14ac:dyDescent="0.25">
      <c r="D433" s="41" t="str" cm="1">
        <f t="array" ref="D433">IF(H433="","",IF(AND(E433&lt;AVERAGE(E432,E434)*($L$19/100),$D$23:D432=""),H433,""))</f>
        <v/>
      </c>
      <c r="E433" s="78" t="str">
        <f t="shared" si="7"/>
        <v/>
      </c>
      <c r="F433" s="79"/>
    </row>
    <row r="434" spans="4:6" x14ac:dyDescent="0.25">
      <c r="D434" s="41" t="str" cm="1">
        <f t="array" ref="D434">IF(H434="","",IF(AND(E434&lt;AVERAGE(E433,E435)*($L$19/100),$D$23:D433=""),H434,""))</f>
        <v/>
      </c>
      <c r="E434" s="78" t="str">
        <f t="shared" si="7"/>
        <v/>
      </c>
      <c r="F434" s="79"/>
    </row>
    <row r="435" spans="4:6" x14ac:dyDescent="0.25">
      <c r="D435" s="41" t="str" cm="1">
        <f t="array" ref="D435">IF(H435="","",IF(AND(E435&lt;AVERAGE(E434,E436)*($L$19/100),$D$23:D434=""),H435,""))</f>
        <v/>
      </c>
      <c r="E435" s="78" t="str">
        <f t="shared" si="7"/>
        <v/>
      </c>
      <c r="F435" s="79"/>
    </row>
    <row r="436" spans="4:6" x14ac:dyDescent="0.25">
      <c r="D436" s="41" t="str" cm="1">
        <f t="array" ref="D436">IF(H436="","",IF(AND(E436&lt;AVERAGE(E435,E437)*($L$19/100),$D$23:D435=""),H436,""))</f>
        <v/>
      </c>
      <c r="E436" s="78" t="str">
        <f t="shared" si="7"/>
        <v/>
      </c>
      <c r="F436" s="79"/>
    </row>
    <row r="437" spans="4:6" x14ac:dyDescent="0.25">
      <c r="D437" s="41" t="str" cm="1">
        <f t="array" ref="D437">IF(H437="","",IF(AND(E437&lt;AVERAGE(E436,E438)*($L$19/100),$D$23:D436=""),H437,""))</f>
        <v/>
      </c>
      <c r="E437" s="78" t="str">
        <f t="shared" si="7"/>
        <v/>
      </c>
      <c r="F437" s="79"/>
    </row>
    <row r="438" spans="4:6" x14ac:dyDescent="0.25">
      <c r="D438" s="41" t="str" cm="1">
        <f t="array" ref="D438">IF(H438="","",IF(AND(E438&lt;AVERAGE(E437,E439)*($L$19/100),$D$23:D437=""),H438,""))</f>
        <v/>
      </c>
      <c r="E438" s="78" t="str">
        <f t="shared" si="7"/>
        <v/>
      </c>
      <c r="F438" s="79"/>
    </row>
    <row r="439" spans="4:6" x14ac:dyDescent="0.25">
      <c r="D439" s="41" t="str" cm="1">
        <f t="array" ref="D439">IF(H439="","",IF(AND(E439&lt;AVERAGE(E438,E440)*($L$19/100),$D$23:D438=""),H439,""))</f>
        <v/>
      </c>
      <c r="E439" s="78" t="str">
        <f t="shared" si="7"/>
        <v/>
      </c>
      <c r="F439" s="79"/>
    </row>
    <row r="440" spans="4:6" x14ac:dyDescent="0.25">
      <c r="D440" s="41" t="str" cm="1">
        <f t="array" ref="D440">IF(H440="","",IF(AND(E440&lt;AVERAGE(E439,E441)*($L$19/100),$D$23:D439=""),H440,""))</f>
        <v/>
      </c>
      <c r="E440" s="78" t="str">
        <f t="shared" si="7"/>
        <v/>
      </c>
      <c r="F440" s="79"/>
    </row>
    <row r="441" spans="4:6" x14ac:dyDescent="0.25">
      <c r="D441" s="41" t="str" cm="1">
        <f t="array" ref="D441">IF(H441="","",IF(AND(E441&lt;AVERAGE(E440,E442)*($L$19/100),$D$23:D440=""),H441,""))</f>
        <v/>
      </c>
      <c r="E441" s="78" t="str">
        <f t="shared" si="7"/>
        <v/>
      </c>
      <c r="F441" s="79"/>
    </row>
    <row r="442" spans="4:6" x14ac:dyDescent="0.25">
      <c r="D442" s="41" t="str" cm="1">
        <f t="array" ref="D442">IF(H442="","",IF(AND(E442&lt;AVERAGE(E441,E443)*($L$19/100),$D$23:D441=""),H442,""))</f>
        <v/>
      </c>
      <c r="E442" s="78" t="str">
        <f t="shared" si="7"/>
        <v/>
      </c>
      <c r="F442" s="79"/>
    </row>
    <row r="443" spans="4:6" x14ac:dyDescent="0.25">
      <c r="D443" s="41" t="str" cm="1">
        <f t="array" ref="D443">IF(H443="","",IF(AND(E443&lt;AVERAGE(E442,E444)*($L$19/100),$D$23:D442=""),H443,""))</f>
        <v/>
      </c>
      <c r="E443" s="78" t="str">
        <f t="shared" si="7"/>
        <v/>
      </c>
      <c r="F443" s="79"/>
    </row>
    <row r="444" spans="4:6" x14ac:dyDescent="0.25">
      <c r="D444" s="41" t="str" cm="1">
        <f t="array" ref="D444">IF(H444="","",IF(AND(E444&lt;AVERAGE(E443,E445)*($L$19/100),$D$23:D443=""),H444,""))</f>
        <v/>
      </c>
      <c r="E444" s="78" t="str">
        <f t="shared" si="7"/>
        <v/>
      </c>
      <c r="F444" s="79"/>
    </row>
    <row r="445" spans="4:6" x14ac:dyDescent="0.25">
      <c r="D445" s="41" t="str" cm="1">
        <f t="array" ref="D445">IF(H445="","",IF(AND(E445&lt;AVERAGE(E444,E446)*($L$19/100),$D$23:D444=""),H445,""))</f>
        <v/>
      </c>
      <c r="E445" s="78" t="str">
        <f t="shared" si="7"/>
        <v/>
      </c>
      <c r="F445" s="79"/>
    </row>
    <row r="446" spans="4:6" x14ac:dyDescent="0.25">
      <c r="D446" s="41" t="str" cm="1">
        <f t="array" ref="D446">IF(H446="","",IF(AND(E446&lt;AVERAGE(E445,E447)*($L$19/100),$D$23:D445=""),H446,""))</f>
        <v/>
      </c>
      <c r="E446" s="78" t="str">
        <f t="shared" si="7"/>
        <v/>
      </c>
      <c r="F446" s="79"/>
    </row>
    <row r="447" spans="4:6" x14ac:dyDescent="0.25">
      <c r="D447" s="41" t="str" cm="1">
        <f t="array" ref="D447">IF(H447="","",IF(AND(E447&lt;AVERAGE(E446,E448)*($L$19/100),$D$23:D446=""),H447,""))</f>
        <v/>
      </c>
      <c r="E447" s="78" t="str">
        <f t="shared" si="7"/>
        <v/>
      </c>
      <c r="F447" s="79"/>
    </row>
    <row r="448" spans="4:6" x14ac:dyDescent="0.25">
      <c r="D448" s="41" t="str" cm="1">
        <f t="array" ref="D448">IF(H448="","",IF(AND(E448&lt;AVERAGE(E447,E449)*($L$19/100),$D$23:D447=""),H448,""))</f>
        <v/>
      </c>
      <c r="E448" s="78" t="str">
        <f t="shared" si="7"/>
        <v/>
      </c>
      <c r="F448" s="79"/>
    </row>
    <row r="449" spans="4:6" x14ac:dyDescent="0.25">
      <c r="D449" s="41" t="str" cm="1">
        <f t="array" ref="D449">IF(H449="","",IF(AND(E449&lt;AVERAGE(E448,E450)*($L$19/100),$D$23:D448=""),H449,""))</f>
        <v/>
      </c>
      <c r="E449" s="78" t="str">
        <f t="shared" si="7"/>
        <v/>
      </c>
      <c r="F449" s="79"/>
    </row>
    <row r="450" spans="4:6" x14ac:dyDescent="0.25">
      <c r="D450" s="41" t="str" cm="1">
        <f t="array" ref="D450">IF(H450="","",IF(AND(E450&lt;AVERAGE(E449,E451)*($L$19/100),$D$23:D449=""),H450,""))</f>
        <v/>
      </c>
      <c r="E450" s="78" t="str">
        <f t="shared" si="7"/>
        <v/>
      </c>
      <c r="F450" s="79"/>
    </row>
    <row r="451" spans="4:6" x14ac:dyDescent="0.25">
      <c r="D451" s="41" t="str" cm="1">
        <f t="array" ref="D451">IF(H451="","",IF(AND(E451&lt;AVERAGE(E450,E452)*($L$19/100),$D$23:D450=""),H451,""))</f>
        <v/>
      </c>
      <c r="E451" s="78" t="str">
        <f t="shared" si="7"/>
        <v/>
      </c>
      <c r="F451" s="79"/>
    </row>
    <row r="452" spans="4:6" x14ac:dyDescent="0.25">
      <c r="D452" s="41" t="str" cm="1">
        <f t="array" ref="D452">IF(H452="","",IF(AND(E452&lt;AVERAGE(E451,E453)*($L$19/100),$D$23:D451=""),H452,""))</f>
        <v/>
      </c>
      <c r="E452" s="78" t="str">
        <f t="shared" si="7"/>
        <v/>
      </c>
      <c r="F452" s="79"/>
    </row>
    <row r="453" spans="4:6" x14ac:dyDescent="0.25">
      <c r="D453" s="41" t="str" cm="1">
        <f t="array" ref="D453">IF(H453="","",IF(AND(E453&lt;AVERAGE(E452,E454)*($L$19/100),$D$23:D452=""),H453,""))</f>
        <v/>
      </c>
      <c r="E453" s="78" t="str">
        <f t="shared" si="7"/>
        <v/>
      </c>
      <c r="F453" s="79"/>
    </row>
    <row r="454" spans="4:6" x14ac:dyDescent="0.25">
      <c r="D454" s="41" t="str" cm="1">
        <f t="array" ref="D454">IF(H454="","",IF(AND(E454&lt;AVERAGE(E453,E455)*($L$19/100),$D$23:D453=""),H454,""))</f>
        <v/>
      </c>
      <c r="E454" s="78" t="str">
        <f t="shared" si="7"/>
        <v/>
      </c>
      <c r="F454" s="79"/>
    </row>
    <row r="455" spans="4:6" x14ac:dyDescent="0.25">
      <c r="D455" s="41" t="str" cm="1">
        <f t="array" ref="D455">IF(H455="","",IF(AND(E455&lt;AVERAGE(E454,E456)*($L$19/100),$D$23:D454=""),H455,""))</f>
        <v/>
      </c>
      <c r="E455" s="78" t="str">
        <f t="shared" si="7"/>
        <v/>
      </c>
      <c r="F455" s="79"/>
    </row>
    <row r="456" spans="4:6" x14ac:dyDescent="0.25">
      <c r="D456" s="41" t="str" cm="1">
        <f t="array" ref="D456">IF(H456="","",IF(AND(E456&lt;AVERAGE(E455,E457)*($L$19/100),$D$23:D455=""),H456,""))</f>
        <v/>
      </c>
      <c r="E456" s="78" t="str">
        <f t="shared" si="7"/>
        <v/>
      </c>
      <c r="F456" s="79"/>
    </row>
    <row r="457" spans="4:6" x14ac:dyDescent="0.25">
      <c r="D457" s="41" t="str" cm="1">
        <f t="array" ref="D457">IF(H457="","",IF(AND(E457&lt;AVERAGE(E456,E458)*($L$19/100),$D$23:D456=""),H457,""))</f>
        <v/>
      </c>
      <c r="E457" s="78" t="str">
        <f t="shared" si="7"/>
        <v/>
      </c>
      <c r="F457" s="79"/>
    </row>
    <row r="458" spans="4:6" x14ac:dyDescent="0.25">
      <c r="D458" s="41" t="str" cm="1">
        <f t="array" ref="D458">IF(H458="","",IF(AND(E458&lt;AVERAGE(E457,E459)*($L$19/100),$D$23:D457=""),H458,""))</f>
        <v/>
      </c>
      <c r="E458" s="78" t="str">
        <f t="shared" si="7"/>
        <v/>
      </c>
      <c r="F458" s="79"/>
    </row>
    <row r="459" spans="4:6" x14ac:dyDescent="0.25">
      <c r="D459" s="41" t="str" cm="1">
        <f t="array" ref="D459">IF(H459="","",IF(AND(E459&lt;AVERAGE(E458,E460)*($L$19/100),$D$23:D458=""),H459,""))</f>
        <v/>
      </c>
      <c r="E459" s="78" t="str">
        <f t="shared" si="7"/>
        <v/>
      </c>
      <c r="F459" s="79"/>
    </row>
    <row r="460" spans="4:6" x14ac:dyDescent="0.25">
      <c r="D460" s="41" t="str" cm="1">
        <f t="array" ref="D460">IF(H460="","",IF(AND(E460&lt;AVERAGE(E459,E461)*($L$19/100),$D$23:D459=""),H460,""))</f>
        <v/>
      </c>
      <c r="E460" s="78" t="str">
        <f t="shared" si="7"/>
        <v/>
      </c>
      <c r="F460" s="79"/>
    </row>
    <row r="461" spans="4:6" x14ac:dyDescent="0.25">
      <c r="D461" s="41" t="str" cm="1">
        <f t="array" ref="D461">IF(H461="","",IF(AND(E461&lt;AVERAGE(E460,E462)*($L$19/100),$D$23:D460=""),H461,""))</f>
        <v/>
      </c>
      <c r="E461" s="78" t="str">
        <f t="shared" si="7"/>
        <v/>
      </c>
      <c r="F461" s="79"/>
    </row>
    <row r="462" spans="4:6" x14ac:dyDescent="0.25">
      <c r="D462" s="41" t="str" cm="1">
        <f t="array" ref="D462">IF(H462="","",IF(AND(E462&lt;AVERAGE(E461,E463)*($L$19/100),$D$23:D461=""),H462,""))</f>
        <v/>
      </c>
      <c r="E462" s="78" t="str">
        <f t="shared" si="7"/>
        <v/>
      </c>
      <c r="F462" s="79"/>
    </row>
    <row r="463" spans="4:6" x14ac:dyDescent="0.25">
      <c r="D463" s="41" t="str" cm="1">
        <f t="array" ref="D463">IF(H463="","",IF(AND(E463&lt;AVERAGE(E462,E464)*($L$19/100),$D$23:D462=""),H463,""))</f>
        <v/>
      </c>
      <c r="E463" s="78" t="str">
        <f t="shared" si="7"/>
        <v/>
      </c>
      <c r="F463" s="79"/>
    </row>
    <row r="464" spans="4:6" x14ac:dyDescent="0.25">
      <c r="D464" s="41" t="str" cm="1">
        <f t="array" ref="D464">IF(H464="","",IF(AND(E464&lt;AVERAGE(E463,E465)*($L$19/100),$D$23:D463=""),H464,""))</f>
        <v/>
      </c>
      <c r="E464" s="78" t="str">
        <f t="shared" si="7"/>
        <v/>
      </c>
      <c r="F464" s="79"/>
    </row>
    <row r="465" spans="4:6" x14ac:dyDescent="0.25">
      <c r="D465" s="41" t="str" cm="1">
        <f t="array" ref="D465">IF(H465="","",IF(AND(E465&lt;AVERAGE(E464,E466)*($L$19/100),$D$23:D464=""),H465,""))</f>
        <v/>
      </c>
      <c r="E465" s="78" t="str">
        <f t="shared" si="7"/>
        <v/>
      </c>
      <c r="F465" s="79"/>
    </row>
    <row r="466" spans="4:6" x14ac:dyDescent="0.25">
      <c r="D466" s="41" t="str" cm="1">
        <f t="array" ref="D466">IF(H466="","",IF(AND(E466&lt;AVERAGE(E465,E467)*($L$19/100),$D$23:D465=""),H466,""))</f>
        <v/>
      </c>
      <c r="E466" s="78" t="str">
        <f t="shared" si="7"/>
        <v/>
      </c>
      <c r="F466" s="79"/>
    </row>
    <row r="467" spans="4:6" x14ac:dyDescent="0.25">
      <c r="D467" s="41" t="str" cm="1">
        <f t="array" ref="D467">IF(H467="","",IF(AND(E467&lt;AVERAGE(E466,E468)*($L$19/100),$D$23:D466=""),H467,""))</f>
        <v/>
      </c>
      <c r="E467" s="78" t="str">
        <f t="shared" si="7"/>
        <v/>
      </c>
      <c r="F467" s="79"/>
    </row>
    <row r="468" spans="4:6" x14ac:dyDescent="0.25">
      <c r="D468" s="41" t="str" cm="1">
        <f t="array" ref="D468">IF(H468="","",IF(AND(E468&lt;AVERAGE(E467,E469)*($L$19/100),$D$23:D467=""),H468,""))</f>
        <v/>
      </c>
      <c r="E468" s="78" t="str">
        <f t="shared" si="7"/>
        <v/>
      </c>
      <c r="F468" s="79"/>
    </row>
    <row r="469" spans="4:6" x14ac:dyDescent="0.25">
      <c r="D469" s="41" t="str" cm="1">
        <f t="array" ref="D469">IF(H469="","",IF(AND(E469&lt;AVERAGE(E468,E470)*($L$19/100),$D$23:D468=""),H469,""))</f>
        <v/>
      </c>
      <c r="E469" s="78" t="str">
        <f t="shared" si="7"/>
        <v/>
      </c>
      <c r="F469" s="79"/>
    </row>
    <row r="470" spans="4:6" x14ac:dyDescent="0.25">
      <c r="D470" s="41" t="str" cm="1">
        <f t="array" ref="D470">IF(H470="","",IF(AND(E470&lt;AVERAGE(E469,E471)*($L$19/100),$D$23:D469=""),H470,""))</f>
        <v/>
      </c>
      <c r="E470" s="78" t="str">
        <f t="shared" si="7"/>
        <v/>
      </c>
      <c r="F470" s="79"/>
    </row>
    <row r="471" spans="4:6" x14ac:dyDescent="0.25">
      <c r="D471" s="41" t="str" cm="1">
        <f t="array" ref="D471">IF(H471="","",IF(AND(E471&lt;AVERAGE(E470,E472)*($L$19/100),$D$23:D470=""),H471,""))</f>
        <v/>
      </c>
      <c r="E471" s="78" t="str">
        <f t="shared" si="7"/>
        <v/>
      </c>
      <c r="F471" s="79"/>
    </row>
    <row r="472" spans="4:6" x14ac:dyDescent="0.25">
      <c r="D472" s="41" t="str" cm="1">
        <f t="array" ref="D472">IF(H472="","",IF(AND(E472&lt;AVERAGE(E471,E473)*($L$19/100),$D$23:D471=""),H472,""))</f>
        <v/>
      </c>
      <c r="E472" s="78" t="str">
        <f t="shared" si="7"/>
        <v/>
      </c>
      <c r="F472" s="79"/>
    </row>
    <row r="473" spans="4:6" x14ac:dyDescent="0.25">
      <c r="D473" s="41" t="str" cm="1">
        <f t="array" ref="D473">IF(H473="","",IF(AND(E473&lt;AVERAGE(E472,E474)*($L$19/100),$D$23:D472=""),H473,""))</f>
        <v/>
      </c>
      <c r="E473" s="78" t="str">
        <f t="shared" si="7"/>
        <v/>
      </c>
      <c r="F473" s="79"/>
    </row>
    <row r="474" spans="4:6" x14ac:dyDescent="0.25">
      <c r="D474" s="41" t="str" cm="1">
        <f t="array" ref="D474">IF(H474="","",IF(AND(E474&lt;AVERAGE(E473,E475)*($L$19/100),$D$23:D473=""),H474,""))</f>
        <v/>
      </c>
      <c r="E474" s="78" t="str">
        <f t="shared" si="7"/>
        <v/>
      </c>
      <c r="F474" s="79"/>
    </row>
    <row r="475" spans="4:6" x14ac:dyDescent="0.25">
      <c r="D475" s="41" t="str" cm="1">
        <f t="array" ref="D475">IF(H475="","",IF(AND(E475&lt;AVERAGE(E474,E476)*($L$19/100),$D$23:D474=""),H475,""))</f>
        <v/>
      </c>
      <c r="E475" s="78" t="str">
        <f t="shared" si="7"/>
        <v/>
      </c>
      <c r="F475" s="79"/>
    </row>
    <row r="476" spans="4:6" x14ac:dyDescent="0.25">
      <c r="D476" s="41" t="str" cm="1">
        <f t="array" ref="D476">IF(H476="","",IF(AND(E476&lt;AVERAGE(E475,E477)*($L$19/100),$D$23:D475=""),H476,""))</f>
        <v/>
      </c>
      <c r="E476" s="78" t="str">
        <f t="shared" si="7"/>
        <v/>
      </c>
      <c r="F476" s="79"/>
    </row>
    <row r="477" spans="4:6" x14ac:dyDescent="0.25">
      <c r="D477" s="41" t="str" cm="1">
        <f t="array" ref="D477">IF(H477="","",IF(AND(E477&lt;AVERAGE(E476,E478)*($L$19/100),$D$23:D476=""),H477,""))</f>
        <v/>
      </c>
      <c r="E477" s="78" t="str">
        <f t="shared" si="7"/>
        <v/>
      </c>
      <c r="F477" s="79"/>
    </row>
    <row r="478" spans="4:6" x14ac:dyDescent="0.25">
      <c r="D478" s="41" t="str" cm="1">
        <f t="array" ref="D478">IF(H478="","",IF(AND(E478&lt;AVERAGE(E477,E479)*($L$19/100),$D$23:D477=""),H478,""))</f>
        <v/>
      </c>
      <c r="E478" s="78" t="str">
        <f t="shared" si="7"/>
        <v/>
      </c>
      <c r="F478" s="79"/>
    </row>
    <row r="479" spans="4:6" x14ac:dyDescent="0.25">
      <c r="D479" s="41" t="str" cm="1">
        <f t="array" ref="D479">IF(H479="","",IF(AND(E479&lt;AVERAGE(E478,E480)*($L$19/100),$D$23:D478=""),H479,""))</f>
        <v/>
      </c>
      <c r="E479" s="78" t="str">
        <f t="shared" si="7"/>
        <v/>
      </c>
      <c r="F479" s="79"/>
    </row>
    <row r="480" spans="4:6" x14ac:dyDescent="0.25">
      <c r="D480" s="41" t="str" cm="1">
        <f t="array" ref="D480">IF(H480="","",IF(AND(E480&lt;AVERAGE(E479,E481)*($L$19/100),$D$23:D479=""),H480,""))</f>
        <v/>
      </c>
      <c r="E480" s="78" t="str">
        <f t="shared" si="7"/>
        <v/>
      </c>
      <c r="F480" s="79"/>
    </row>
    <row r="481" spans="4:6" x14ac:dyDescent="0.25">
      <c r="D481" s="41" t="str" cm="1">
        <f t="array" ref="D481">IF(H481="","",IF(AND(E481&lt;AVERAGE(E480,E482)*($L$19/100),$D$23:D480=""),H481,""))</f>
        <v/>
      </c>
      <c r="E481" s="78" t="str">
        <f t="shared" si="7"/>
        <v/>
      </c>
      <c r="F481" s="79"/>
    </row>
    <row r="482" spans="4:6" x14ac:dyDescent="0.25">
      <c r="D482" s="41" t="str" cm="1">
        <f t="array" ref="D482">IF(H482="","",IF(AND(E482&lt;AVERAGE(E481,E483)*($L$19/100),$D$23:D481=""),H482,""))</f>
        <v/>
      </c>
      <c r="E482" s="78" t="str">
        <f t="shared" si="7"/>
        <v/>
      </c>
      <c r="F482" s="79"/>
    </row>
    <row r="483" spans="4:6" x14ac:dyDescent="0.25">
      <c r="D483" s="41" t="str" cm="1">
        <f t="array" ref="D483">IF(H483="","",IF(AND(E483&lt;AVERAGE(E482,E484)*($L$19/100),$D$23:D482=""),H483,""))</f>
        <v/>
      </c>
      <c r="E483" s="78" t="str">
        <f t="shared" si="7"/>
        <v/>
      </c>
      <c r="F483" s="79"/>
    </row>
    <row r="484" spans="4:6" x14ac:dyDescent="0.25">
      <c r="D484" s="41" t="str" cm="1">
        <f t="array" ref="D484">IF(H484="","",IF(AND(E484&lt;AVERAGE(E483,E485)*($L$19/100),$D$23:D483=""),H484,""))</f>
        <v/>
      </c>
      <c r="E484" s="78" t="str">
        <f t="shared" si="7"/>
        <v/>
      </c>
      <c r="F484" s="79"/>
    </row>
    <row r="485" spans="4:6" x14ac:dyDescent="0.25">
      <c r="D485" s="41" t="str" cm="1">
        <f t="array" ref="D485">IF(H485="","",IF(AND(E485&lt;AVERAGE(E484,E486)*($L$19/100),$D$23:D484=""),H485,""))</f>
        <v/>
      </c>
      <c r="E485" s="78" t="str">
        <f t="shared" si="7"/>
        <v/>
      </c>
      <c r="F485" s="79"/>
    </row>
    <row r="486" spans="4:6" x14ac:dyDescent="0.25">
      <c r="D486" s="41" t="str" cm="1">
        <f t="array" ref="D486">IF(H486="","",IF(AND(E486&lt;AVERAGE(E485,E487)*($L$19/100),$D$23:D485=""),H486,""))</f>
        <v/>
      </c>
      <c r="E486" s="78" t="str">
        <f t="shared" si="7"/>
        <v/>
      </c>
      <c r="F486" s="79"/>
    </row>
    <row r="487" spans="4:6" x14ac:dyDescent="0.25">
      <c r="D487" s="41" t="str" cm="1">
        <f t="array" ref="D487">IF(H487="","",IF(AND(E487&lt;AVERAGE(E486,E488)*($L$19/100),$D$23:D486=""),H487,""))</f>
        <v/>
      </c>
      <c r="E487" s="78" t="str">
        <f t="shared" si="7"/>
        <v/>
      </c>
      <c r="F487" s="79"/>
    </row>
    <row r="488" spans="4:6" x14ac:dyDescent="0.25">
      <c r="D488" s="41" t="str" cm="1">
        <f t="array" ref="D488">IF(H488="","",IF(AND(E488&lt;AVERAGE(E487,E489)*($L$19/100),$D$23:D487=""),H488,""))</f>
        <v/>
      </c>
      <c r="E488" s="78" t="str">
        <f t="shared" si="7"/>
        <v/>
      </c>
      <c r="F488" s="79"/>
    </row>
    <row r="489" spans="4:6" x14ac:dyDescent="0.25">
      <c r="D489" s="41" t="str" cm="1">
        <f t="array" ref="D489">IF(H489="","",IF(AND(E489&lt;AVERAGE(E488,E490)*($L$19/100),$D$23:D488=""),H489,""))</f>
        <v/>
      </c>
      <c r="E489" s="78" t="str">
        <f t="shared" si="7"/>
        <v/>
      </c>
      <c r="F489" s="79"/>
    </row>
    <row r="490" spans="4:6" x14ac:dyDescent="0.25">
      <c r="D490" s="41" t="str" cm="1">
        <f t="array" ref="D490">IF(H490="","",IF(AND(E490&lt;AVERAGE(E489,E491)*($L$19/100),$D$23:D489=""),H490,""))</f>
        <v/>
      </c>
      <c r="E490" s="78" t="str">
        <f t="shared" si="7"/>
        <v/>
      </c>
      <c r="F490" s="79"/>
    </row>
    <row r="491" spans="4:6" x14ac:dyDescent="0.25">
      <c r="D491" s="41" t="str" cm="1">
        <f t="array" ref="D491">IF(H491="","",IF(AND(E491&lt;AVERAGE(E490,E492)*($L$19/100),$D$23:D490=""),H491,""))</f>
        <v/>
      </c>
      <c r="E491" s="78" t="str">
        <f t="shared" ref="E491:E554" si="8">IF(H491="","",ABS(I491-$G$19))</f>
        <v/>
      </c>
      <c r="F491" s="79"/>
    </row>
    <row r="492" spans="4:6" x14ac:dyDescent="0.25">
      <c r="D492" s="41" t="str" cm="1">
        <f t="array" ref="D492">IF(H492="","",IF(AND(E492&lt;AVERAGE(E491,E493)*($L$19/100),$D$23:D491=""),H492,""))</f>
        <v/>
      </c>
      <c r="E492" s="78" t="str">
        <f t="shared" si="8"/>
        <v/>
      </c>
      <c r="F492" s="79"/>
    </row>
    <row r="493" spans="4:6" x14ac:dyDescent="0.25">
      <c r="D493" s="41" t="str" cm="1">
        <f t="array" ref="D493">IF(H493="","",IF(AND(E493&lt;AVERAGE(E492,E494)*($L$19/100),$D$23:D492=""),H493,""))</f>
        <v/>
      </c>
      <c r="E493" s="78" t="str">
        <f t="shared" si="8"/>
        <v/>
      </c>
      <c r="F493" s="79"/>
    </row>
    <row r="494" spans="4:6" x14ac:dyDescent="0.25">
      <c r="D494" s="41" t="str" cm="1">
        <f t="array" ref="D494">IF(H494="","",IF(AND(E494&lt;AVERAGE(E493,E495)*($L$19/100),$D$23:D493=""),H494,""))</f>
        <v/>
      </c>
      <c r="E494" s="78" t="str">
        <f t="shared" si="8"/>
        <v/>
      </c>
      <c r="F494" s="79"/>
    </row>
    <row r="495" spans="4:6" x14ac:dyDescent="0.25">
      <c r="D495" s="41" t="str" cm="1">
        <f t="array" ref="D495">IF(H495="","",IF(AND(E495&lt;AVERAGE(E494,E496)*($L$19/100),$D$23:D494=""),H495,""))</f>
        <v/>
      </c>
      <c r="E495" s="78" t="str">
        <f t="shared" si="8"/>
        <v/>
      </c>
      <c r="F495" s="79"/>
    </row>
    <row r="496" spans="4:6" x14ac:dyDescent="0.25">
      <c r="D496" s="41" t="str" cm="1">
        <f t="array" ref="D496">IF(H496="","",IF(AND(E496&lt;AVERAGE(E495,E497)*($L$19/100),$D$23:D495=""),H496,""))</f>
        <v/>
      </c>
      <c r="E496" s="78" t="str">
        <f t="shared" si="8"/>
        <v/>
      </c>
      <c r="F496" s="79"/>
    </row>
    <row r="497" spans="4:6" x14ac:dyDescent="0.25">
      <c r="D497" s="41" t="str" cm="1">
        <f t="array" ref="D497">IF(H497="","",IF(AND(E497&lt;AVERAGE(E496,E498)*($L$19/100),$D$23:D496=""),H497,""))</f>
        <v/>
      </c>
      <c r="E497" s="78" t="str">
        <f t="shared" si="8"/>
        <v/>
      </c>
      <c r="F497" s="79"/>
    </row>
    <row r="498" spans="4:6" x14ac:dyDescent="0.25">
      <c r="D498" s="41" t="str" cm="1">
        <f t="array" ref="D498">IF(H498="","",IF(AND(E498&lt;AVERAGE(E497,E499)*($L$19/100),$D$23:D497=""),H498,""))</f>
        <v/>
      </c>
      <c r="E498" s="78" t="str">
        <f t="shared" si="8"/>
        <v/>
      </c>
      <c r="F498" s="79"/>
    </row>
    <row r="499" spans="4:6" x14ac:dyDescent="0.25">
      <c r="D499" s="41" t="str" cm="1">
        <f t="array" ref="D499">IF(H499="","",IF(AND(E499&lt;AVERAGE(E498,E500)*($L$19/100),$D$23:D498=""),H499,""))</f>
        <v/>
      </c>
      <c r="E499" s="78" t="str">
        <f t="shared" si="8"/>
        <v/>
      </c>
      <c r="F499" s="79"/>
    </row>
    <row r="500" spans="4:6" x14ac:dyDescent="0.25">
      <c r="D500" s="41" t="str" cm="1">
        <f t="array" ref="D500">IF(H500="","",IF(AND(E500&lt;AVERAGE(E499,E501)*($L$19/100),$D$23:D499=""),H500,""))</f>
        <v/>
      </c>
      <c r="E500" s="78" t="str">
        <f t="shared" si="8"/>
        <v/>
      </c>
      <c r="F500" s="79"/>
    </row>
    <row r="501" spans="4:6" x14ac:dyDescent="0.25">
      <c r="D501" s="41" t="str" cm="1">
        <f t="array" ref="D501">IF(H501="","",IF(AND(E501&lt;AVERAGE(E500,E502)*($L$19/100),$D$23:D500=""),H501,""))</f>
        <v/>
      </c>
      <c r="E501" s="78" t="str">
        <f t="shared" si="8"/>
        <v/>
      </c>
      <c r="F501" s="79"/>
    </row>
    <row r="502" spans="4:6" x14ac:dyDescent="0.25">
      <c r="D502" s="41" t="str" cm="1">
        <f t="array" ref="D502">IF(H502="","",IF(AND(E502&lt;AVERAGE(E501,E503)*($L$19/100),$D$23:D501=""),H502,""))</f>
        <v/>
      </c>
      <c r="E502" s="78" t="str">
        <f t="shared" si="8"/>
        <v/>
      </c>
      <c r="F502" s="79"/>
    </row>
    <row r="503" spans="4:6" x14ac:dyDescent="0.25">
      <c r="D503" s="41" t="str" cm="1">
        <f t="array" ref="D503">IF(H503="","",IF(AND(E503&lt;AVERAGE(E502,E504)*($L$19/100),$D$23:D502=""),H503,""))</f>
        <v/>
      </c>
      <c r="E503" s="78" t="str">
        <f t="shared" si="8"/>
        <v/>
      </c>
      <c r="F503" s="79"/>
    </row>
    <row r="504" spans="4:6" x14ac:dyDescent="0.25">
      <c r="D504" s="41" t="str" cm="1">
        <f t="array" ref="D504">IF(H504="","",IF(AND(E504&lt;AVERAGE(E503,E505)*($L$19/100),$D$23:D503=""),H504,""))</f>
        <v/>
      </c>
      <c r="E504" s="78" t="str">
        <f t="shared" si="8"/>
        <v/>
      </c>
      <c r="F504" s="79"/>
    </row>
    <row r="505" spans="4:6" x14ac:dyDescent="0.25">
      <c r="D505" s="41" t="str" cm="1">
        <f t="array" ref="D505">IF(H505="","",IF(AND(E505&lt;AVERAGE(E504,E506)*($L$19/100),$D$23:D504=""),H505,""))</f>
        <v/>
      </c>
      <c r="E505" s="78" t="str">
        <f t="shared" si="8"/>
        <v/>
      </c>
      <c r="F505" s="79"/>
    </row>
    <row r="506" spans="4:6" x14ac:dyDescent="0.25">
      <c r="D506" s="41" t="str" cm="1">
        <f t="array" ref="D506">IF(H506="","",IF(AND(E506&lt;AVERAGE(E505,E507)*($L$19/100),$D$23:D505=""),H506,""))</f>
        <v/>
      </c>
      <c r="E506" s="78" t="str">
        <f t="shared" si="8"/>
        <v/>
      </c>
      <c r="F506" s="79"/>
    </row>
    <row r="507" spans="4:6" x14ac:dyDescent="0.25">
      <c r="D507" s="41" t="str" cm="1">
        <f t="array" ref="D507">IF(H507="","",IF(AND(E507&lt;AVERAGE(E506,E508)*($L$19/100),$D$23:D506=""),H507,""))</f>
        <v/>
      </c>
      <c r="E507" s="78" t="str">
        <f t="shared" si="8"/>
        <v/>
      </c>
      <c r="F507" s="79"/>
    </row>
    <row r="508" spans="4:6" x14ac:dyDescent="0.25">
      <c r="D508" s="41" t="str" cm="1">
        <f t="array" ref="D508">IF(H508="","",IF(AND(E508&lt;AVERAGE(E507,E509)*($L$19/100),$D$23:D507=""),H508,""))</f>
        <v/>
      </c>
      <c r="E508" s="78" t="str">
        <f t="shared" si="8"/>
        <v/>
      </c>
      <c r="F508" s="79"/>
    </row>
    <row r="509" spans="4:6" x14ac:dyDescent="0.25">
      <c r="D509" s="41" t="str" cm="1">
        <f t="array" ref="D509">IF(H509="","",IF(AND(E509&lt;AVERAGE(E508,E510)*($L$19/100),$D$23:D508=""),H509,""))</f>
        <v/>
      </c>
      <c r="E509" s="78" t="str">
        <f t="shared" si="8"/>
        <v/>
      </c>
      <c r="F509" s="79"/>
    </row>
    <row r="510" spans="4:6" x14ac:dyDescent="0.25">
      <c r="D510" s="41" t="str" cm="1">
        <f t="array" ref="D510">IF(H510="","",IF(AND(E510&lt;AVERAGE(E509,E511)*($L$19/100),$D$23:D509=""),H510,""))</f>
        <v/>
      </c>
      <c r="E510" s="78" t="str">
        <f t="shared" si="8"/>
        <v/>
      </c>
      <c r="F510" s="79"/>
    </row>
    <row r="511" spans="4:6" x14ac:dyDescent="0.25">
      <c r="D511" s="41" t="str" cm="1">
        <f t="array" ref="D511">IF(H511="","",IF(AND(E511&lt;AVERAGE(E510,E512)*($L$19/100),$D$23:D510=""),H511,""))</f>
        <v/>
      </c>
      <c r="E511" s="78" t="str">
        <f t="shared" si="8"/>
        <v/>
      </c>
      <c r="F511" s="79"/>
    </row>
    <row r="512" spans="4:6" x14ac:dyDescent="0.25">
      <c r="D512" s="41" t="str" cm="1">
        <f t="array" ref="D512">IF(H512="","",IF(AND(E512&lt;AVERAGE(E511,E513)*($L$19/100),$D$23:D511=""),H512,""))</f>
        <v/>
      </c>
      <c r="E512" s="78" t="str">
        <f t="shared" si="8"/>
        <v/>
      </c>
      <c r="F512" s="79"/>
    </row>
    <row r="513" spans="4:6" x14ac:dyDescent="0.25">
      <c r="D513" s="41" t="str" cm="1">
        <f t="array" ref="D513">IF(H513="","",IF(AND(E513&lt;AVERAGE(E512,E514)*($L$19/100),$D$23:D512=""),H513,""))</f>
        <v/>
      </c>
      <c r="E513" s="78" t="str">
        <f t="shared" si="8"/>
        <v/>
      </c>
      <c r="F513" s="79"/>
    </row>
    <row r="514" spans="4:6" x14ac:dyDescent="0.25">
      <c r="D514" s="41" t="str" cm="1">
        <f t="array" ref="D514">IF(H514="","",IF(AND(E514&lt;AVERAGE(E513,E515)*($L$19/100),$D$23:D513=""),H514,""))</f>
        <v/>
      </c>
      <c r="E514" s="78" t="str">
        <f t="shared" si="8"/>
        <v/>
      </c>
      <c r="F514" s="79"/>
    </row>
    <row r="515" spans="4:6" x14ac:dyDescent="0.25">
      <c r="D515" s="41" t="str" cm="1">
        <f t="array" ref="D515">IF(H515="","",IF(AND(E515&lt;AVERAGE(E514,E516)*($L$19/100),$D$23:D514=""),H515,""))</f>
        <v/>
      </c>
      <c r="E515" s="78" t="str">
        <f t="shared" si="8"/>
        <v/>
      </c>
      <c r="F515" s="79"/>
    </row>
    <row r="516" spans="4:6" x14ac:dyDescent="0.25">
      <c r="D516" s="41" t="str" cm="1">
        <f t="array" ref="D516">IF(H516="","",IF(AND(E516&lt;AVERAGE(E515,E517)*($L$19/100),$D$23:D515=""),H516,""))</f>
        <v/>
      </c>
      <c r="E516" s="78" t="str">
        <f t="shared" si="8"/>
        <v/>
      </c>
      <c r="F516" s="79"/>
    </row>
    <row r="517" spans="4:6" x14ac:dyDescent="0.25">
      <c r="D517" s="41" t="str" cm="1">
        <f t="array" ref="D517">IF(H517="","",IF(AND(E517&lt;AVERAGE(E516,E518)*($L$19/100),$D$23:D516=""),H517,""))</f>
        <v/>
      </c>
      <c r="E517" s="78" t="str">
        <f t="shared" si="8"/>
        <v/>
      </c>
      <c r="F517" s="79"/>
    </row>
    <row r="518" spans="4:6" x14ac:dyDescent="0.25">
      <c r="D518" s="41" t="str" cm="1">
        <f t="array" ref="D518">IF(H518="","",IF(AND(E518&lt;AVERAGE(E517,E519)*($L$19/100),$D$23:D517=""),H518,""))</f>
        <v/>
      </c>
      <c r="E518" s="78" t="str">
        <f t="shared" si="8"/>
        <v/>
      </c>
      <c r="F518" s="79"/>
    </row>
    <row r="519" spans="4:6" x14ac:dyDescent="0.25">
      <c r="D519" s="41" t="str" cm="1">
        <f t="array" ref="D519">IF(H519="","",IF(AND(E519&lt;AVERAGE(E518,E520)*($L$19/100),$D$23:D518=""),H519,""))</f>
        <v/>
      </c>
      <c r="E519" s="78" t="str">
        <f t="shared" si="8"/>
        <v/>
      </c>
      <c r="F519" s="79"/>
    </row>
    <row r="520" spans="4:6" x14ac:dyDescent="0.25">
      <c r="D520" s="41" t="str" cm="1">
        <f t="array" ref="D520">IF(H520="","",IF(AND(E520&lt;AVERAGE(E519,E521)*($L$19/100),$D$23:D519=""),H520,""))</f>
        <v/>
      </c>
      <c r="E520" s="78" t="str">
        <f t="shared" si="8"/>
        <v/>
      </c>
      <c r="F520" s="79"/>
    </row>
    <row r="521" spans="4:6" x14ac:dyDescent="0.25">
      <c r="D521" s="41" t="str" cm="1">
        <f t="array" ref="D521">IF(H521="","",IF(AND(E521&lt;AVERAGE(E520,E522)*($L$19/100),$D$23:D520=""),H521,""))</f>
        <v/>
      </c>
      <c r="E521" s="78" t="str">
        <f t="shared" si="8"/>
        <v/>
      </c>
      <c r="F521" s="79"/>
    </row>
    <row r="522" spans="4:6" x14ac:dyDescent="0.25">
      <c r="D522" s="41" t="str" cm="1">
        <f t="array" ref="D522">IF(H522="","",IF(AND(E522&lt;AVERAGE(E521,E523)*($L$19/100),$D$23:D521=""),H522,""))</f>
        <v/>
      </c>
      <c r="E522" s="78" t="str">
        <f t="shared" si="8"/>
        <v/>
      </c>
      <c r="F522" s="79"/>
    </row>
    <row r="523" spans="4:6" x14ac:dyDescent="0.25">
      <c r="D523" s="41" t="str" cm="1">
        <f t="array" ref="D523">IF(H523="","",IF(AND(E523&lt;AVERAGE(E522,E524)*($L$19/100),$D$23:D522=""),H523,""))</f>
        <v/>
      </c>
      <c r="E523" s="78" t="str">
        <f t="shared" si="8"/>
        <v/>
      </c>
      <c r="F523" s="79"/>
    </row>
    <row r="524" spans="4:6" x14ac:dyDescent="0.25">
      <c r="D524" s="41" t="str" cm="1">
        <f t="array" ref="D524">IF(H524="","",IF(AND(E524&lt;AVERAGE(E523,E525)*($L$19/100),$D$23:D523=""),H524,""))</f>
        <v/>
      </c>
      <c r="E524" s="78" t="str">
        <f t="shared" si="8"/>
        <v/>
      </c>
      <c r="F524" s="79"/>
    </row>
    <row r="525" spans="4:6" x14ac:dyDescent="0.25">
      <c r="D525" s="41" t="str" cm="1">
        <f t="array" ref="D525">IF(H525="","",IF(AND(E525&lt;AVERAGE(E524,E526)*($L$19/100),$D$23:D524=""),H525,""))</f>
        <v/>
      </c>
      <c r="E525" s="78" t="str">
        <f t="shared" si="8"/>
        <v/>
      </c>
      <c r="F525" s="79"/>
    </row>
    <row r="526" spans="4:6" x14ac:dyDescent="0.25">
      <c r="D526" s="41" t="str" cm="1">
        <f t="array" ref="D526">IF(H526="","",IF(AND(E526&lt;AVERAGE(E525,E527)*($L$19/100),$D$23:D525=""),H526,""))</f>
        <v/>
      </c>
      <c r="E526" s="78" t="str">
        <f t="shared" si="8"/>
        <v/>
      </c>
      <c r="F526" s="79"/>
    </row>
    <row r="527" spans="4:6" x14ac:dyDescent="0.25">
      <c r="D527" s="41" t="str" cm="1">
        <f t="array" ref="D527">IF(H527="","",IF(AND(E527&lt;AVERAGE(E526,E528)*($L$19/100),$D$23:D526=""),H527,""))</f>
        <v/>
      </c>
      <c r="E527" s="78" t="str">
        <f t="shared" si="8"/>
        <v/>
      </c>
      <c r="F527" s="79"/>
    </row>
    <row r="528" spans="4:6" x14ac:dyDescent="0.25">
      <c r="D528" s="41" t="str" cm="1">
        <f t="array" ref="D528">IF(H528="","",IF(AND(E528&lt;AVERAGE(E527,E529)*($L$19/100),$D$23:D527=""),H528,""))</f>
        <v/>
      </c>
      <c r="E528" s="78" t="str">
        <f t="shared" si="8"/>
        <v/>
      </c>
      <c r="F528" s="79"/>
    </row>
    <row r="529" spans="4:6" x14ac:dyDescent="0.25">
      <c r="D529" s="41" t="str" cm="1">
        <f t="array" ref="D529">IF(H529="","",IF(AND(E529&lt;AVERAGE(E528,E530)*($L$19/100),$D$23:D528=""),H529,""))</f>
        <v/>
      </c>
      <c r="E529" s="78" t="str">
        <f t="shared" si="8"/>
        <v/>
      </c>
      <c r="F529" s="79"/>
    </row>
    <row r="530" spans="4:6" x14ac:dyDescent="0.25">
      <c r="D530" s="41" t="str" cm="1">
        <f t="array" ref="D530">IF(H530="","",IF(AND(E530&lt;AVERAGE(E529,E531)*($L$19/100),$D$23:D529=""),H530,""))</f>
        <v/>
      </c>
      <c r="E530" s="78" t="str">
        <f t="shared" si="8"/>
        <v/>
      </c>
      <c r="F530" s="79"/>
    </row>
    <row r="531" spans="4:6" x14ac:dyDescent="0.25">
      <c r="D531" s="41" t="str" cm="1">
        <f t="array" ref="D531">IF(H531="","",IF(AND(E531&lt;AVERAGE(E530,E532)*($L$19/100),$D$23:D530=""),H531,""))</f>
        <v/>
      </c>
      <c r="E531" s="78" t="str">
        <f t="shared" si="8"/>
        <v/>
      </c>
      <c r="F531" s="79"/>
    </row>
    <row r="532" spans="4:6" x14ac:dyDescent="0.25">
      <c r="D532" s="41" t="str" cm="1">
        <f t="array" ref="D532">IF(H532="","",IF(AND(E532&lt;AVERAGE(E531,E533)*($L$19/100),$D$23:D531=""),H532,""))</f>
        <v/>
      </c>
      <c r="E532" s="78" t="str">
        <f t="shared" si="8"/>
        <v/>
      </c>
      <c r="F532" s="79"/>
    </row>
    <row r="533" spans="4:6" x14ac:dyDescent="0.25">
      <c r="D533" s="41" t="str" cm="1">
        <f t="array" ref="D533">IF(H533="","",IF(AND(E533&lt;AVERAGE(E532,E534)*($L$19/100),$D$23:D532=""),H533,""))</f>
        <v/>
      </c>
      <c r="E533" s="78" t="str">
        <f t="shared" si="8"/>
        <v/>
      </c>
      <c r="F533" s="79"/>
    </row>
    <row r="534" spans="4:6" x14ac:dyDescent="0.25">
      <c r="D534" s="41" t="str" cm="1">
        <f t="array" ref="D534">IF(H534="","",IF(AND(E534&lt;AVERAGE(E533,E535)*($L$19/100),$D$23:D533=""),H534,""))</f>
        <v/>
      </c>
      <c r="E534" s="78" t="str">
        <f t="shared" si="8"/>
        <v/>
      </c>
      <c r="F534" s="79"/>
    </row>
    <row r="535" spans="4:6" x14ac:dyDescent="0.25">
      <c r="D535" s="41" t="str" cm="1">
        <f t="array" ref="D535">IF(H535="","",IF(AND(E535&lt;AVERAGE(E534,E536)*($L$19/100),$D$23:D534=""),H535,""))</f>
        <v/>
      </c>
      <c r="E535" s="78" t="str">
        <f t="shared" si="8"/>
        <v/>
      </c>
      <c r="F535" s="79"/>
    </row>
    <row r="536" spans="4:6" x14ac:dyDescent="0.25">
      <c r="D536" s="41" t="str" cm="1">
        <f t="array" ref="D536">IF(H536="","",IF(AND(E536&lt;AVERAGE(E535,E537)*($L$19/100),$D$23:D535=""),H536,""))</f>
        <v/>
      </c>
      <c r="E536" s="78" t="str">
        <f t="shared" si="8"/>
        <v/>
      </c>
      <c r="F536" s="79"/>
    </row>
    <row r="537" spans="4:6" x14ac:dyDescent="0.25">
      <c r="D537" s="41" t="str" cm="1">
        <f t="array" ref="D537">IF(H537="","",IF(AND(E537&lt;AVERAGE(E536,E538)*($L$19/100),$D$23:D536=""),H537,""))</f>
        <v/>
      </c>
      <c r="E537" s="78" t="str">
        <f t="shared" si="8"/>
        <v/>
      </c>
      <c r="F537" s="79"/>
    </row>
    <row r="538" spans="4:6" x14ac:dyDescent="0.25">
      <c r="D538" s="41" t="str" cm="1">
        <f t="array" ref="D538">IF(H538="","",IF(AND(E538&lt;AVERAGE(E537,E539)*($L$19/100),$D$23:D537=""),H538,""))</f>
        <v/>
      </c>
      <c r="E538" s="78" t="str">
        <f t="shared" si="8"/>
        <v/>
      </c>
      <c r="F538" s="79"/>
    </row>
    <row r="539" spans="4:6" x14ac:dyDescent="0.25">
      <c r="D539" s="41" t="str" cm="1">
        <f t="array" ref="D539">IF(H539="","",IF(AND(E539&lt;AVERAGE(E538,E540)*($L$19/100),$D$23:D538=""),H539,""))</f>
        <v/>
      </c>
      <c r="E539" s="78" t="str">
        <f t="shared" si="8"/>
        <v/>
      </c>
      <c r="F539" s="79"/>
    </row>
    <row r="540" spans="4:6" x14ac:dyDescent="0.25">
      <c r="D540" s="41" t="str" cm="1">
        <f t="array" ref="D540">IF(H540="","",IF(AND(E540&lt;AVERAGE(E539,E541)*($L$19/100),$D$23:D539=""),H540,""))</f>
        <v/>
      </c>
      <c r="E540" s="78" t="str">
        <f t="shared" si="8"/>
        <v/>
      </c>
      <c r="F540" s="79"/>
    </row>
    <row r="541" spans="4:6" x14ac:dyDescent="0.25">
      <c r="D541" s="41" t="str" cm="1">
        <f t="array" ref="D541">IF(H541="","",IF(AND(E541&lt;AVERAGE(E540,E542)*($L$19/100),$D$23:D540=""),H541,""))</f>
        <v/>
      </c>
      <c r="E541" s="78" t="str">
        <f t="shared" si="8"/>
        <v/>
      </c>
      <c r="F541" s="79"/>
    </row>
    <row r="542" spans="4:6" x14ac:dyDescent="0.25">
      <c r="D542" s="41" t="str" cm="1">
        <f t="array" ref="D542">IF(H542="","",IF(AND(E542&lt;AVERAGE(E541,E543)*($L$19/100),$D$23:D541=""),H542,""))</f>
        <v/>
      </c>
      <c r="E542" s="78" t="str">
        <f t="shared" si="8"/>
        <v/>
      </c>
      <c r="F542" s="79"/>
    </row>
    <row r="543" spans="4:6" x14ac:dyDescent="0.25">
      <c r="D543" s="41" t="str" cm="1">
        <f t="array" ref="D543">IF(H543="","",IF(AND(E543&lt;AVERAGE(E542,E544)*($L$19/100),$D$23:D542=""),H543,""))</f>
        <v/>
      </c>
      <c r="E543" s="78" t="str">
        <f t="shared" si="8"/>
        <v/>
      </c>
      <c r="F543" s="79"/>
    </row>
    <row r="544" spans="4:6" x14ac:dyDescent="0.25">
      <c r="D544" s="41" t="str" cm="1">
        <f t="array" ref="D544">IF(H544="","",IF(AND(E544&lt;AVERAGE(E543,E545)*($L$19/100),$D$23:D543=""),H544,""))</f>
        <v/>
      </c>
      <c r="E544" s="78" t="str">
        <f t="shared" si="8"/>
        <v/>
      </c>
      <c r="F544" s="79"/>
    </row>
    <row r="545" spans="4:6" x14ac:dyDescent="0.25">
      <c r="D545" s="41" t="str" cm="1">
        <f t="array" ref="D545">IF(H545="","",IF(AND(E545&lt;AVERAGE(E544,E546)*($L$19/100),$D$23:D544=""),H545,""))</f>
        <v/>
      </c>
      <c r="E545" s="78" t="str">
        <f t="shared" si="8"/>
        <v/>
      </c>
      <c r="F545" s="79"/>
    </row>
    <row r="546" spans="4:6" x14ac:dyDescent="0.25">
      <c r="D546" s="41" t="str" cm="1">
        <f t="array" ref="D546">IF(H546="","",IF(AND(E546&lt;AVERAGE(E545,E547)*($L$19/100),$D$23:D545=""),H546,""))</f>
        <v/>
      </c>
      <c r="E546" s="78" t="str">
        <f t="shared" si="8"/>
        <v/>
      </c>
      <c r="F546" s="79"/>
    </row>
    <row r="547" spans="4:6" x14ac:dyDescent="0.25">
      <c r="D547" s="41" t="str" cm="1">
        <f t="array" ref="D547">IF(H547="","",IF(AND(E547&lt;AVERAGE(E546,E548)*($L$19/100),$D$23:D546=""),H547,""))</f>
        <v/>
      </c>
      <c r="E547" s="78" t="str">
        <f t="shared" si="8"/>
        <v/>
      </c>
      <c r="F547" s="79"/>
    </row>
    <row r="548" spans="4:6" x14ac:dyDescent="0.25">
      <c r="D548" s="41" t="str" cm="1">
        <f t="array" ref="D548">IF(H548="","",IF(AND(E548&lt;AVERAGE(E547,E549)*($L$19/100),$D$23:D547=""),H548,""))</f>
        <v/>
      </c>
      <c r="E548" s="78" t="str">
        <f t="shared" si="8"/>
        <v/>
      </c>
      <c r="F548" s="79"/>
    </row>
    <row r="549" spans="4:6" x14ac:dyDescent="0.25">
      <c r="D549" s="41" t="str" cm="1">
        <f t="array" ref="D549">IF(H549="","",IF(AND(E549&lt;AVERAGE(E548,E550)*($L$19/100),$D$23:D548=""),H549,""))</f>
        <v/>
      </c>
      <c r="E549" s="78" t="str">
        <f t="shared" si="8"/>
        <v/>
      </c>
      <c r="F549" s="79"/>
    </row>
    <row r="550" spans="4:6" x14ac:dyDescent="0.25">
      <c r="D550" s="41" t="str" cm="1">
        <f t="array" ref="D550">IF(H550="","",IF(AND(E550&lt;AVERAGE(E549,E551)*($L$19/100),$D$23:D549=""),H550,""))</f>
        <v/>
      </c>
      <c r="E550" s="78" t="str">
        <f t="shared" si="8"/>
        <v/>
      </c>
      <c r="F550" s="79"/>
    </row>
    <row r="551" spans="4:6" x14ac:dyDescent="0.25">
      <c r="D551" s="41" t="str" cm="1">
        <f t="array" ref="D551">IF(H551="","",IF(AND(E551&lt;AVERAGE(E550,E552)*($L$19/100),$D$23:D550=""),H551,""))</f>
        <v/>
      </c>
      <c r="E551" s="78" t="str">
        <f t="shared" si="8"/>
        <v/>
      </c>
      <c r="F551" s="79"/>
    </row>
    <row r="552" spans="4:6" x14ac:dyDescent="0.25">
      <c r="D552" s="41" t="str" cm="1">
        <f t="array" ref="D552">IF(H552="","",IF(AND(E552&lt;AVERAGE(E551,E553)*($L$19/100),$D$23:D551=""),H552,""))</f>
        <v/>
      </c>
      <c r="E552" s="78" t="str">
        <f t="shared" si="8"/>
        <v/>
      </c>
      <c r="F552" s="79"/>
    </row>
    <row r="553" spans="4:6" x14ac:dyDescent="0.25">
      <c r="D553" s="41" t="str" cm="1">
        <f t="array" ref="D553">IF(H553="","",IF(AND(E553&lt;AVERAGE(E552,E554)*($L$19/100),$D$23:D552=""),H553,""))</f>
        <v/>
      </c>
      <c r="E553" s="78" t="str">
        <f t="shared" si="8"/>
        <v/>
      </c>
      <c r="F553" s="79"/>
    </row>
    <row r="554" spans="4:6" x14ac:dyDescent="0.25">
      <c r="D554" s="41" t="str" cm="1">
        <f t="array" ref="D554">IF(H554="","",IF(AND(E554&lt;AVERAGE(E553,E555)*($L$19/100),$D$23:D553=""),H554,""))</f>
        <v/>
      </c>
      <c r="E554" s="78" t="str">
        <f t="shared" si="8"/>
        <v/>
      </c>
      <c r="F554" s="79"/>
    </row>
    <row r="555" spans="4:6" x14ac:dyDescent="0.25">
      <c r="D555" s="41" t="str" cm="1">
        <f t="array" ref="D555">IF(H555="","",IF(AND(E555&lt;AVERAGE(E554,E556)*($L$19/100),$D$23:D554=""),H555,""))</f>
        <v/>
      </c>
      <c r="E555" s="78" t="str">
        <f t="shared" ref="E555:E618" si="9">IF(H555="","",ABS(I555-$G$19))</f>
        <v/>
      </c>
      <c r="F555" s="79"/>
    </row>
    <row r="556" spans="4:6" x14ac:dyDescent="0.25">
      <c r="D556" s="41" t="str" cm="1">
        <f t="array" ref="D556">IF(H556="","",IF(AND(E556&lt;AVERAGE(E555,E557)*($L$19/100),$D$23:D555=""),H556,""))</f>
        <v/>
      </c>
      <c r="E556" s="78" t="str">
        <f t="shared" si="9"/>
        <v/>
      </c>
      <c r="F556" s="79"/>
    </row>
    <row r="557" spans="4:6" x14ac:dyDescent="0.25">
      <c r="D557" s="41" t="str" cm="1">
        <f t="array" ref="D557">IF(H557="","",IF(AND(E557&lt;AVERAGE(E556,E558)*($L$19/100),$D$23:D556=""),H557,""))</f>
        <v/>
      </c>
      <c r="E557" s="78" t="str">
        <f t="shared" si="9"/>
        <v/>
      </c>
      <c r="F557" s="79"/>
    </row>
    <row r="558" spans="4:6" x14ac:dyDescent="0.25">
      <c r="D558" s="41" t="str" cm="1">
        <f t="array" ref="D558">IF(H558="","",IF(AND(E558&lt;AVERAGE(E557,E559)*($L$19/100),$D$23:D557=""),H558,""))</f>
        <v/>
      </c>
      <c r="E558" s="78" t="str">
        <f t="shared" si="9"/>
        <v/>
      </c>
      <c r="F558" s="79"/>
    </row>
    <row r="559" spans="4:6" x14ac:dyDescent="0.25">
      <c r="D559" s="41" t="str" cm="1">
        <f t="array" ref="D559">IF(H559="","",IF(AND(E559&lt;AVERAGE(E558,E560)*($L$19/100),$D$23:D558=""),H559,""))</f>
        <v/>
      </c>
      <c r="E559" s="78" t="str">
        <f t="shared" si="9"/>
        <v/>
      </c>
      <c r="F559" s="79"/>
    </row>
    <row r="560" spans="4:6" x14ac:dyDescent="0.25">
      <c r="D560" s="41" t="str" cm="1">
        <f t="array" ref="D560">IF(H560="","",IF(AND(E560&lt;AVERAGE(E559,E561)*($L$19/100),$D$23:D559=""),H560,""))</f>
        <v/>
      </c>
      <c r="E560" s="78" t="str">
        <f t="shared" si="9"/>
        <v/>
      </c>
      <c r="F560" s="79"/>
    </row>
    <row r="561" spans="4:6" x14ac:dyDescent="0.25">
      <c r="D561" s="41" t="str" cm="1">
        <f t="array" ref="D561">IF(H561="","",IF(AND(E561&lt;AVERAGE(E560,E562)*($L$19/100),$D$23:D560=""),H561,""))</f>
        <v/>
      </c>
      <c r="E561" s="78" t="str">
        <f t="shared" si="9"/>
        <v/>
      </c>
      <c r="F561" s="79"/>
    </row>
    <row r="562" spans="4:6" x14ac:dyDescent="0.25">
      <c r="D562" s="41" t="str" cm="1">
        <f t="array" ref="D562">IF(H562="","",IF(AND(E562&lt;AVERAGE(E561,E563)*($L$19/100),$D$23:D561=""),H562,""))</f>
        <v/>
      </c>
      <c r="E562" s="78" t="str">
        <f t="shared" si="9"/>
        <v/>
      </c>
      <c r="F562" s="79"/>
    </row>
    <row r="563" spans="4:6" x14ac:dyDescent="0.25">
      <c r="D563" s="41" t="str" cm="1">
        <f t="array" ref="D563">IF(H563="","",IF(AND(E563&lt;AVERAGE(E562,E564)*($L$19/100),$D$23:D562=""),H563,""))</f>
        <v/>
      </c>
      <c r="E563" s="78" t="str">
        <f t="shared" si="9"/>
        <v/>
      </c>
      <c r="F563" s="79"/>
    </row>
    <row r="564" spans="4:6" x14ac:dyDescent="0.25">
      <c r="D564" s="41" t="str" cm="1">
        <f t="array" ref="D564">IF(H564="","",IF(AND(E564&lt;AVERAGE(E563,E565)*($L$19/100),$D$23:D563=""),H564,""))</f>
        <v/>
      </c>
      <c r="E564" s="78" t="str">
        <f t="shared" si="9"/>
        <v/>
      </c>
      <c r="F564" s="79"/>
    </row>
    <row r="565" spans="4:6" x14ac:dyDescent="0.25">
      <c r="D565" s="41" t="str" cm="1">
        <f t="array" ref="D565">IF(H565="","",IF(AND(E565&lt;AVERAGE(E564,E566)*($L$19/100),$D$23:D564=""),H565,""))</f>
        <v/>
      </c>
      <c r="E565" s="78" t="str">
        <f t="shared" si="9"/>
        <v/>
      </c>
      <c r="F565" s="79"/>
    </row>
    <row r="566" spans="4:6" x14ac:dyDescent="0.25">
      <c r="D566" s="41" t="str" cm="1">
        <f t="array" ref="D566">IF(H566="","",IF(AND(E566&lt;AVERAGE(E565,E567)*($L$19/100),$D$23:D565=""),H566,""))</f>
        <v/>
      </c>
      <c r="E566" s="78" t="str">
        <f t="shared" si="9"/>
        <v/>
      </c>
      <c r="F566" s="79"/>
    </row>
    <row r="567" spans="4:6" x14ac:dyDescent="0.25">
      <c r="D567" s="41" t="str" cm="1">
        <f t="array" ref="D567">IF(H567="","",IF(AND(E567&lt;AVERAGE(E566,E568)*($L$19/100),$D$23:D566=""),H567,""))</f>
        <v/>
      </c>
      <c r="E567" s="78" t="str">
        <f t="shared" si="9"/>
        <v/>
      </c>
      <c r="F567" s="79"/>
    </row>
    <row r="568" spans="4:6" x14ac:dyDescent="0.25">
      <c r="D568" s="41" t="str" cm="1">
        <f t="array" ref="D568">IF(H568="","",IF(AND(E568&lt;AVERAGE(E567,E569)*($L$19/100),$D$23:D567=""),H568,""))</f>
        <v/>
      </c>
      <c r="E568" s="78" t="str">
        <f t="shared" si="9"/>
        <v/>
      </c>
      <c r="F568" s="79"/>
    </row>
    <row r="569" spans="4:6" x14ac:dyDescent="0.25">
      <c r="D569" s="41" t="str" cm="1">
        <f t="array" ref="D569">IF(H569="","",IF(AND(E569&lt;AVERAGE(E568,E570)*($L$19/100),$D$23:D568=""),H569,""))</f>
        <v/>
      </c>
      <c r="E569" s="78" t="str">
        <f t="shared" si="9"/>
        <v/>
      </c>
      <c r="F569" s="79"/>
    </row>
    <row r="570" spans="4:6" x14ac:dyDescent="0.25">
      <c r="D570" s="41" t="str" cm="1">
        <f t="array" ref="D570">IF(H570="","",IF(AND(E570&lt;AVERAGE(E569,E571)*($L$19/100),$D$23:D569=""),H570,""))</f>
        <v/>
      </c>
      <c r="E570" s="78" t="str">
        <f t="shared" si="9"/>
        <v/>
      </c>
      <c r="F570" s="79"/>
    </row>
    <row r="571" spans="4:6" x14ac:dyDescent="0.25">
      <c r="D571" s="41" t="str" cm="1">
        <f t="array" ref="D571">IF(H571="","",IF(AND(E571&lt;AVERAGE(E570,E572)*($L$19/100),$D$23:D570=""),H571,""))</f>
        <v/>
      </c>
      <c r="E571" s="78" t="str">
        <f t="shared" si="9"/>
        <v/>
      </c>
      <c r="F571" s="79"/>
    </row>
    <row r="572" spans="4:6" x14ac:dyDescent="0.25">
      <c r="D572" s="41" t="str" cm="1">
        <f t="array" ref="D572">IF(H572="","",IF(AND(E572&lt;AVERAGE(E571,E573)*($L$19/100),$D$23:D571=""),H572,""))</f>
        <v/>
      </c>
      <c r="E572" s="78" t="str">
        <f t="shared" si="9"/>
        <v/>
      </c>
      <c r="F572" s="79"/>
    </row>
    <row r="573" spans="4:6" x14ac:dyDescent="0.25">
      <c r="D573" s="41" t="str" cm="1">
        <f t="array" ref="D573">IF(H573="","",IF(AND(E573&lt;AVERAGE(E572,E574)*($L$19/100),$D$23:D572=""),H573,""))</f>
        <v/>
      </c>
      <c r="E573" s="78" t="str">
        <f t="shared" si="9"/>
        <v/>
      </c>
      <c r="F573" s="79"/>
    </row>
    <row r="574" spans="4:6" x14ac:dyDescent="0.25">
      <c r="D574" s="41" t="str" cm="1">
        <f t="array" ref="D574">IF(H574="","",IF(AND(E574&lt;AVERAGE(E573,E575)*($L$19/100),$D$23:D573=""),H574,""))</f>
        <v/>
      </c>
      <c r="E574" s="78" t="str">
        <f t="shared" si="9"/>
        <v/>
      </c>
      <c r="F574" s="79"/>
    </row>
    <row r="575" spans="4:6" x14ac:dyDescent="0.25">
      <c r="D575" s="41" t="str" cm="1">
        <f t="array" ref="D575">IF(H575="","",IF(AND(E575&lt;AVERAGE(E574,E576)*($L$19/100),$D$23:D574=""),H575,""))</f>
        <v/>
      </c>
      <c r="E575" s="78" t="str">
        <f t="shared" si="9"/>
        <v/>
      </c>
      <c r="F575" s="79"/>
    </row>
    <row r="576" spans="4:6" x14ac:dyDescent="0.25">
      <c r="D576" s="41" t="str" cm="1">
        <f t="array" ref="D576">IF(H576="","",IF(AND(E576&lt;AVERAGE(E575,E577)*($L$19/100),$D$23:D575=""),H576,""))</f>
        <v/>
      </c>
      <c r="E576" s="78" t="str">
        <f t="shared" si="9"/>
        <v/>
      </c>
      <c r="F576" s="79"/>
    </row>
    <row r="577" spans="4:6" x14ac:dyDescent="0.25">
      <c r="D577" s="41" t="str" cm="1">
        <f t="array" ref="D577">IF(H577="","",IF(AND(E577&lt;AVERAGE(E576,E578)*($L$19/100),$D$23:D576=""),H577,""))</f>
        <v/>
      </c>
      <c r="E577" s="78" t="str">
        <f t="shared" si="9"/>
        <v/>
      </c>
      <c r="F577" s="79"/>
    </row>
    <row r="578" spans="4:6" x14ac:dyDescent="0.25">
      <c r="D578" s="41" t="str" cm="1">
        <f t="array" ref="D578">IF(H578="","",IF(AND(E578&lt;AVERAGE(E577,E579)*($L$19/100),$D$23:D577=""),H578,""))</f>
        <v/>
      </c>
      <c r="E578" s="78" t="str">
        <f t="shared" si="9"/>
        <v/>
      </c>
      <c r="F578" s="79"/>
    </row>
    <row r="579" spans="4:6" x14ac:dyDescent="0.25">
      <c r="D579" s="41" t="str" cm="1">
        <f t="array" ref="D579">IF(H579="","",IF(AND(E579&lt;AVERAGE(E578,E580)*($L$19/100),$D$23:D578=""),H579,""))</f>
        <v/>
      </c>
      <c r="E579" s="78" t="str">
        <f t="shared" si="9"/>
        <v/>
      </c>
      <c r="F579" s="79"/>
    </row>
    <row r="580" spans="4:6" x14ac:dyDescent="0.25">
      <c r="D580" s="41" t="str" cm="1">
        <f t="array" ref="D580">IF(H580="","",IF(AND(E580&lt;AVERAGE(E579,E581)*($L$19/100),$D$23:D579=""),H580,""))</f>
        <v/>
      </c>
      <c r="E580" s="78" t="str">
        <f t="shared" si="9"/>
        <v/>
      </c>
      <c r="F580" s="79"/>
    </row>
    <row r="581" spans="4:6" x14ac:dyDescent="0.25">
      <c r="D581" s="41" t="str" cm="1">
        <f t="array" ref="D581">IF(H581="","",IF(AND(E581&lt;AVERAGE(E580,E582)*($L$19/100),$D$23:D580=""),H581,""))</f>
        <v/>
      </c>
      <c r="E581" s="78" t="str">
        <f t="shared" si="9"/>
        <v/>
      </c>
      <c r="F581" s="79"/>
    </row>
    <row r="582" spans="4:6" x14ac:dyDescent="0.25">
      <c r="D582" s="41" t="str" cm="1">
        <f t="array" ref="D582">IF(H582="","",IF(AND(E582&lt;AVERAGE(E581,E583)*($L$19/100),$D$23:D581=""),H582,""))</f>
        <v/>
      </c>
      <c r="E582" s="78" t="str">
        <f t="shared" si="9"/>
        <v/>
      </c>
      <c r="F582" s="79"/>
    </row>
    <row r="583" spans="4:6" x14ac:dyDescent="0.25">
      <c r="D583" s="41" t="str" cm="1">
        <f t="array" ref="D583">IF(H583="","",IF(AND(E583&lt;AVERAGE(E582,E584)*($L$19/100),$D$23:D582=""),H583,""))</f>
        <v/>
      </c>
      <c r="E583" s="78" t="str">
        <f t="shared" si="9"/>
        <v/>
      </c>
      <c r="F583" s="79"/>
    </row>
    <row r="584" spans="4:6" x14ac:dyDescent="0.25">
      <c r="D584" s="41" t="str" cm="1">
        <f t="array" ref="D584">IF(H584="","",IF(AND(E584&lt;AVERAGE(E583,E585)*($L$19/100),$D$23:D583=""),H584,""))</f>
        <v/>
      </c>
      <c r="E584" s="78" t="str">
        <f t="shared" si="9"/>
        <v/>
      </c>
      <c r="F584" s="79"/>
    </row>
    <row r="585" spans="4:6" x14ac:dyDescent="0.25">
      <c r="D585" s="41" t="str" cm="1">
        <f t="array" ref="D585">IF(H585="","",IF(AND(E585&lt;AVERAGE(E584,E586)*($L$19/100),$D$23:D584=""),H585,""))</f>
        <v/>
      </c>
      <c r="E585" s="78" t="str">
        <f t="shared" si="9"/>
        <v/>
      </c>
      <c r="F585" s="79"/>
    </row>
    <row r="586" spans="4:6" x14ac:dyDescent="0.25">
      <c r="D586" s="41" t="str" cm="1">
        <f t="array" ref="D586">IF(H586="","",IF(AND(E586&lt;AVERAGE(E585,E587)*($L$19/100),$D$23:D585=""),H586,""))</f>
        <v/>
      </c>
      <c r="E586" s="78" t="str">
        <f t="shared" si="9"/>
        <v/>
      </c>
      <c r="F586" s="79"/>
    </row>
    <row r="587" spans="4:6" x14ac:dyDescent="0.25">
      <c r="D587" s="41" t="str" cm="1">
        <f t="array" ref="D587">IF(H587="","",IF(AND(E587&lt;AVERAGE(E586,E588)*($L$19/100),$D$23:D586=""),H587,""))</f>
        <v/>
      </c>
      <c r="E587" s="78" t="str">
        <f t="shared" si="9"/>
        <v/>
      </c>
      <c r="F587" s="79"/>
    </row>
    <row r="588" spans="4:6" x14ac:dyDescent="0.25">
      <c r="D588" s="41" t="str" cm="1">
        <f t="array" ref="D588">IF(H588="","",IF(AND(E588&lt;AVERAGE(E587,E589)*($L$19/100),$D$23:D587=""),H588,""))</f>
        <v/>
      </c>
      <c r="E588" s="78" t="str">
        <f t="shared" si="9"/>
        <v/>
      </c>
      <c r="F588" s="79"/>
    </row>
    <row r="589" spans="4:6" x14ac:dyDescent="0.25">
      <c r="D589" s="41" t="str" cm="1">
        <f t="array" ref="D589">IF(H589="","",IF(AND(E589&lt;AVERAGE(E588,E590)*($L$19/100),$D$23:D588=""),H589,""))</f>
        <v/>
      </c>
      <c r="E589" s="78" t="str">
        <f t="shared" si="9"/>
        <v/>
      </c>
      <c r="F589" s="79"/>
    </row>
    <row r="590" spans="4:6" x14ac:dyDescent="0.25">
      <c r="D590" s="41" t="str" cm="1">
        <f t="array" ref="D590">IF(H590="","",IF(AND(E590&lt;AVERAGE(E589,E591)*($L$19/100),$D$23:D589=""),H590,""))</f>
        <v/>
      </c>
      <c r="E590" s="78" t="str">
        <f t="shared" si="9"/>
        <v/>
      </c>
      <c r="F590" s="79"/>
    </row>
    <row r="591" spans="4:6" x14ac:dyDescent="0.25">
      <c r="D591" s="41" t="str" cm="1">
        <f t="array" ref="D591">IF(H591="","",IF(AND(E591&lt;AVERAGE(E590,E592)*($L$19/100),$D$23:D590=""),H591,""))</f>
        <v/>
      </c>
      <c r="E591" s="78" t="str">
        <f t="shared" si="9"/>
        <v/>
      </c>
      <c r="F591" s="79"/>
    </row>
    <row r="592" spans="4:6" x14ac:dyDescent="0.25">
      <c r="D592" s="41" t="str" cm="1">
        <f t="array" ref="D592">IF(H592="","",IF(AND(E592&lt;AVERAGE(E591,E593)*($L$19/100),$D$23:D591=""),H592,""))</f>
        <v/>
      </c>
      <c r="E592" s="78" t="str">
        <f t="shared" si="9"/>
        <v/>
      </c>
      <c r="F592" s="79"/>
    </row>
    <row r="593" spans="4:6" x14ac:dyDescent="0.25">
      <c r="D593" s="41" t="str" cm="1">
        <f t="array" ref="D593">IF(H593="","",IF(AND(E593&lt;AVERAGE(E592,E594)*($L$19/100),$D$23:D592=""),H593,""))</f>
        <v/>
      </c>
      <c r="E593" s="78" t="str">
        <f t="shared" si="9"/>
        <v/>
      </c>
      <c r="F593" s="79"/>
    </row>
    <row r="594" spans="4:6" x14ac:dyDescent="0.25">
      <c r="D594" s="41" t="str" cm="1">
        <f t="array" ref="D594">IF(H594="","",IF(AND(E594&lt;AVERAGE(E593,E595)*($L$19/100),$D$23:D593=""),H594,""))</f>
        <v/>
      </c>
      <c r="E594" s="78" t="str">
        <f t="shared" si="9"/>
        <v/>
      </c>
      <c r="F594" s="79"/>
    </row>
    <row r="595" spans="4:6" x14ac:dyDescent="0.25">
      <c r="D595" s="41" t="str" cm="1">
        <f t="array" ref="D595">IF(H595="","",IF(AND(E595&lt;AVERAGE(E594,E596)*($L$19/100),$D$23:D594=""),H595,""))</f>
        <v/>
      </c>
      <c r="E595" s="78" t="str">
        <f t="shared" si="9"/>
        <v/>
      </c>
      <c r="F595" s="79"/>
    </row>
    <row r="596" spans="4:6" x14ac:dyDescent="0.25">
      <c r="D596" s="41" t="str" cm="1">
        <f t="array" ref="D596">IF(H596="","",IF(AND(E596&lt;AVERAGE(E595,E597)*($L$19/100),$D$23:D595=""),H596,""))</f>
        <v/>
      </c>
      <c r="E596" s="78" t="str">
        <f t="shared" si="9"/>
        <v/>
      </c>
      <c r="F596" s="79"/>
    </row>
    <row r="597" spans="4:6" x14ac:dyDescent="0.25">
      <c r="D597" s="41" t="str" cm="1">
        <f t="array" ref="D597">IF(H597="","",IF(AND(E597&lt;AVERAGE(E596,E598)*($L$19/100),$D$23:D596=""),H597,""))</f>
        <v/>
      </c>
      <c r="E597" s="78" t="str">
        <f t="shared" si="9"/>
        <v/>
      </c>
      <c r="F597" s="79"/>
    </row>
    <row r="598" spans="4:6" x14ac:dyDescent="0.25">
      <c r="D598" s="41" t="str" cm="1">
        <f t="array" ref="D598">IF(H598="","",IF(AND(E598&lt;AVERAGE(E597,E599)*($L$19/100),$D$23:D597=""),H598,""))</f>
        <v/>
      </c>
      <c r="E598" s="78" t="str">
        <f t="shared" si="9"/>
        <v/>
      </c>
      <c r="F598" s="79"/>
    </row>
    <row r="599" spans="4:6" x14ac:dyDescent="0.25">
      <c r="D599" s="41" t="str" cm="1">
        <f t="array" ref="D599">IF(H599="","",IF(AND(E599&lt;AVERAGE(E598,E600)*($L$19/100),$D$23:D598=""),H599,""))</f>
        <v/>
      </c>
      <c r="E599" s="78" t="str">
        <f t="shared" si="9"/>
        <v/>
      </c>
      <c r="F599" s="79"/>
    </row>
    <row r="600" spans="4:6" x14ac:dyDescent="0.25">
      <c r="D600" s="41" t="str" cm="1">
        <f t="array" ref="D600">IF(H600="","",IF(AND(E600&lt;AVERAGE(E599,E601)*($L$19/100),$D$23:D599=""),H600,""))</f>
        <v/>
      </c>
      <c r="E600" s="78" t="str">
        <f t="shared" si="9"/>
        <v/>
      </c>
      <c r="F600" s="79"/>
    </row>
    <row r="601" spans="4:6" x14ac:dyDescent="0.25">
      <c r="D601" s="41" t="str" cm="1">
        <f t="array" ref="D601">IF(H601="","",IF(AND(E601&lt;AVERAGE(E600,E602)*($L$19/100),$D$23:D600=""),H601,""))</f>
        <v/>
      </c>
      <c r="E601" s="78" t="str">
        <f t="shared" si="9"/>
        <v/>
      </c>
      <c r="F601" s="79"/>
    </row>
    <row r="602" spans="4:6" x14ac:dyDescent="0.25">
      <c r="D602" s="41" t="str" cm="1">
        <f t="array" ref="D602">IF(H602="","",IF(AND(E602&lt;AVERAGE(E601,E603)*($L$19/100),$D$23:D601=""),H602,""))</f>
        <v/>
      </c>
      <c r="E602" s="78" t="str">
        <f t="shared" si="9"/>
        <v/>
      </c>
      <c r="F602" s="79"/>
    </row>
    <row r="603" spans="4:6" x14ac:dyDescent="0.25">
      <c r="D603" s="41" t="str" cm="1">
        <f t="array" ref="D603">IF(H603="","",IF(AND(E603&lt;AVERAGE(E602,E604)*($L$19/100),$D$23:D602=""),H603,""))</f>
        <v/>
      </c>
      <c r="E603" s="78" t="str">
        <f t="shared" si="9"/>
        <v/>
      </c>
      <c r="F603" s="79"/>
    </row>
    <row r="604" spans="4:6" x14ac:dyDescent="0.25">
      <c r="D604" s="41" t="str" cm="1">
        <f t="array" ref="D604">IF(H604="","",IF(AND(E604&lt;AVERAGE(E603,E605)*($L$19/100),$D$23:D603=""),H604,""))</f>
        <v/>
      </c>
      <c r="E604" s="78" t="str">
        <f t="shared" si="9"/>
        <v/>
      </c>
      <c r="F604" s="79"/>
    </row>
    <row r="605" spans="4:6" x14ac:dyDescent="0.25">
      <c r="D605" s="41" t="str" cm="1">
        <f t="array" ref="D605">IF(H605="","",IF(AND(E605&lt;AVERAGE(E604,E606)*($L$19/100),$D$23:D604=""),H605,""))</f>
        <v/>
      </c>
      <c r="E605" s="78" t="str">
        <f t="shared" si="9"/>
        <v/>
      </c>
      <c r="F605" s="79"/>
    </row>
    <row r="606" spans="4:6" x14ac:dyDescent="0.25">
      <c r="D606" s="41" t="str" cm="1">
        <f t="array" ref="D606">IF(H606="","",IF(AND(E606&lt;AVERAGE(E605,E607)*($L$19/100),$D$23:D605=""),H606,""))</f>
        <v/>
      </c>
      <c r="E606" s="78" t="str">
        <f t="shared" si="9"/>
        <v/>
      </c>
      <c r="F606" s="79"/>
    </row>
    <row r="607" spans="4:6" x14ac:dyDescent="0.25">
      <c r="D607" s="41" t="str" cm="1">
        <f t="array" ref="D607">IF(H607="","",IF(AND(E607&lt;AVERAGE(E606,E608)*($L$19/100),$D$23:D606=""),H607,""))</f>
        <v/>
      </c>
      <c r="E607" s="78" t="str">
        <f t="shared" si="9"/>
        <v/>
      </c>
      <c r="F607" s="79"/>
    </row>
    <row r="608" spans="4:6" x14ac:dyDescent="0.25">
      <c r="D608" s="41" t="str" cm="1">
        <f t="array" ref="D608">IF(H608="","",IF(AND(E608&lt;AVERAGE(E607,E609)*($L$19/100),$D$23:D607=""),H608,""))</f>
        <v/>
      </c>
      <c r="E608" s="78" t="str">
        <f t="shared" si="9"/>
        <v/>
      </c>
      <c r="F608" s="79"/>
    </row>
    <row r="609" spans="4:6" x14ac:dyDescent="0.25">
      <c r="D609" s="41" t="str" cm="1">
        <f t="array" ref="D609">IF(H609="","",IF(AND(E609&lt;AVERAGE(E608,E610)*($L$19/100),$D$23:D608=""),H609,""))</f>
        <v/>
      </c>
      <c r="E609" s="78" t="str">
        <f t="shared" si="9"/>
        <v/>
      </c>
      <c r="F609" s="79"/>
    </row>
    <row r="610" spans="4:6" x14ac:dyDescent="0.25">
      <c r="D610" s="41" t="str" cm="1">
        <f t="array" ref="D610">IF(H610="","",IF(AND(E610&lt;AVERAGE(E609,E611)*($L$19/100),$D$23:D609=""),H610,""))</f>
        <v/>
      </c>
      <c r="E610" s="78" t="str">
        <f t="shared" si="9"/>
        <v/>
      </c>
      <c r="F610" s="79"/>
    </row>
    <row r="611" spans="4:6" x14ac:dyDescent="0.25">
      <c r="D611" s="41" t="str" cm="1">
        <f t="array" ref="D611">IF(H611="","",IF(AND(E611&lt;AVERAGE(E610,E612)*($L$19/100),$D$23:D610=""),H611,""))</f>
        <v/>
      </c>
      <c r="E611" s="78" t="str">
        <f t="shared" si="9"/>
        <v/>
      </c>
      <c r="F611" s="79"/>
    </row>
    <row r="612" spans="4:6" x14ac:dyDescent="0.25">
      <c r="D612" s="41" t="str" cm="1">
        <f t="array" ref="D612">IF(H612="","",IF(AND(E612&lt;AVERAGE(E611,E613)*($L$19/100),$D$23:D611=""),H612,""))</f>
        <v/>
      </c>
      <c r="E612" s="78" t="str">
        <f t="shared" si="9"/>
        <v/>
      </c>
      <c r="F612" s="79"/>
    </row>
    <row r="613" spans="4:6" x14ac:dyDescent="0.25">
      <c r="D613" s="41" t="str" cm="1">
        <f t="array" ref="D613">IF(H613="","",IF(AND(E613&lt;AVERAGE(E612,E614)*($L$19/100),$D$23:D612=""),H613,""))</f>
        <v/>
      </c>
      <c r="E613" s="78" t="str">
        <f t="shared" si="9"/>
        <v/>
      </c>
      <c r="F613" s="79"/>
    </row>
    <row r="614" spans="4:6" x14ac:dyDescent="0.25">
      <c r="D614" s="41" t="str" cm="1">
        <f t="array" ref="D614">IF(H614="","",IF(AND(E614&lt;AVERAGE(E613,E615)*($L$19/100),$D$23:D613=""),H614,""))</f>
        <v/>
      </c>
      <c r="E614" s="78" t="str">
        <f t="shared" si="9"/>
        <v/>
      </c>
      <c r="F614" s="79"/>
    </row>
    <row r="615" spans="4:6" x14ac:dyDescent="0.25">
      <c r="D615" s="41" t="str" cm="1">
        <f t="array" ref="D615">IF(H615="","",IF(AND(E615&lt;AVERAGE(E614,E616)*($L$19/100),$D$23:D614=""),H615,""))</f>
        <v/>
      </c>
      <c r="E615" s="78" t="str">
        <f t="shared" si="9"/>
        <v/>
      </c>
      <c r="F615" s="79"/>
    </row>
    <row r="616" spans="4:6" x14ac:dyDescent="0.25">
      <c r="D616" s="41" t="str" cm="1">
        <f t="array" ref="D616">IF(H616="","",IF(AND(E616&lt;AVERAGE(E615,E617)*($L$19/100),$D$23:D615=""),H616,""))</f>
        <v/>
      </c>
      <c r="E616" s="78" t="str">
        <f t="shared" si="9"/>
        <v/>
      </c>
      <c r="F616" s="79"/>
    </row>
    <row r="617" spans="4:6" x14ac:dyDescent="0.25">
      <c r="D617" s="41" t="str" cm="1">
        <f t="array" ref="D617">IF(H617="","",IF(AND(E617&lt;AVERAGE(E616,E618)*($L$19/100),$D$23:D616=""),H617,""))</f>
        <v/>
      </c>
      <c r="E617" s="78" t="str">
        <f t="shared" si="9"/>
        <v/>
      </c>
      <c r="F617" s="79"/>
    </row>
    <row r="618" spans="4:6" x14ac:dyDescent="0.25">
      <c r="D618" s="41" t="str" cm="1">
        <f t="array" ref="D618">IF(H618="","",IF(AND(E618&lt;AVERAGE(E617,E619)*($L$19/100),$D$23:D617=""),H618,""))</f>
        <v/>
      </c>
      <c r="E618" s="78" t="str">
        <f t="shared" si="9"/>
        <v/>
      </c>
      <c r="F618" s="79"/>
    </row>
    <row r="619" spans="4:6" x14ac:dyDescent="0.25">
      <c r="D619" s="41" t="str" cm="1">
        <f t="array" ref="D619">IF(H619="","",IF(AND(E619&lt;AVERAGE(E618,E620)*($L$19/100),$D$23:D618=""),H619,""))</f>
        <v/>
      </c>
      <c r="E619" s="78" t="str">
        <f t="shared" ref="E619:E682" si="10">IF(H619="","",ABS(I619-$G$19))</f>
        <v/>
      </c>
      <c r="F619" s="79"/>
    </row>
    <row r="620" spans="4:6" x14ac:dyDescent="0.25">
      <c r="D620" s="41" t="str" cm="1">
        <f t="array" ref="D620">IF(H620="","",IF(AND(E620&lt;AVERAGE(E619,E621)*($L$19/100),$D$23:D619=""),H620,""))</f>
        <v/>
      </c>
      <c r="E620" s="78" t="str">
        <f t="shared" si="10"/>
        <v/>
      </c>
      <c r="F620" s="79"/>
    </row>
    <row r="621" spans="4:6" x14ac:dyDescent="0.25">
      <c r="D621" s="41" t="str" cm="1">
        <f t="array" ref="D621">IF(H621="","",IF(AND(E621&lt;AVERAGE(E620,E622)*($L$19/100),$D$23:D620=""),H621,""))</f>
        <v/>
      </c>
      <c r="E621" s="78" t="str">
        <f t="shared" si="10"/>
        <v/>
      </c>
      <c r="F621" s="79"/>
    </row>
    <row r="622" spans="4:6" x14ac:dyDescent="0.25">
      <c r="D622" s="41" t="str" cm="1">
        <f t="array" ref="D622">IF(H622="","",IF(AND(E622&lt;AVERAGE(E621,E623)*($L$19/100),$D$23:D621=""),H622,""))</f>
        <v/>
      </c>
      <c r="E622" s="78" t="str">
        <f t="shared" si="10"/>
        <v/>
      </c>
      <c r="F622" s="79"/>
    </row>
    <row r="623" spans="4:6" x14ac:dyDescent="0.25">
      <c r="D623" s="41" t="str" cm="1">
        <f t="array" ref="D623">IF(H623="","",IF(AND(E623&lt;AVERAGE(E622,E624)*($L$19/100),$D$23:D622=""),H623,""))</f>
        <v/>
      </c>
      <c r="E623" s="78" t="str">
        <f t="shared" si="10"/>
        <v/>
      </c>
      <c r="F623" s="79"/>
    </row>
    <row r="624" spans="4:6" x14ac:dyDescent="0.25">
      <c r="D624" s="41" t="str" cm="1">
        <f t="array" ref="D624">IF(H624="","",IF(AND(E624&lt;AVERAGE(E623,E625)*($L$19/100),$D$23:D623=""),H624,""))</f>
        <v/>
      </c>
      <c r="E624" s="78" t="str">
        <f t="shared" si="10"/>
        <v/>
      </c>
      <c r="F624" s="79"/>
    </row>
    <row r="625" spans="4:6" x14ac:dyDescent="0.25">
      <c r="D625" s="41" t="str" cm="1">
        <f t="array" ref="D625">IF(H625="","",IF(AND(E625&lt;AVERAGE(E624,E626)*($L$19/100),$D$23:D624=""),H625,""))</f>
        <v/>
      </c>
      <c r="E625" s="78" t="str">
        <f t="shared" si="10"/>
        <v/>
      </c>
      <c r="F625" s="79"/>
    </row>
    <row r="626" spans="4:6" x14ac:dyDescent="0.25">
      <c r="D626" s="41" t="str" cm="1">
        <f t="array" ref="D626">IF(H626="","",IF(AND(E626&lt;AVERAGE(E625,E627)*($L$19/100),$D$23:D625=""),H626,""))</f>
        <v/>
      </c>
      <c r="E626" s="78" t="str">
        <f t="shared" si="10"/>
        <v/>
      </c>
      <c r="F626" s="79"/>
    </row>
    <row r="627" spans="4:6" x14ac:dyDescent="0.25">
      <c r="D627" s="41" t="str" cm="1">
        <f t="array" ref="D627">IF(H627="","",IF(AND(E627&lt;AVERAGE(E626,E628)*($L$19/100),$D$23:D626=""),H627,""))</f>
        <v/>
      </c>
      <c r="E627" s="78" t="str">
        <f t="shared" si="10"/>
        <v/>
      </c>
      <c r="F627" s="79"/>
    </row>
    <row r="628" spans="4:6" x14ac:dyDescent="0.25">
      <c r="D628" s="41" t="str" cm="1">
        <f t="array" ref="D628">IF(H628="","",IF(AND(E628&lt;AVERAGE(E627,E629)*($L$19/100),$D$23:D627=""),H628,""))</f>
        <v/>
      </c>
      <c r="E628" s="78" t="str">
        <f t="shared" si="10"/>
        <v/>
      </c>
      <c r="F628" s="79"/>
    </row>
    <row r="629" spans="4:6" x14ac:dyDescent="0.25">
      <c r="D629" s="41" t="str" cm="1">
        <f t="array" ref="D629">IF(H629="","",IF(AND(E629&lt;AVERAGE(E628,E630)*($L$19/100),$D$23:D628=""),H629,""))</f>
        <v/>
      </c>
      <c r="E629" s="78" t="str">
        <f t="shared" si="10"/>
        <v/>
      </c>
      <c r="F629" s="79"/>
    </row>
    <row r="630" spans="4:6" x14ac:dyDescent="0.25">
      <c r="D630" s="41" t="str" cm="1">
        <f t="array" ref="D630">IF(H630="","",IF(AND(E630&lt;AVERAGE(E629,E631)*($L$19/100),$D$23:D629=""),H630,""))</f>
        <v/>
      </c>
      <c r="E630" s="78" t="str">
        <f t="shared" si="10"/>
        <v/>
      </c>
      <c r="F630" s="79"/>
    </row>
    <row r="631" spans="4:6" x14ac:dyDescent="0.25">
      <c r="D631" s="41" t="str" cm="1">
        <f t="array" ref="D631">IF(H631="","",IF(AND(E631&lt;AVERAGE(E630,E632)*($L$19/100),$D$23:D630=""),H631,""))</f>
        <v/>
      </c>
      <c r="E631" s="78" t="str">
        <f t="shared" si="10"/>
        <v/>
      </c>
      <c r="F631" s="79"/>
    </row>
    <row r="632" spans="4:6" x14ac:dyDescent="0.25">
      <c r="D632" s="41" t="str" cm="1">
        <f t="array" ref="D632">IF(H632="","",IF(AND(E632&lt;AVERAGE(E631,E633)*($L$19/100),$D$23:D631=""),H632,""))</f>
        <v/>
      </c>
      <c r="E632" s="78" t="str">
        <f t="shared" si="10"/>
        <v/>
      </c>
      <c r="F632" s="79"/>
    </row>
    <row r="633" spans="4:6" x14ac:dyDescent="0.25">
      <c r="D633" s="41" t="str" cm="1">
        <f t="array" ref="D633">IF(H633="","",IF(AND(E633&lt;AVERAGE(E632,E634)*($L$19/100),$D$23:D632=""),H633,""))</f>
        <v/>
      </c>
      <c r="E633" s="78" t="str">
        <f t="shared" si="10"/>
        <v/>
      </c>
      <c r="F633" s="79"/>
    </row>
    <row r="634" spans="4:6" x14ac:dyDescent="0.25">
      <c r="D634" s="41" t="str" cm="1">
        <f t="array" ref="D634">IF(H634="","",IF(AND(E634&lt;AVERAGE(E633,E635)*($L$19/100),$D$23:D633=""),H634,""))</f>
        <v/>
      </c>
      <c r="E634" s="78" t="str">
        <f t="shared" si="10"/>
        <v/>
      </c>
      <c r="F634" s="79"/>
    </row>
    <row r="635" spans="4:6" x14ac:dyDescent="0.25">
      <c r="D635" s="41" t="str" cm="1">
        <f t="array" ref="D635">IF(H635="","",IF(AND(E635&lt;AVERAGE(E634,E636)*($L$19/100),$D$23:D634=""),H635,""))</f>
        <v/>
      </c>
      <c r="E635" s="78" t="str">
        <f t="shared" si="10"/>
        <v/>
      </c>
      <c r="F635" s="79"/>
    </row>
    <row r="636" spans="4:6" x14ac:dyDescent="0.25">
      <c r="D636" s="41" t="str" cm="1">
        <f t="array" ref="D636">IF(H636="","",IF(AND(E636&lt;AVERAGE(E635,E637)*($L$19/100),$D$23:D635=""),H636,""))</f>
        <v/>
      </c>
      <c r="E636" s="78" t="str">
        <f t="shared" si="10"/>
        <v/>
      </c>
      <c r="F636" s="79"/>
    </row>
    <row r="637" spans="4:6" x14ac:dyDescent="0.25">
      <c r="D637" s="41" t="str" cm="1">
        <f t="array" ref="D637">IF(H637="","",IF(AND(E637&lt;AVERAGE(E636,E638)*($L$19/100),$D$23:D636=""),H637,""))</f>
        <v/>
      </c>
      <c r="E637" s="78" t="str">
        <f t="shared" si="10"/>
        <v/>
      </c>
      <c r="F637" s="79"/>
    </row>
    <row r="638" spans="4:6" x14ac:dyDescent="0.25">
      <c r="D638" s="41" t="str" cm="1">
        <f t="array" ref="D638">IF(H638="","",IF(AND(E638&lt;AVERAGE(E637,E639)*($L$19/100),$D$23:D637=""),H638,""))</f>
        <v/>
      </c>
      <c r="E638" s="78" t="str">
        <f t="shared" si="10"/>
        <v/>
      </c>
      <c r="F638" s="79"/>
    </row>
    <row r="639" spans="4:6" x14ac:dyDescent="0.25">
      <c r="D639" s="41" t="str" cm="1">
        <f t="array" ref="D639">IF(H639="","",IF(AND(E639&lt;AVERAGE(E638,E640)*($L$19/100),$D$23:D638=""),H639,""))</f>
        <v/>
      </c>
      <c r="E639" s="78" t="str">
        <f t="shared" si="10"/>
        <v/>
      </c>
      <c r="F639" s="79"/>
    </row>
    <row r="640" spans="4:6" x14ac:dyDescent="0.25">
      <c r="D640" s="41" t="str" cm="1">
        <f t="array" ref="D640">IF(H640="","",IF(AND(E640&lt;AVERAGE(E639,E641)*($L$19/100),$D$23:D639=""),H640,""))</f>
        <v/>
      </c>
      <c r="E640" s="78" t="str">
        <f t="shared" si="10"/>
        <v/>
      </c>
      <c r="F640" s="79"/>
    </row>
    <row r="641" spans="4:6" x14ac:dyDescent="0.25">
      <c r="D641" s="41" t="str" cm="1">
        <f t="array" ref="D641">IF(H641="","",IF(AND(E641&lt;AVERAGE(E640,E642)*($L$19/100),$D$23:D640=""),H641,""))</f>
        <v/>
      </c>
      <c r="E641" s="78" t="str">
        <f t="shared" si="10"/>
        <v/>
      </c>
      <c r="F641" s="79"/>
    </row>
    <row r="642" spans="4:6" x14ac:dyDescent="0.25">
      <c r="D642" s="41" t="str" cm="1">
        <f t="array" ref="D642">IF(H642="","",IF(AND(E642&lt;AVERAGE(E641,E643)*($L$19/100),$D$23:D641=""),H642,""))</f>
        <v/>
      </c>
      <c r="E642" s="78" t="str">
        <f t="shared" si="10"/>
        <v/>
      </c>
      <c r="F642" s="79"/>
    </row>
    <row r="643" spans="4:6" x14ac:dyDescent="0.25">
      <c r="D643" s="41" t="str" cm="1">
        <f t="array" ref="D643">IF(H643="","",IF(AND(E643&lt;AVERAGE(E642,E644)*($L$19/100),$D$23:D642=""),H643,""))</f>
        <v/>
      </c>
      <c r="E643" s="78" t="str">
        <f t="shared" si="10"/>
        <v/>
      </c>
      <c r="F643" s="79"/>
    </row>
    <row r="644" spans="4:6" x14ac:dyDescent="0.25">
      <c r="D644" s="41" t="str" cm="1">
        <f t="array" ref="D644">IF(H644="","",IF(AND(E644&lt;AVERAGE(E643,E645)*($L$19/100),$D$23:D643=""),H644,""))</f>
        <v/>
      </c>
      <c r="E644" s="78" t="str">
        <f t="shared" si="10"/>
        <v/>
      </c>
      <c r="F644" s="79"/>
    </row>
    <row r="645" spans="4:6" x14ac:dyDescent="0.25">
      <c r="D645" s="41" t="str" cm="1">
        <f t="array" ref="D645">IF(H645="","",IF(AND(E645&lt;AVERAGE(E644,E646)*($L$19/100),$D$23:D644=""),H645,""))</f>
        <v/>
      </c>
      <c r="E645" s="78" t="str">
        <f t="shared" si="10"/>
        <v/>
      </c>
      <c r="F645" s="79"/>
    </row>
    <row r="646" spans="4:6" x14ac:dyDescent="0.25">
      <c r="D646" s="41" t="str" cm="1">
        <f t="array" ref="D646">IF(H646="","",IF(AND(E646&lt;AVERAGE(E645,E647)*($L$19/100),$D$23:D645=""),H646,""))</f>
        <v/>
      </c>
      <c r="E646" s="78" t="str">
        <f t="shared" si="10"/>
        <v/>
      </c>
      <c r="F646" s="79"/>
    </row>
    <row r="647" spans="4:6" x14ac:dyDescent="0.25">
      <c r="D647" s="41" t="str" cm="1">
        <f t="array" ref="D647">IF(H647="","",IF(AND(E647&lt;AVERAGE(E646,E648)*($L$19/100),$D$23:D646=""),H647,""))</f>
        <v/>
      </c>
      <c r="E647" s="78" t="str">
        <f t="shared" si="10"/>
        <v/>
      </c>
      <c r="F647" s="79"/>
    </row>
    <row r="648" spans="4:6" x14ac:dyDescent="0.25">
      <c r="D648" s="41" t="str" cm="1">
        <f t="array" ref="D648">IF(H648="","",IF(AND(E648&lt;AVERAGE(E647,E649)*($L$19/100),$D$23:D647=""),H648,""))</f>
        <v/>
      </c>
      <c r="E648" s="78" t="str">
        <f t="shared" si="10"/>
        <v/>
      </c>
      <c r="F648" s="79"/>
    </row>
    <row r="649" spans="4:6" x14ac:dyDescent="0.25">
      <c r="D649" s="41" t="str" cm="1">
        <f t="array" ref="D649">IF(H649="","",IF(AND(E649&lt;AVERAGE(E648,E650)*($L$19/100),$D$23:D648=""),H649,""))</f>
        <v/>
      </c>
      <c r="E649" s="78" t="str">
        <f t="shared" si="10"/>
        <v/>
      </c>
      <c r="F649" s="79"/>
    </row>
    <row r="650" spans="4:6" x14ac:dyDescent="0.25">
      <c r="D650" s="41" t="str" cm="1">
        <f t="array" ref="D650">IF(H650="","",IF(AND(E650&lt;AVERAGE(E649,E651)*($L$19/100),$D$23:D649=""),H650,""))</f>
        <v/>
      </c>
      <c r="E650" s="78" t="str">
        <f t="shared" si="10"/>
        <v/>
      </c>
      <c r="F650" s="79"/>
    </row>
    <row r="651" spans="4:6" x14ac:dyDescent="0.25">
      <c r="D651" s="41" t="str" cm="1">
        <f t="array" ref="D651">IF(H651="","",IF(AND(E651&lt;AVERAGE(E650,E652)*($L$19/100),$D$23:D650=""),H651,""))</f>
        <v/>
      </c>
      <c r="E651" s="78" t="str">
        <f t="shared" si="10"/>
        <v/>
      </c>
      <c r="F651" s="79"/>
    </row>
    <row r="652" spans="4:6" x14ac:dyDescent="0.25">
      <c r="D652" s="41" t="str" cm="1">
        <f t="array" ref="D652">IF(H652="","",IF(AND(E652&lt;AVERAGE(E651,E653)*($L$19/100),$D$23:D651=""),H652,""))</f>
        <v/>
      </c>
      <c r="E652" s="78" t="str">
        <f t="shared" si="10"/>
        <v/>
      </c>
      <c r="F652" s="79"/>
    </row>
    <row r="653" spans="4:6" x14ac:dyDescent="0.25">
      <c r="D653" s="41" t="str" cm="1">
        <f t="array" ref="D653">IF(H653="","",IF(AND(E653&lt;AVERAGE(E652,E654)*($L$19/100),$D$23:D652=""),H653,""))</f>
        <v/>
      </c>
      <c r="E653" s="78" t="str">
        <f t="shared" si="10"/>
        <v/>
      </c>
      <c r="F653" s="79"/>
    </row>
    <row r="654" spans="4:6" x14ac:dyDescent="0.25">
      <c r="D654" s="41" t="str" cm="1">
        <f t="array" ref="D654">IF(H654="","",IF(AND(E654&lt;AVERAGE(E653,E655)*($L$19/100),$D$23:D653=""),H654,""))</f>
        <v/>
      </c>
      <c r="E654" s="78" t="str">
        <f t="shared" si="10"/>
        <v/>
      </c>
      <c r="F654" s="79"/>
    </row>
    <row r="655" spans="4:6" x14ac:dyDescent="0.25">
      <c r="D655" s="41" t="str" cm="1">
        <f t="array" ref="D655">IF(H655="","",IF(AND(E655&lt;AVERAGE(E654,E656)*($L$19/100),$D$23:D654=""),H655,""))</f>
        <v/>
      </c>
      <c r="E655" s="78" t="str">
        <f t="shared" si="10"/>
        <v/>
      </c>
      <c r="F655" s="79"/>
    </row>
    <row r="656" spans="4:6" x14ac:dyDescent="0.25">
      <c r="D656" s="41" t="str" cm="1">
        <f t="array" ref="D656">IF(H656="","",IF(AND(E656&lt;AVERAGE(E655,E657)*($L$19/100),$D$23:D655=""),H656,""))</f>
        <v/>
      </c>
      <c r="E656" s="78" t="str">
        <f t="shared" si="10"/>
        <v/>
      </c>
      <c r="F656" s="79"/>
    </row>
    <row r="657" spans="4:6" x14ac:dyDescent="0.25">
      <c r="D657" s="41" t="str" cm="1">
        <f t="array" ref="D657">IF(H657="","",IF(AND(E657&lt;AVERAGE(E656,E658)*($L$19/100),$D$23:D656=""),H657,""))</f>
        <v/>
      </c>
      <c r="E657" s="78" t="str">
        <f t="shared" si="10"/>
        <v/>
      </c>
      <c r="F657" s="79"/>
    </row>
    <row r="658" spans="4:6" x14ac:dyDescent="0.25">
      <c r="D658" s="41" t="str" cm="1">
        <f t="array" ref="D658">IF(H658="","",IF(AND(E658&lt;AVERAGE(E657,E659)*($L$19/100),$D$23:D657=""),H658,""))</f>
        <v/>
      </c>
      <c r="E658" s="78" t="str">
        <f t="shared" si="10"/>
        <v/>
      </c>
      <c r="F658" s="79"/>
    </row>
    <row r="659" spans="4:6" x14ac:dyDescent="0.25">
      <c r="D659" s="41" t="str" cm="1">
        <f t="array" ref="D659">IF(H659="","",IF(AND(E659&lt;AVERAGE(E658,E660)*($L$19/100),$D$23:D658=""),H659,""))</f>
        <v/>
      </c>
      <c r="E659" s="78" t="str">
        <f t="shared" si="10"/>
        <v/>
      </c>
      <c r="F659" s="79"/>
    </row>
    <row r="660" spans="4:6" x14ac:dyDescent="0.25">
      <c r="D660" s="41" t="str" cm="1">
        <f t="array" ref="D660">IF(H660="","",IF(AND(E660&lt;AVERAGE(E659,E661)*($L$19/100),$D$23:D659=""),H660,""))</f>
        <v/>
      </c>
      <c r="E660" s="78" t="str">
        <f t="shared" si="10"/>
        <v/>
      </c>
      <c r="F660" s="79"/>
    </row>
    <row r="661" spans="4:6" x14ac:dyDescent="0.25">
      <c r="D661" s="41" t="str" cm="1">
        <f t="array" ref="D661">IF(H661="","",IF(AND(E661&lt;AVERAGE(E660,E662)*($L$19/100),$D$23:D660=""),H661,""))</f>
        <v/>
      </c>
      <c r="E661" s="78" t="str">
        <f t="shared" si="10"/>
        <v/>
      </c>
      <c r="F661" s="79"/>
    </row>
    <row r="662" spans="4:6" x14ac:dyDescent="0.25">
      <c r="D662" s="41" t="str" cm="1">
        <f t="array" ref="D662">IF(H662="","",IF(AND(E662&lt;AVERAGE(E661,E663)*($L$19/100),$D$23:D661=""),H662,""))</f>
        <v/>
      </c>
      <c r="E662" s="78" t="str">
        <f t="shared" si="10"/>
        <v/>
      </c>
      <c r="F662" s="79"/>
    </row>
    <row r="663" spans="4:6" x14ac:dyDescent="0.25">
      <c r="D663" s="41" t="str" cm="1">
        <f t="array" ref="D663">IF(H663="","",IF(AND(E663&lt;AVERAGE(E662,E664)*($L$19/100),$D$23:D662=""),H663,""))</f>
        <v/>
      </c>
      <c r="E663" s="78" t="str">
        <f t="shared" si="10"/>
        <v/>
      </c>
      <c r="F663" s="79"/>
    </row>
    <row r="664" spans="4:6" x14ac:dyDescent="0.25">
      <c r="D664" s="41" t="str" cm="1">
        <f t="array" ref="D664">IF(H664="","",IF(AND(E664&lt;AVERAGE(E663,E665)*($L$19/100),$D$23:D663=""),H664,""))</f>
        <v/>
      </c>
      <c r="E664" s="78" t="str">
        <f t="shared" si="10"/>
        <v/>
      </c>
      <c r="F664" s="79"/>
    </row>
    <row r="665" spans="4:6" x14ac:dyDescent="0.25">
      <c r="D665" s="41" t="str" cm="1">
        <f t="array" ref="D665">IF(H665="","",IF(AND(E665&lt;AVERAGE(E664,E666)*($L$19/100),$D$23:D664=""),H665,""))</f>
        <v/>
      </c>
      <c r="E665" s="78" t="str">
        <f t="shared" si="10"/>
        <v/>
      </c>
      <c r="F665" s="79"/>
    </row>
    <row r="666" spans="4:6" x14ac:dyDescent="0.25">
      <c r="D666" s="41" t="str" cm="1">
        <f t="array" ref="D666">IF(H666="","",IF(AND(E666&lt;AVERAGE(E665,E667)*($L$19/100),$D$23:D665=""),H666,""))</f>
        <v/>
      </c>
      <c r="E666" s="78" t="str">
        <f t="shared" si="10"/>
        <v/>
      </c>
      <c r="F666" s="79"/>
    </row>
    <row r="667" spans="4:6" x14ac:dyDescent="0.25">
      <c r="D667" s="41" t="str" cm="1">
        <f t="array" ref="D667">IF(H667="","",IF(AND(E667&lt;AVERAGE(E666,E668)*($L$19/100),$D$23:D666=""),H667,""))</f>
        <v/>
      </c>
      <c r="E667" s="78" t="str">
        <f t="shared" si="10"/>
        <v/>
      </c>
      <c r="F667" s="79"/>
    </row>
    <row r="668" spans="4:6" x14ac:dyDescent="0.25">
      <c r="D668" s="41" t="str" cm="1">
        <f t="array" ref="D668">IF(H668="","",IF(AND(E668&lt;AVERAGE(E667,E669)*($L$19/100),$D$23:D667=""),H668,""))</f>
        <v/>
      </c>
      <c r="E668" s="78" t="str">
        <f t="shared" si="10"/>
        <v/>
      </c>
      <c r="F668" s="79"/>
    </row>
    <row r="669" spans="4:6" x14ac:dyDescent="0.25">
      <c r="D669" s="41" t="str" cm="1">
        <f t="array" ref="D669">IF(H669="","",IF(AND(E669&lt;AVERAGE(E668,E670)*($L$19/100),$D$23:D668=""),H669,""))</f>
        <v/>
      </c>
      <c r="E669" s="78" t="str">
        <f t="shared" si="10"/>
        <v/>
      </c>
      <c r="F669" s="79"/>
    </row>
    <row r="670" spans="4:6" x14ac:dyDescent="0.25">
      <c r="D670" s="41" t="str" cm="1">
        <f t="array" ref="D670">IF(H670="","",IF(AND(E670&lt;AVERAGE(E669,E671)*($L$19/100),$D$23:D669=""),H670,""))</f>
        <v/>
      </c>
      <c r="E670" s="78" t="str">
        <f t="shared" si="10"/>
        <v/>
      </c>
      <c r="F670" s="79"/>
    </row>
    <row r="671" spans="4:6" x14ac:dyDescent="0.25">
      <c r="D671" s="41" t="str" cm="1">
        <f t="array" ref="D671">IF(H671="","",IF(AND(E671&lt;AVERAGE(E670,E672)*($L$19/100),$D$23:D670=""),H671,""))</f>
        <v/>
      </c>
      <c r="E671" s="78" t="str">
        <f t="shared" si="10"/>
        <v/>
      </c>
      <c r="F671" s="79"/>
    </row>
    <row r="672" spans="4:6" x14ac:dyDescent="0.25">
      <c r="D672" s="41" t="str" cm="1">
        <f t="array" ref="D672">IF(H672="","",IF(AND(E672&lt;AVERAGE(E671,E673)*($L$19/100),$D$23:D671=""),H672,""))</f>
        <v/>
      </c>
      <c r="E672" s="78" t="str">
        <f t="shared" si="10"/>
        <v/>
      </c>
      <c r="F672" s="79"/>
    </row>
    <row r="673" spans="4:6" x14ac:dyDescent="0.25">
      <c r="D673" s="41" t="str" cm="1">
        <f t="array" ref="D673">IF(H673="","",IF(AND(E673&lt;AVERAGE(E672,E674)*($L$19/100),$D$23:D672=""),H673,""))</f>
        <v/>
      </c>
      <c r="E673" s="78" t="str">
        <f t="shared" si="10"/>
        <v/>
      </c>
      <c r="F673" s="79"/>
    </row>
    <row r="674" spans="4:6" x14ac:dyDescent="0.25">
      <c r="D674" s="41" t="str" cm="1">
        <f t="array" ref="D674">IF(H674="","",IF(AND(E674&lt;AVERAGE(E673,E675)*($L$19/100),$D$23:D673=""),H674,""))</f>
        <v/>
      </c>
      <c r="E674" s="78" t="str">
        <f t="shared" si="10"/>
        <v/>
      </c>
      <c r="F674" s="79"/>
    </row>
    <row r="675" spans="4:6" x14ac:dyDescent="0.25">
      <c r="D675" s="41" t="str" cm="1">
        <f t="array" ref="D675">IF(H675="","",IF(AND(E675&lt;AVERAGE(E674,E676)*($L$19/100),$D$23:D674=""),H675,""))</f>
        <v/>
      </c>
      <c r="E675" s="78" t="str">
        <f t="shared" si="10"/>
        <v/>
      </c>
      <c r="F675" s="79"/>
    </row>
    <row r="676" spans="4:6" x14ac:dyDescent="0.25">
      <c r="D676" s="41" t="str" cm="1">
        <f t="array" ref="D676">IF(H676="","",IF(AND(E676&lt;AVERAGE(E675,E677)*($L$19/100),$D$23:D675=""),H676,""))</f>
        <v/>
      </c>
      <c r="E676" s="78" t="str">
        <f t="shared" si="10"/>
        <v/>
      </c>
      <c r="F676" s="79"/>
    </row>
    <row r="677" spans="4:6" x14ac:dyDescent="0.25">
      <c r="D677" s="41" t="str" cm="1">
        <f t="array" ref="D677">IF(H677="","",IF(AND(E677&lt;AVERAGE(E676,E678)*($L$19/100),$D$23:D676=""),H677,""))</f>
        <v/>
      </c>
      <c r="E677" s="78" t="str">
        <f t="shared" si="10"/>
        <v/>
      </c>
      <c r="F677" s="79"/>
    </row>
    <row r="678" spans="4:6" x14ac:dyDescent="0.25">
      <c r="D678" s="41" t="str" cm="1">
        <f t="array" ref="D678">IF(H678="","",IF(AND(E678&lt;AVERAGE(E677,E679)*($L$19/100),$D$23:D677=""),H678,""))</f>
        <v/>
      </c>
      <c r="E678" s="78" t="str">
        <f t="shared" si="10"/>
        <v/>
      </c>
      <c r="F678" s="79"/>
    </row>
    <row r="679" spans="4:6" x14ac:dyDescent="0.25">
      <c r="D679" s="41" t="str" cm="1">
        <f t="array" ref="D679">IF(H679="","",IF(AND(E679&lt;AVERAGE(E678,E680)*($L$19/100),$D$23:D678=""),H679,""))</f>
        <v/>
      </c>
      <c r="E679" s="78" t="str">
        <f t="shared" si="10"/>
        <v/>
      </c>
      <c r="F679" s="79"/>
    </row>
    <row r="680" spans="4:6" x14ac:dyDescent="0.25">
      <c r="D680" s="41" t="str" cm="1">
        <f t="array" ref="D680">IF(H680="","",IF(AND(E680&lt;AVERAGE(E679,E681)*($L$19/100),$D$23:D679=""),H680,""))</f>
        <v/>
      </c>
      <c r="E680" s="78" t="str">
        <f t="shared" si="10"/>
        <v/>
      </c>
      <c r="F680" s="79"/>
    </row>
    <row r="681" spans="4:6" x14ac:dyDescent="0.25">
      <c r="D681" s="41" t="str" cm="1">
        <f t="array" ref="D681">IF(H681="","",IF(AND(E681&lt;AVERAGE(E680,E682)*($L$19/100),$D$23:D680=""),H681,""))</f>
        <v/>
      </c>
      <c r="E681" s="78" t="str">
        <f t="shared" si="10"/>
        <v/>
      </c>
      <c r="F681" s="79"/>
    </row>
    <row r="682" spans="4:6" x14ac:dyDescent="0.25">
      <c r="D682" s="41" t="str" cm="1">
        <f t="array" ref="D682">IF(H682="","",IF(AND(E682&lt;AVERAGE(E681,E683)*($L$19/100),$D$23:D681=""),H682,""))</f>
        <v/>
      </c>
      <c r="E682" s="78" t="str">
        <f t="shared" si="10"/>
        <v/>
      </c>
      <c r="F682" s="79"/>
    </row>
    <row r="683" spans="4:6" x14ac:dyDescent="0.25">
      <c r="D683" s="41" t="str" cm="1">
        <f t="array" ref="D683">IF(H683="","",IF(AND(E683&lt;AVERAGE(E682,E684)*($L$19/100),$D$23:D682=""),H683,""))</f>
        <v/>
      </c>
      <c r="E683" s="78" t="str">
        <f t="shared" ref="E683:E746" si="11">IF(H683="","",ABS(I683-$G$19))</f>
        <v/>
      </c>
      <c r="F683" s="79"/>
    </row>
    <row r="684" spans="4:6" x14ac:dyDescent="0.25">
      <c r="D684" s="41" t="str" cm="1">
        <f t="array" ref="D684">IF(H684="","",IF(AND(E684&lt;AVERAGE(E683,E685)*($L$19/100),$D$23:D683=""),H684,""))</f>
        <v/>
      </c>
      <c r="E684" s="78" t="str">
        <f t="shared" si="11"/>
        <v/>
      </c>
      <c r="F684" s="79"/>
    </row>
    <row r="685" spans="4:6" x14ac:dyDescent="0.25">
      <c r="D685" s="41" t="str" cm="1">
        <f t="array" ref="D685">IF(H685="","",IF(AND(E685&lt;AVERAGE(E684,E686)*($L$19/100),$D$23:D684=""),H685,""))</f>
        <v/>
      </c>
      <c r="E685" s="78" t="str">
        <f t="shared" si="11"/>
        <v/>
      </c>
      <c r="F685" s="79"/>
    </row>
    <row r="686" spans="4:6" x14ac:dyDescent="0.25">
      <c r="D686" s="41" t="str" cm="1">
        <f t="array" ref="D686">IF(H686="","",IF(AND(E686&lt;AVERAGE(E685,E687)*($L$19/100),$D$23:D685=""),H686,""))</f>
        <v/>
      </c>
      <c r="E686" s="78" t="str">
        <f t="shared" si="11"/>
        <v/>
      </c>
      <c r="F686" s="79"/>
    </row>
    <row r="687" spans="4:6" x14ac:dyDescent="0.25">
      <c r="D687" s="41" t="str" cm="1">
        <f t="array" ref="D687">IF(H687="","",IF(AND(E687&lt;AVERAGE(E686,E688)*($L$19/100),$D$23:D686=""),H687,""))</f>
        <v/>
      </c>
      <c r="E687" s="78" t="str">
        <f t="shared" si="11"/>
        <v/>
      </c>
      <c r="F687" s="79"/>
    </row>
    <row r="688" spans="4:6" x14ac:dyDescent="0.25">
      <c r="D688" s="41" t="str" cm="1">
        <f t="array" ref="D688">IF(H688="","",IF(AND(E688&lt;AVERAGE(E687,E689)*($L$19/100),$D$23:D687=""),H688,""))</f>
        <v/>
      </c>
      <c r="E688" s="78" t="str">
        <f t="shared" si="11"/>
        <v/>
      </c>
      <c r="F688" s="79"/>
    </row>
    <row r="689" spans="4:6" x14ac:dyDescent="0.25">
      <c r="D689" s="41" t="str" cm="1">
        <f t="array" ref="D689">IF(H689="","",IF(AND(E689&lt;AVERAGE(E688,E690)*($L$19/100),$D$23:D688=""),H689,""))</f>
        <v/>
      </c>
      <c r="E689" s="78" t="str">
        <f t="shared" si="11"/>
        <v/>
      </c>
      <c r="F689" s="79"/>
    </row>
    <row r="690" spans="4:6" x14ac:dyDescent="0.25">
      <c r="D690" s="41" t="str" cm="1">
        <f t="array" ref="D690">IF(H690="","",IF(AND(E690&lt;AVERAGE(E689,E691)*($L$19/100),$D$23:D689=""),H690,""))</f>
        <v/>
      </c>
      <c r="E690" s="78" t="str">
        <f t="shared" si="11"/>
        <v/>
      </c>
      <c r="F690" s="79"/>
    </row>
    <row r="691" spans="4:6" x14ac:dyDescent="0.25">
      <c r="D691" s="41" t="str" cm="1">
        <f t="array" ref="D691">IF(H691="","",IF(AND(E691&lt;AVERAGE(E690,E692)*($L$19/100),$D$23:D690=""),H691,""))</f>
        <v/>
      </c>
      <c r="E691" s="78" t="str">
        <f t="shared" si="11"/>
        <v/>
      </c>
      <c r="F691" s="79"/>
    </row>
    <row r="692" spans="4:6" x14ac:dyDescent="0.25">
      <c r="D692" s="41" t="str" cm="1">
        <f t="array" ref="D692">IF(H692="","",IF(AND(E692&lt;AVERAGE(E691,E693)*($L$19/100),$D$23:D691=""),H692,""))</f>
        <v/>
      </c>
      <c r="E692" s="78" t="str">
        <f t="shared" si="11"/>
        <v/>
      </c>
      <c r="F692" s="79"/>
    </row>
    <row r="693" spans="4:6" x14ac:dyDescent="0.25">
      <c r="D693" s="41" t="str" cm="1">
        <f t="array" ref="D693">IF(H693="","",IF(AND(E693&lt;AVERAGE(E692,E694)*($L$19/100),$D$23:D692=""),H693,""))</f>
        <v/>
      </c>
      <c r="E693" s="78" t="str">
        <f t="shared" si="11"/>
        <v/>
      </c>
      <c r="F693" s="79"/>
    </row>
    <row r="694" spans="4:6" x14ac:dyDescent="0.25">
      <c r="D694" s="41" t="str" cm="1">
        <f t="array" ref="D694">IF(H694="","",IF(AND(E694&lt;AVERAGE(E693,E695)*($L$19/100),$D$23:D693=""),H694,""))</f>
        <v/>
      </c>
      <c r="E694" s="78" t="str">
        <f t="shared" si="11"/>
        <v/>
      </c>
      <c r="F694" s="79"/>
    </row>
    <row r="695" spans="4:6" x14ac:dyDescent="0.25">
      <c r="D695" s="41" t="str" cm="1">
        <f t="array" ref="D695">IF(H695="","",IF(AND(E695&lt;AVERAGE(E694,E696)*($L$19/100),$D$23:D694=""),H695,""))</f>
        <v/>
      </c>
      <c r="E695" s="78" t="str">
        <f t="shared" si="11"/>
        <v/>
      </c>
      <c r="F695" s="79"/>
    </row>
    <row r="696" spans="4:6" x14ac:dyDescent="0.25">
      <c r="D696" s="41" t="str" cm="1">
        <f t="array" ref="D696">IF(H696="","",IF(AND(E696&lt;AVERAGE(E695,E697)*($L$19/100),$D$23:D695=""),H696,""))</f>
        <v/>
      </c>
      <c r="E696" s="78" t="str">
        <f t="shared" si="11"/>
        <v/>
      </c>
      <c r="F696" s="79"/>
    </row>
    <row r="697" spans="4:6" x14ac:dyDescent="0.25">
      <c r="D697" s="41" t="str" cm="1">
        <f t="array" ref="D697">IF(H697="","",IF(AND(E697&lt;AVERAGE(E696,E698)*($L$19/100),$D$23:D696=""),H697,""))</f>
        <v/>
      </c>
      <c r="E697" s="78" t="str">
        <f t="shared" si="11"/>
        <v/>
      </c>
      <c r="F697" s="79"/>
    </row>
    <row r="698" spans="4:6" x14ac:dyDescent="0.25">
      <c r="D698" s="41" t="str" cm="1">
        <f t="array" ref="D698">IF(H698="","",IF(AND(E698&lt;AVERAGE(E697,E699)*($L$19/100),$D$23:D697=""),H698,""))</f>
        <v/>
      </c>
      <c r="E698" s="78" t="str">
        <f t="shared" si="11"/>
        <v/>
      </c>
      <c r="F698" s="79"/>
    </row>
    <row r="699" spans="4:6" x14ac:dyDescent="0.25">
      <c r="D699" s="41" t="str" cm="1">
        <f t="array" ref="D699">IF(H699="","",IF(AND(E699&lt;AVERAGE(E698,E700)*($L$19/100),$D$23:D698=""),H699,""))</f>
        <v/>
      </c>
      <c r="E699" s="78" t="str">
        <f t="shared" si="11"/>
        <v/>
      </c>
      <c r="F699" s="79"/>
    </row>
    <row r="700" spans="4:6" x14ac:dyDescent="0.25">
      <c r="D700" s="41" t="str" cm="1">
        <f t="array" ref="D700">IF(H700="","",IF(AND(E700&lt;AVERAGE(E699,E701)*($L$19/100),$D$23:D699=""),H700,""))</f>
        <v/>
      </c>
      <c r="E700" s="78" t="str">
        <f t="shared" si="11"/>
        <v/>
      </c>
      <c r="F700" s="79"/>
    </row>
    <row r="701" spans="4:6" x14ac:dyDescent="0.25">
      <c r="D701" s="41" t="str" cm="1">
        <f t="array" ref="D701">IF(H701="","",IF(AND(E701&lt;AVERAGE(E700,E702)*($L$19/100),$D$23:D700=""),H701,""))</f>
        <v/>
      </c>
      <c r="E701" s="78" t="str">
        <f t="shared" si="11"/>
        <v/>
      </c>
      <c r="F701" s="79"/>
    </row>
    <row r="702" spans="4:6" x14ac:dyDescent="0.25">
      <c r="D702" s="41" t="str" cm="1">
        <f t="array" ref="D702">IF(H702="","",IF(AND(E702&lt;AVERAGE(E701,E703)*($L$19/100),$D$23:D701=""),H702,""))</f>
        <v/>
      </c>
      <c r="E702" s="78" t="str">
        <f t="shared" si="11"/>
        <v/>
      </c>
      <c r="F702" s="79"/>
    </row>
    <row r="703" spans="4:6" x14ac:dyDescent="0.25">
      <c r="D703" s="41" t="str" cm="1">
        <f t="array" ref="D703">IF(H703="","",IF(AND(E703&lt;AVERAGE(E702,E704)*($L$19/100),$D$23:D702=""),H703,""))</f>
        <v/>
      </c>
      <c r="E703" s="78" t="str">
        <f t="shared" si="11"/>
        <v/>
      </c>
      <c r="F703" s="79"/>
    </row>
    <row r="704" spans="4:6" x14ac:dyDescent="0.25">
      <c r="D704" s="41" t="str" cm="1">
        <f t="array" ref="D704">IF(H704="","",IF(AND(E704&lt;AVERAGE(E703,E705)*($L$19/100),$D$23:D703=""),H704,""))</f>
        <v/>
      </c>
      <c r="E704" s="78" t="str">
        <f t="shared" si="11"/>
        <v/>
      </c>
      <c r="F704" s="79"/>
    </row>
    <row r="705" spans="4:6" x14ac:dyDescent="0.25">
      <c r="D705" s="41" t="str" cm="1">
        <f t="array" ref="D705">IF(H705="","",IF(AND(E705&lt;AVERAGE(E704,E706)*($L$19/100),$D$23:D704=""),H705,""))</f>
        <v/>
      </c>
      <c r="E705" s="78" t="str">
        <f t="shared" si="11"/>
        <v/>
      </c>
      <c r="F705" s="79"/>
    </row>
    <row r="706" spans="4:6" x14ac:dyDescent="0.25">
      <c r="D706" s="41" t="str" cm="1">
        <f t="array" ref="D706">IF(H706="","",IF(AND(E706&lt;AVERAGE(E705,E707)*($L$19/100),$D$23:D705=""),H706,""))</f>
        <v/>
      </c>
      <c r="E706" s="78" t="str">
        <f t="shared" si="11"/>
        <v/>
      </c>
      <c r="F706" s="79"/>
    </row>
    <row r="707" spans="4:6" x14ac:dyDescent="0.25">
      <c r="D707" s="41" t="str" cm="1">
        <f t="array" ref="D707">IF(H707="","",IF(AND(E707&lt;AVERAGE(E706,E708)*($L$19/100),$D$23:D706=""),H707,""))</f>
        <v/>
      </c>
      <c r="E707" s="78" t="str">
        <f t="shared" si="11"/>
        <v/>
      </c>
      <c r="F707" s="79"/>
    </row>
    <row r="708" spans="4:6" x14ac:dyDescent="0.25">
      <c r="D708" s="41" t="str" cm="1">
        <f t="array" ref="D708">IF(H708="","",IF(AND(E708&lt;AVERAGE(E707,E709)*($L$19/100),$D$23:D707=""),H708,""))</f>
        <v/>
      </c>
      <c r="E708" s="78" t="str">
        <f t="shared" si="11"/>
        <v/>
      </c>
      <c r="F708" s="79"/>
    </row>
    <row r="709" spans="4:6" x14ac:dyDescent="0.25">
      <c r="D709" s="41" t="str" cm="1">
        <f t="array" ref="D709">IF(H709="","",IF(AND(E709&lt;AVERAGE(E708,E710)*($L$19/100),$D$23:D708=""),H709,""))</f>
        <v/>
      </c>
      <c r="E709" s="78" t="str">
        <f t="shared" si="11"/>
        <v/>
      </c>
      <c r="F709" s="79"/>
    </row>
    <row r="710" spans="4:6" x14ac:dyDescent="0.25">
      <c r="D710" s="41" t="str" cm="1">
        <f t="array" ref="D710">IF(H710="","",IF(AND(E710&lt;AVERAGE(E709,E711)*($L$19/100),$D$23:D709=""),H710,""))</f>
        <v/>
      </c>
      <c r="E710" s="78" t="str">
        <f t="shared" si="11"/>
        <v/>
      </c>
      <c r="F710" s="79"/>
    </row>
    <row r="711" spans="4:6" x14ac:dyDescent="0.25">
      <c r="D711" s="41" t="str" cm="1">
        <f t="array" ref="D711">IF(H711="","",IF(AND(E711&lt;AVERAGE(E710,E712)*($L$19/100),$D$23:D710=""),H711,""))</f>
        <v/>
      </c>
      <c r="E711" s="78" t="str">
        <f t="shared" si="11"/>
        <v/>
      </c>
      <c r="F711" s="79"/>
    </row>
    <row r="712" spans="4:6" x14ac:dyDescent="0.25">
      <c r="D712" s="41" t="str" cm="1">
        <f t="array" ref="D712">IF(H712="","",IF(AND(E712&lt;AVERAGE(E711,E713)*($L$19/100),$D$23:D711=""),H712,""))</f>
        <v/>
      </c>
      <c r="E712" s="78" t="str">
        <f t="shared" si="11"/>
        <v/>
      </c>
      <c r="F712" s="79"/>
    </row>
    <row r="713" spans="4:6" x14ac:dyDescent="0.25">
      <c r="D713" s="41" t="str" cm="1">
        <f t="array" ref="D713">IF(H713="","",IF(AND(E713&lt;AVERAGE(E712,E714)*($L$19/100),$D$23:D712=""),H713,""))</f>
        <v/>
      </c>
      <c r="E713" s="78" t="str">
        <f t="shared" si="11"/>
        <v/>
      </c>
      <c r="F713" s="79"/>
    </row>
    <row r="714" spans="4:6" x14ac:dyDescent="0.25">
      <c r="D714" s="41" t="str" cm="1">
        <f t="array" ref="D714">IF(H714="","",IF(AND(E714&lt;AVERAGE(E713,E715)*($L$19/100),$D$23:D713=""),H714,""))</f>
        <v/>
      </c>
      <c r="E714" s="78" t="str">
        <f t="shared" si="11"/>
        <v/>
      </c>
      <c r="F714" s="79"/>
    </row>
    <row r="715" spans="4:6" x14ac:dyDescent="0.25">
      <c r="D715" s="41" t="str" cm="1">
        <f t="array" ref="D715">IF(H715="","",IF(AND(E715&lt;AVERAGE(E714,E716)*($L$19/100),$D$23:D714=""),H715,""))</f>
        <v/>
      </c>
      <c r="E715" s="78" t="str">
        <f t="shared" si="11"/>
        <v/>
      </c>
      <c r="F715" s="79"/>
    </row>
    <row r="716" spans="4:6" x14ac:dyDescent="0.25">
      <c r="D716" s="41" t="str" cm="1">
        <f t="array" ref="D716">IF(H716="","",IF(AND(E716&lt;AVERAGE(E715,E717)*($L$19/100),$D$23:D715=""),H716,""))</f>
        <v/>
      </c>
      <c r="E716" s="78" t="str">
        <f t="shared" si="11"/>
        <v/>
      </c>
      <c r="F716" s="79"/>
    </row>
    <row r="717" spans="4:6" x14ac:dyDescent="0.25">
      <c r="D717" s="41" t="str" cm="1">
        <f t="array" ref="D717">IF(H717="","",IF(AND(E717&lt;AVERAGE(E716,E718)*($L$19/100),$D$23:D716=""),H717,""))</f>
        <v/>
      </c>
      <c r="E717" s="78" t="str">
        <f t="shared" si="11"/>
        <v/>
      </c>
      <c r="F717" s="79"/>
    </row>
    <row r="718" spans="4:6" x14ac:dyDescent="0.25">
      <c r="D718" s="41" t="str" cm="1">
        <f t="array" ref="D718">IF(H718="","",IF(AND(E718&lt;AVERAGE(E717,E719)*($L$19/100),$D$23:D717=""),H718,""))</f>
        <v/>
      </c>
      <c r="E718" s="78" t="str">
        <f t="shared" si="11"/>
        <v/>
      </c>
      <c r="F718" s="79"/>
    </row>
    <row r="719" spans="4:6" x14ac:dyDescent="0.25">
      <c r="D719" s="41" t="str" cm="1">
        <f t="array" ref="D719">IF(H719="","",IF(AND(E719&lt;AVERAGE(E718,E720)*($L$19/100),$D$23:D718=""),H719,""))</f>
        <v/>
      </c>
      <c r="E719" s="78" t="str">
        <f t="shared" si="11"/>
        <v/>
      </c>
      <c r="F719" s="79"/>
    </row>
    <row r="720" spans="4:6" x14ac:dyDescent="0.25">
      <c r="D720" s="41" t="str" cm="1">
        <f t="array" ref="D720">IF(H720="","",IF(AND(E720&lt;AVERAGE(E719,E721)*($L$19/100),$D$23:D719=""),H720,""))</f>
        <v/>
      </c>
      <c r="E720" s="78" t="str">
        <f t="shared" si="11"/>
        <v/>
      </c>
      <c r="F720" s="79"/>
    </row>
    <row r="721" spans="4:6" x14ac:dyDescent="0.25">
      <c r="D721" s="41" t="str" cm="1">
        <f t="array" ref="D721">IF(H721="","",IF(AND(E721&lt;AVERAGE(E720,E722)*($L$19/100),$D$23:D720=""),H721,""))</f>
        <v/>
      </c>
      <c r="E721" s="78" t="str">
        <f t="shared" si="11"/>
        <v/>
      </c>
      <c r="F721" s="79"/>
    </row>
    <row r="722" spans="4:6" x14ac:dyDescent="0.25">
      <c r="D722" s="41" t="str" cm="1">
        <f t="array" ref="D722">IF(H722="","",IF(AND(E722&lt;AVERAGE(E721,E723)*($L$19/100),$D$23:D721=""),H722,""))</f>
        <v/>
      </c>
      <c r="E722" s="78" t="str">
        <f t="shared" si="11"/>
        <v/>
      </c>
      <c r="F722" s="79"/>
    </row>
    <row r="723" spans="4:6" x14ac:dyDescent="0.25">
      <c r="D723" s="41" t="str" cm="1">
        <f t="array" ref="D723">IF(H723="","",IF(AND(E723&lt;AVERAGE(E722,E724)*($L$19/100),$D$23:D722=""),H723,""))</f>
        <v/>
      </c>
      <c r="E723" s="78" t="str">
        <f t="shared" si="11"/>
        <v/>
      </c>
      <c r="F723" s="79"/>
    </row>
    <row r="724" spans="4:6" x14ac:dyDescent="0.25">
      <c r="D724" s="41" t="str" cm="1">
        <f t="array" ref="D724">IF(H724="","",IF(AND(E724&lt;AVERAGE(E723,E725)*($L$19/100),$D$23:D723=""),H724,""))</f>
        <v/>
      </c>
      <c r="E724" s="78" t="str">
        <f t="shared" si="11"/>
        <v/>
      </c>
      <c r="F724" s="79"/>
    </row>
    <row r="725" spans="4:6" x14ac:dyDescent="0.25">
      <c r="D725" s="41" t="str" cm="1">
        <f t="array" ref="D725">IF(H725="","",IF(AND(E725&lt;AVERAGE(E724,E726)*($L$19/100),$D$23:D724=""),H725,""))</f>
        <v/>
      </c>
      <c r="E725" s="78" t="str">
        <f t="shared" si="11"/>
        <v/>
      </c>
      <c r="F725" s="79"/>
    </row>
    <row r="726" spans="4:6" x14ac:dyDescent="0.25">
      <c r="D726" s="41" t="str" cm="1">
        <f t="array" ref="D726">IF(H726="","",IF(AND(E726&lt;AVERAGE(E725,E727)*($L$19/100),$D$23:D725=""),H726,""))</f>
        <v/>
      </c>
      <c r="E726" s="78" t="str">
        <f t="shared" si="11"/>
        <v/>
      </c>
      <c r="F726" s="79"/>
    </row>
    <row r="727" spans="4:6" x14ac:dyDescent="0.25">
      <c r="D727" s="41" t="str" cm="1">
        <f t="array" ref="D727">IF(H727="","",IF(AND(E727&lt;AVERAGE(E726,E728)*($L$19/100),$D$23:D726=""),H727,""))</f>
        <v/>
      </c>
      <c r="E727" s="78" t="str">
        <f t="shared" si="11"/>
        <v/>
      </c>
      <c r="F727" s="79"/>
    </row>
    <row r="728" spans="4:6" x14ac:dyDescent="0.25">
      <c r="D728" s="41" t="str" cm="1">
        <f t="array" ref="D728">IF(H728="","",IF(AND(E728&lt;AVERAGE(E727,E729)*($L$19/100),$D$23:D727=""),H728,""))</f>
        <v/>
      </c>
      <c r="E728" s="78" t="str">
        <f t="shared" si="11"/>
        <v/>
      </c>
      <c r="F728" s="79"/>
    </row>
    <row r="729" spans="4:6" x14ac:dyDescent="0.25">
      <c r="D729" s="41" t="str" cm="1">
        <f t="array" ref="D729">IF(H729="","",IF(AND(E729&lt;AVERAGE(E728,E730)*($L$19/100),$D$23:D728=""),H729,""))</f>
        <v/>
      </c>
      <c r="E729" s="78" t="str">
        <f t="shared" si="11"/>
        <v/>
      </c>
      <c r="F729" s="79"/>
    </row>
    <row r="730" spans="4:6" x14ac:dyDescent="0.25">
      <c r="D730" s="41" t="str" cm="1">
        <f t="array" ref="D730">IF(H730="","",IF(AND(E730&lt;AVERAGE(E729,E731)*($L$19/100),$D$23:D729=""),H730,""))</f>
        <v/>
      </c>
      <c r="E730" s="78" t="str">
        <f t="shared" si="11"/>
        <v/>
      </c>
      <c r="F730" s="79"/>
    </row>
    <row r="731" spans="4:6" x14ac:dyDescent="0.25">
      <c r="D731" s="41" t="str" cm="1">
        <f t="array" ref="D731">IF(H731="","",IF(AND(E731&lt;AVERAGE(E730,E732)*($L$19/100),$D$23:D730=""),H731,""))</f>
        <v/>
      </c>
      <c r="E731" s="78" t="str">
        <f t="shared" si="11"/>
        <v/>
      </c>
      <c r="F731" s="79"/>
    </row>
    <row r="732" spans="4:6" x14ac:dyDescent="0.25">
      <c r="D732" s="41" t="str" cm="1">
        <f t="array" ref="D732">IF(H732="","",IF(AND(E732&lt;AVERAGE(E731,E733)*($L$19/100),$D$23:D731=""),H732,""))</f>
        <v/>
      </c>
      <c r="E732" s="78" t="str">
        <f t="shared" si="11"/>
        <v/>
      </c>
      <c r="F732" s="79"/>
    </row>
    <row r="733" spans="4:6" x14ac:dyDescent="0.25">
      <c r="D733" s="41" t="str" cm="1">
        <f t="array" ref="D733">IF(H733="","",IF(AND(E733&lt;AVERAGE(E732,E734)*($L$19/100),$D$23:D732=""),H733,""))</f>
        <v/>
      </c>
      <c r="E733" s="78" t="str">
        <f t="shared" si="11"/>
        <v/>
      </c>
      <c r="F733" s="79"/>
    </row>
    <row r="734" spans="4:6" x14ac:dyDescent="0.25">
      <c r="D734" s="41" t="str" cm="1">
        <f t="array" ref="D734">IF(H734="","",IF(AND(E734&lt;AVERAGE(E733,E735)*($L$19/100),$D$23:D733=""),H734,""))</f>
        <v/>
      </c>
      <c r="E734" s="78" t="str">
        <f t="shared" si="11"/>
        <v/>
      </c>
      <c r="F734" s="79"/>
    </row>
    <row r="735" spans="4:6" x14ac:dyDescent="0.25">
      <c r="D735" s="41" t="str" cm="1">
        <f t="array" ref="D735">IF(H735="","",IF(AND(E735&lt;AVERAGE(E734,E736)*($L$19/100),$D$23:D734=""),H735,""))</f>
        <v/>
      </c>
      <c r="E735" s="78" t="str">
        <f t="shared" si="11"/>
        <v/>
      </c>
      <c r="F735" s="79"/>
    </row>
    <row r="736" spans="4:6" x14ac:dyDescent="0.25">
      <c r="D736" s="41" t="str" cm="1">
        <f t="array" ref="D736">IF(H736="","",IF(AND(E736&lt;AVERAGE(E735,E737)*($L$19/100),$D$23:D735=""),H736,""))</f>
        <v/>
      </c>
      <c r="E736" s="78" t="str">
        <f t="shared" si="11"/>
        <v/>
      </c>
      <c r="F736" s="79"/>
    </row>
    <row r="737" spans="4:6" x14ac:dyDescent="0.25">
      <c r="D737" s="41" t="str" cm="1">
        <f t="array" ref="D737">IF(H737="","",IF(AND(E737&lt;AVERAGE(E736,E738)*($L$19/100),$D$23:D736=""),H737,""))</f>
        <v/>
      </c>
      <c r="E737" s="78" t="str">
        <f t="shared" si="11"/>
        <v/>
      </c>
      <c r="F737" s="79"/>
    </row>
    <row r="738" spans="4:6" x14ac:dyDescent="0.25">
      <c r="D738" s="41" t="str" cm="1">
        <f t="array" ref="D738">IF(H738="","",IF(AND(E738&lt;AVERAGE(E737,E739)*($L$19/100),$D$23:D737=""),H738,""))</f>
        <v/>
      </c>
      <c r="E738" s="78" t="str">
        <f t="shared" si="11"/>
        <v/>
      </c>
      <c r="F738" s="79"/>
    </row>
    <row r="739" spans="4:6" x14ac:dyDescent="0.25">
      <c r="D739" s="41" t="str" cm="1">
        <f t="array" ref="D739">IF(H739="","",IF(AND(E739&lt;AVERAGE(E738,E740)*($L$19/100),$D$23:D738=""),H739,""))</f>
        <v/>
      </c>
      <c r="E739" s="78" t="str">
        <f t="shared" si="11"/>
        <v/>
      </c>
      <c r="F739" s="79"/>
    </row>
    <row r="740" spans="4:6" x14ac:dyDescent="0.25">
      <c r="D740" s="41" t="str" cm="1">
        <f t="array" ref="D740">IF(H740="","",IF(AND(E740&lt;AVERAGE(E739,E741)*($L$19/100),$D$23:D739=""),H740,""))</f>
        <v/>
      </c>
      <c r="E740" s="78" t="str">
        <f t="shared" si="11"/>
        <v/>
      </c>
      <c r="F740" s="79"/>
    </row>
    <row r="741" spans="4:6" x14ac:dyDescent="0.25">
      <c r="D741" s="41" t="str" cm="1">
        <f t="array" ref="D741">IF(H741="","",IF(AND(E741&lt;AVERAGE(E740,E742)*($L$19/100),$D$23:D740=""),H741,""))</f>
        <v/>
      </c>
      <c r="E741" s="78" t="str">
        <f t="shared" si="11"/>
        <v/>
      </c>
      <c r="F741" s="79"/>
    </row>
    <row r="742" spans="4:6" x14ac:dyDescent="0.25">
      <c r="D742" s="41" t="str" cm="1">
        <f t="array" ref="D742">IF(H742="","",IF(AND(E742&lt;AVERAGE(E741,E743)*($L$19/100),$D$23:D741=""),H742,""))</f>
        <v/>
      </c>
      <c r="E742" s="78" t="str">
        <f t="shared" si="11"/>
        <v/>
      </c>
      <c r="F742" s="79"/>
    </row>
    <row r="743" spans="4:6" x14ac:dyDescent="0.25">
      <c r="D743" s="41" t="str" cm="1">
        <f t="array" ref="D743">IF(H743="","",IF(AND(E743&lt;AVERAGE(E742,E744)*($L$19/100),$D$23:D742=""),H743,""))</f>
        <v/>
      </c>
      <c r="E743" s="78" t="str">
        <f t="shared" si="11"/>
        <v/>
      </c>
      <c r="F743" s="79"/>
    </row>
    <row r="744" spans="4:6" x14ac:dyDescent="0.25">
      <c r="D744" s="41" t="str" cm="1">
        <f t="array" ref="D744">IF(H744="","",IF(AND(E744&lt;AVERAGE(E743,E745)*($L$19/100),$D$23:D743=""),H744,""))</f>
        <v/>
      </c>
      <c r="E744" s="78" t="str">
        <f t="shared" si="11"/>
        <v/>
      </c>
      <c r="F744" s="79"/>
    </row>
    <row r="745" spans="4:6" x14ac:dyDescent="0.25">
      <c r="D745" s="41" t="str" cm="1">
        <f t="array" ref="D745">IF(H745="","",IF(AND(E745&lt;AVERAGE(E744,E746)*($L$19/100),$D$23:D744=""),H745,""))</f>
        <v/>
      </c>
      <c r="E745" s="78" t="str">
        <f t="shared" si="11"/>
        <v/>
      </c>
      <c r="F745" s="79"/>
    </row>
    <row r="746" spans="4:6" x14ac:dyDescent="0.25">
      <c r="D746" s="41" t="str" cm="1">
        <f t="array" ref="D746">IF(H746="","",IF(AND(E746&lt;AVERAGE(E745,E747)*($L$19/100),$D$23:D745=""),H746,""))</f>
        <v/>
      </c>
      <c r="E746" s="78" t="str">
        <f t="shared" si="11"/>
        <v/>
      </c>
      <c r="F746" s="79"/>
    </row>
    <row r="747" spans="4:6" x14ac:dyDescent="0.25">
      <c r="D747" s="41" t="str" cm="1">
        <f t="array" ref="D747">IF(H747="","",IF(AND(E747&lt;AVERAGE(E746,E748)*($L$19/100),$D$23:D746=""),H747,""))</f>
        <v/>
      </c>
      <c r="E747" s="78" t="str">
        <f t="shared" ref="E747:E810" si="12">IF(H747="","",ABS(I747-$G$19))</f>
        <v/>
      </c>
      <c r="F747" s="79"/>
    </row>
    <row r="748" spans="4:6" x14ac:dyDescent="0.25">
      <c r="D748" s="41" t="str" cm="1">
        <f t="array" ref="D748">IF(H748="","",IF(AND(E748&lt;AVERAGE(E747,E749)*($L$19/100),$D$23:D747=""),H748,""))</f>
        <v/>
      </c>
      <c r="E748" s="78" t="str">
        <f t="shared" si="12"/>
        <v/>
      </c>
      <c r="F748" s="79"/>
    </row>
    <row r="749" spans="4:6" x14ac:dyDescent="0.25">
      <c r="D749" s="41" t="str" cm="1">
        <f t="array" ref="D749">IF(H749="","",IF(AND(E749&lt;AVERAGE(E748,E750)*($L$19/100),$D$23:D748=""),H749,""))</f>
        <v/>
      </c>
      <c r="E749" s="78" t="str">
        <f t="shared" si="12"/>
        <v/>
      </c>
      <c r="F749" s="79"/>
    </row>
    <row r="750" spans="4:6" x14ac:dyDescent="0.25">
      <c r="D750" s="41" t="str" cm="1">
        <f t="array" ref="D750">IF(H750="","",IF(AND(E750&lt;AVERAGE(E749,E751)*($L$19/100),$D$23:D749=""),H750,""))</f>
        <v/>
      </c>
      <c r="E750" s="78" t="str">
        <f t="shared" si="12"/>
        <v/>
      </c>
      <c r="F750" s="79"/>
    </row>
    <row r="751" spans="4:6" x14ac:dyDescent="0.25">
      <c r="D751" s="41" t="str" cm="1">
        <f t="array" ref="D751">IF(H751="","",IF(AND(E751&lt;AVERAGE(E750,E752)*($L$19/100),$D$23:D750=""),H751,""))</f>
        <v/>
      </c>
      <c r="E751" s="78" t="str">
        <f t="shared" si="12"/>
        <v/>
      </c>
      <c r="F751" s="79"/>
    </row>
    <row r="752" spans="4:6" x14ac:dyDescent="0.25">
      <c r="D752" s="41" t="str" cm="1">
        <f t="array" ref="D752">IF(H752="","",IF(AND(E752&lt;AVERAGE(E751,E753)*($L$19/100),$D$23:D751=""),H752,""))</f>
        <v/>
      </c>
      <c r="E752" s="78" t="str">
        <f t="shared" si="12"/>
        <v/>
      </c>
      <c r="F752" s="79"/>
    </row>
    <row r="753" spans="4:6" x14ac:dyDescent="0.25">
      <c r="D753" s="41" t="str" cm="1">
        <f t="array" ref="D753">IF(H753="","",IF(AND(E753&lt;AVERAGE(E752,E754)*($L$19/100),$D$23:D752=""),H753,""))</f>
        <v/>
      </c>
      <c r="E753" s="78" t="str">
        <f t="shared" si="12"/>
        <v/>
      </c>
      <c r="F753" s="79"/>
    </row>
    <row r="754" spans="4:6" x14ac:dyDescent="0.25">
      <c r="D754" s="41" t="str" cm="1">
        <f t="array" ref="D754">IF(H754="","",IF(AND(E754&lt;AVERAGE(E753,E755)*($L$19/100),$D$23:D753=""),H754,""))</f>
        <v/>
      </c>
      <c r="E754" s="78" t="str">
        <f t="shared" si="12"/>
        <v/>
      </c>
      <c r="F754" s="79"/>
    </row>
    <row r="755" spans="4:6" x14ac:dyDescent="0.25">
      <c r="D755" s="41" t="str" cm="1">
        <f t="array" ref="D755">IF(H755="","",IF(AND(E755&lt;AVERAGE(E754,E756)*($L$19/100),$D$23:D754=""),H755,""))</f>
        <v/>
      </c>
      <c r="E755" s="78" t="str">
        <f t="shared" si="12"/>
        <v/>
      </c>
      <c r="F755" s="79"/>
    </row>
    <row r="756" spans="4:6" x14ac:dyDescent="0.25">
      <c r="D756" s="41" t="str" cm="1">
        <f t="array" ref="D756">IF(H756="","",IF(AND(E756&lt;AVERAGE(E755,E757)*($L$19/100),$D$23:D755=""),H756,""))</f>
        <v/>
      </c>
      <c r="E756" s="78" t="str">
        <f t="shared" si="12"/>
        <v/>
      </c>
      <c r="F756" s="79"/>
    </row>
    <row r="757" spans="4:6" x14ac:dyDescent="0.25">
      <c r="D757" s="41" t="str" cm="1">
        <f t="array" ref="D757">IF(H757="","",IF(AND(E757&lt;AVERAGE(E756,E758)*($L$19/100),$D$23:D756=""),H757,""))</f>
        <v/>
      </c>
      <c r="E757" s="78" t="str">
        <f t="shared" si="12"/>
        <v/>
      </c>
      <c r="F757" s="79"/>
    </row>
    <row r="758" spans="4:6" x14ac:dyDescent="0.25">
      <c r="D758" s="41" t="str" cm="1">
        <f t="array" ref="D758">IF(H758="","",IF(AND(E758&lt;AVERAGE(E757,E759)*($L$19/100),$D$23:D757=""),H758,""))</f>
        <v/>
      </c>
      <c r="E758" s="78" t="str">
        <f t="shared" si="12"/>
        <v/>
      </c>
      <c r="F758" s="79"/>
    </row>
    <row r="759" spans="4:6" x14ac:dyDescent="0.25">
      <c r="D759" s="41" t="str" cm="1">
        <f t="array" ref="D759">IF(H759="","",IF(AND(E759&lt;AVERAGE(E758,E760)*($L$19/100),$D$23:D758=""),H759,""))</f>
        <v/>
      </c>
      <c r="E759" s="78" t="str">
        <f t="shared" si="12"/>
        <v/>
      </c>
      <c r="F759" s="79"/>
    </row>
    <row r="760" spans="4:6" x14ac:dyDescent="0.25">
      <c r="D760" s="41" t="str" cm="1">
        <f t="array" ref="D760">IF(H760="","",IF(AND(E760&lt;AVERAGE(E759,E761)*($L$19/100),$D$23:D759=""),H760,""))</f>
        <v/>
      </c>
      <c r="E760" s="78" t="str">
        <f t="shared" si="12"/>
        <v/>
      </c>
      <c r="F760" s="79"/>
    </row>
    <row r="761" spans="4:6" x14ac:dyDescent="0.25">
      <c r="D761" s="41" t="str" cm="1">
        <f t="array" ref="D761">IF(H761="","",IF(AND(E761&lt;AVERAGE(E760,E762)*($L$19/100),$D$23:D760=""),H761,""))</f>
        <v/>
      </c>
      <c r="E761" s="78" t="str">
        <f t="shared" si="12"/>
        <v/>
      </c>
      <c r="F761" s="79"/>
    </row>
    <row r="762" spans="4:6" x14ac:dyDescent="0.25">
      <c r="D762" s="41" t="str" cm="1">
        <f t="array" ref="D762">IF(H762="","",IF(AND(E762&lt;AVERAGE(E761,E763)*($L$19/100),$D$23:D761=""),H762,""))</f>
        <v/>
      </c>
      <c r="E762" s="78" t="str">
        <f t="shared" si="12"/>
        <v/>
      </c>
      <c r="F762" s="79"/>
    </row>
    <row r="763" spans="4:6" x14ac:dyDescent="0.25">
      <c r="D763" s="41" t="str" cm="1">
        <f t="array" ref="D763">IF(H763="","",IF(AND(E763&lt;AVERAGE(E762,E764)*($L$19/100),$D$23:D762=""),H763,""))</f>
        <v/>
      </c>
      <c r="E763" s="78" t="str">
        <f t="shared" si="12"/>
        <v/>
      </c>
      <c r="F763" s="79"/>
    </row>
    <row r="764" spans="4:6" x14ac:dyDescent="0.25">
      <c r="D764" s="41" t="str" cm="1">
        <f t="array" ref="D764">IF(H764="","",IF(AND(E764&lt;AVERAGE(E763,E765)*($L$19/100),$D$23:D763=""),H764,""))</f>
        <v/>
      </c>
      <c r="E764" s="78" t="str">
        <f t="shared" si="12"/>
        <v/>
      </c>
      <c r="F764" s="79"/>
    </row>
    <row r="765" spans="4:6" x14ac:dyDescent="0.25">
      <c r="D765" s="41" t="str" cm="1">
        <f t="array" ref="D765">IF(H765="","",IF(AND(E765&lt;AVERAGE(E764,E766)*($L$19/100),$D$23:D764=""),H765,""))</f>
        <v/>
      </c>
      <c r="E765" s="78" t="str">
        <f t="shared" si="12"/>
        <v/>
      </c>
      <c r="F765" s="79"/>
    </row>
    <row r="766" spans="4:6" x14ac:dyDescent="0.25">
      <c r="D766" s="41" t="str" cm="1">
        <f t="array" ref="D766">IF(H766="","",IF(AND(E766&lt;AVERAGE(E765,E767)*($L$19/100),$D$23:D765=""),H766,""))</f>
        <v/>
      </c>
      <c r="E766" s="78" t="str">
        <f t="shared" si="12"/>
        <v/>
      </c>
      <c r="F766" s="79"/>
    </row>
    <row r="767" spans="4:6" x14ac:dyDescent="0.25">
      <c r="D767" s="41" t="str" cm="1">
        <f t="array" ref="D767">IF(H767="","",IF(AND(E767&lt;AVERAGE(E766,E768)*($L$19/100),$D$23:D766=""),H767,""))</f>
        <v/>
      </c>
      <c r="E767" s="78" t="str">
        <f t="shared" si="12"/>
        <v/>
      </c>
      <c r="F767" s="79"/>
    </row>
    <row r="768" spans="4:6" x14ac:dyDescent="0.25">
      <c r="D768" s="41" t="str" cm="1">
        <f t="array" ref="D768">IF(H768="","",IF(AND(E768&lt;AVERAGE(E767,E769)*($L$19/100),$D$23:D767=""),H768,""))</f>
        <v/>
      </c>
      <c r="E768" s="78" t="str">
        <f t="shared" si="12"/>
        <v/>
      </c>
      <c r="F768" s="79"/>
    </row>
    <row r="769" spans="4:6" x14ac:dyDescent="0.25">
      <c r="D769" s="41" t="str" cm="1">
        <f t="array" ref="D769">IF(H769="","",IF(AND(E769&lt;AVERAGE(E768,E770)*($L$19/100),$D$23:D768=""),H769,""))</f>
        <v/>
      </c>
      <c r="E769" s="78" t="str">
        <f t="shared" si="12"/>
        <v/>
      </c>
      <c r="F769" s="79"/>
    </row>
    <row r="770" spans="4:6" x14ac:dyDescent="0.25">
      <c r="D770" s="41" t="str" cm="1">
        <f t="array" ref="D770">IF(H770="","",IF(AND(E770&lt;AVERAGE(E769,E771)*($L$19/100),$D$23:D769=""),H770,""))</f>
        <v/>
      </c>
      <c r="E770" s="78" t="str">
        <f t="shared" si="12"/>
        <v/>
      </c>
      <c r="F770" s="79"/>
    </row>
    <row r="771" spans="4:6" x14ac:dyDescent="0.25">
      <c r="D771" s="41" t="str" cm="1">
        <f t="array" ref="D771">IF(H771="","",IF(AND(E771&lt;AVERAGE(E770,E772)*($L$19/100),$D$23:D770=""),H771,""))</f>
        <v/>
      </c>
      <c r="E771" s="78" t="str">
        <f t="shared" si="12"/>
        <v/>
      </c>
      <c r="F771" s="79"/>
    </row>
    <row r="772" spans="4:6" x14ac:dyDescent="0.25">
      <c r="D772" s="41" t="str" cm="1">
        <f t="array" ref="D772">IF(H772="","",IF(AND(E772&lt;AVERAGE(E771,E773)*($L$19/100),$D$23:D771=""),H772,""))</f>
        <v/>
      </c>
      <c r="E772" s="78" t="str">
        <f t="shared" si="12"/>
        <v/>
      </c>
      <c r="F772" s="79"/>
    </row>
    <row r="773" spans="4:6" x14ac:dyDescent="0.25">
      <c r="D773" s="41" t="str" cm="1">
        <f t="array" ref="D773">IF(H773="","",IF(AND(E773&lt;AVERAGE(E772,E774)*($L$19/100),$D$23:D772=""),H773,""))</f>
        <v/>
      </c>
      <c r="E773" s="78" t="str">
        <f t="shared" si="12"/>
        <v/>
      </c>
      <c r="F773" s="79"/>
    </row>
    <row r="774" spans="4:6" x14ac:dyDescent="0.25">
      <c r="D774" s="41" t="str" cm="1">
        <f t="array" ref="D774">IF(H774="","",IF(AND(E774&lt;AVERAGE(E773,E775)*($L$19/100),$D$23:D773=""),H774,""))</f>
        <v/>
      </c>
      <c r="E774" s="78" t="str">
        <f t="shared" si="12"/>
        <v/>
      </c>
      <c r="F774" s="79"/>
    </row>
    <row r="775" spans="4:6" x14ac:dyDescent="0.25">
      <c r="D775" s="41" t="str" cm="1">
        <f t="array" ref="D775">IF(H775="","",IF(AND(E775&lt;AVERAGE(E774,E776)*($L$19/100),$D$23:D774=""),H775,""))</f>
        <v/>
      </c>
      <c r="E775" s="78" t="str">
        <f t="shared" si="12"/>
        <v/>
      </c>
      <c r="F775" s="79"/>
    </row>
    <row r="776" spans="4:6" x14ac:dyDescent="0.25">
      <c r="D776" s="41" t="str" cm="1">
        <f t="array" ref="D776">IF(H776="","",IF(AND(E776&lt;AVERAGE(E775,E777)*($L$19/100),$D$23:D775=""),H776,""))</f>
        <v/>
      </c>
      <c r="E776" s="78" t="str">
        <f t="shared" si="12"/>
        <v/>
      </c>
      <c r="F776" s="79"/>
    </row>
    <row r="777" spans="4:6" x14ac:dyDescent="0.25">
      <c r="D777" s="41" t="str" cm="1">
        <f t="array" ref="D777">IF(H777="","",IF(AND(E777&lt;AVERAGE(E776,E778)*($L$19/100),$D$23:D776=""),H777,""))</f>
        <v/>
      </c>
      <c r="E777" s="78" t="str">
        <f t="shared" si="12"/>
        <v/>
      </c>
      <c r="F777" s="79"/>
    </row>
    <row r="778" spans="4:6" x14ac:dyDescent="0.25">
      <c r="D778" s="41" t="str" cm="1">
        <f t="array" ref="D778">IF(H778="","",IF(AND(E778&lt;AVERAGE(E777,E779)*($L$19/100),$D$23:D777=""),H778,""))</f>
        <v/>
      </c>
      <c r="E778" s="78" t="str">
        <f t="shared" si="12"/>
        <v/>
      </c>
      <c r="F778" s="79"/>
    </row>
    <row r="779" spans="4:6" x14ac:dyDescent="0.25">
      <c r="D779" s="41" t="str" cm="1">
        <f t="array" ref="D779">IF(H779="","",IF(AND(E779&lt;AVERAGE(E778,E780)*($L$19/100),$D$23:D778=""),H779,""))</f>
        <v/>
      </c>
      <c r="E779" s="78" t="str">
        <f t="shared" si="12"/>
        <v/>
      </c>
      <c r="F779" s="79"/>
    </row>
    <row r="780" spans="4:6" x14ac:dyDescent="0.25">
      <c r="D780" s="41" t="str" cm="1">
        <f t="array" ref="D780">IF(H780="","",IF(AND(E780&lt;AVERAGE(E779,E781)*($L$19/100),$D$23:D779=""),H780,""))</f>
        <v/>
      </c>
      <c r="E780" s="78" t="str">
        <f t="shared" si="12"/>
        <v/>
      </c>
      <c r="F780" s="79"/>
    </row>
    <row r="781" spans="4:6" x14ac:dyDescent="0.25">
      <c r="D781" s="41" t="str" cm="1">
        <f t="array" ref="D781">IF(H781="","",IF(AND(E781&lt;AVERAGE(E780,E782)*($L$19/100),$D$23:D780=""),H781,""))</f>
        <v/>
      </c>
      <c r="E781" s="78" t="str">
        <f t="shared" si="12"/>
        <v/>
      </c>
      <c r="F781" s="79"/>
    </row>
    <row r="782" spans="4:6" x14ac:dyDescent="0.25">
      <c r="D782" s="41" t="str" cm="1">
        <f t="array" ref="D782">IF(H782="","",IF(AND(E782&lt;AVERAGE(E781,E783)*($L$19/100),$D$23:D781=""),H782,""))</f>
        <v/>
      </c>
      <c r="E782" s="78" t="str">
        <f t="shared" si="12"/>
        <v/>
      </c>
      <c r="F782" s="79"/>
    </row>
    <row r="783" spans="4:6" x14ac:dyDescent="0.25">
      <c r="D783" s="41" t="str" cm="1">
        <f t="array" ref="D783">IF(H783="","",IF(AND(E783&lt;AVERAGE(E782,E784)*($L$19/100),$D$23:D782=""),H783,""))</f>
        <v/>
      </c>
      <c r="E783" s="78" t="str">
        <f t="shared" si="12"/>
        <v/>
      </c>
      <c r="F783" s="79"/>
    </row>
    <row r="784" spans="4:6" x14ac:dyDescent="0.25">
      <c r="D784" s="41" t="str" cm="1">
        <f t="array" ref="D784">IF(H784="","",IF(AND(E784&lt;AVERAGE(E783,E785)*($L$19/100),$D$23:D783=""),H784,""))</f>
        <v/>
      </c>
      <c r="E784" s="78" t="str">
        <f t="shared" si="12"/>
        <v/>
      </c>
      <c r="F784" s="79"/>
    </row>
    <row r="785" spans="4:6" x14ac:dyDescent="0.25">
      <c r="D785" s="41" t="str" cm="1">
        <f t="array" ref="D785">IF(H785="","",IF(AND(E785&lt;AVERAGE(E784,E786)*($L$19/100),$D$23:D784=""),H785,""))</f>
        <v/>
      </c>
      <c r="E785" s="78" t="str">
        <f t="shared" si="12"/>
        <v/>
      </c>
      <c r="F785" s="79"/>
    </row>
    <row r="786" spans="4:6" x14ac:dyDescent="0.25">
      <c r="D786" s="41" t="str" cm="1">
        <f t="array" ref="D786">IF(H786="","",IF(AND(E786&lt;AVERAGE(E785,E787)*($L$19/100),$D$23:D785=""),H786,""))</f>
        <v/>
      </c>
      <c r="E786" s="78" t="str">
        <f t="shared" si="12"/>
        <v/>
      </c>
      <c r="F786" s="79"/>
    </row>
    <row r="787" spans="4:6" x14ac:dyDescent="0.25">
      <c r="D787" s="41" t="str" cm="1">
        <f t="array" ref="D787">IF(H787="","",IF(AND(E787&lt;AVERAGE(E786,E788)*($L$19/100),$D$23:D786=""),H787,""))</f>
        <v/>
      </c>
      <c r="E787" s="78" t="str">
        <f t="shared" si="12"/>
        <v/>
      </c>
      <c r="F787" s="79"/>
    </row>
    <row r="788" spans="4:6" x14ac:dyDescent="0.25">
      <c r="D788" s="41" t="str" cm="1">
        <f t="array" ref="D788">IF(H788="","",IF(AND(E788&lt;AVERAGE(E787,E789)*($L$19/100),$D$23:D787=""),H788,""))</f>
        <v/>
      </c>
      <c r="E788" s="78" t="str">
        <f t="shared" si="12"/>
        <v/>
      </c>
      <c r="F788" s="79"/>
    </row>
    <row r="789" spans="4:6" x14ac:dyDescent="0.25">
      <c r="D789" s="41" t="str" cm="1">
        <f t="array" ref="D789">IF(H789="","",IF(AND(E789&lt;AVERAGE(E788,E790)*($L$19/100),$D$23:D788=""),H789,""))</f>
        <v/>
      </c>
      <c r="E789" s="78" t="str">
        <f t="shared" si="12"/>
        <v/>
      </c>
      <c r="F789" s="79"/>
    </row>
    <row r="790" spans="4:6" x14ac:dyDescent="0.25">
      <c r="D790" s="41" t="str" cm="1">
        <f t="array" ref="D790">IF(H790="","",IF(AND(E790&lt;AVERAGE(E789,E791)*($L$19/100),$D$23:D789=""),H790,""))</f>
        <v/>
      </c>
      <c r="E790" s="78" t="str">
        <f t="shared" si="12"/>
        <v/>
      </c>
      <c r="F790" s="79"/>
    </row>
    <row r="791" spans="4:6" x14ac:dyDescent="0.25">
      <c r="D791" s="41" t="str" cm="1">
        <f t="array" ref="D791">IF(H791="","",IF(AND(E791&lt;AVERAGE(E790,E792)*($L$19/100),$D$23:D790=""),H791,""))</f>
        <v/>
      </c>
      <c r="E791" s="78" t="str">
        <f t="shared" si="12"/>
        <v/>
      </c>
      <c r="F791" s="79"/>
    </row>
    <row r="792" spans="4:6" x14ac:dyDescent="0.25">
      <c r="D792" s="41" t="str" cm="1">
        <f t="array" ref="D792">IF(H792="","",IF(AND(E792&lt;AVERAGE(E791,E793)*($L$19/100),$D$23:D791=""),H792,""))</f>
        <v/>
      </c>
      <c r="E792" s="78" t="str">
        <f t="shared" si="12"/>
        <v/>
      </c>
      <c r="F792" s="79"/>
    </row>
    <row r="793" spans="4:6" x14ac:dyDescent="0.25">
      <c r="D793" s="41" t="str" cm="1">
        <f t="array" ref="D793">IF(H793="","",IF(AND(E793&lt;AVERAGE(E792,E794)*($L$19/100),$D$23:D792=""),H793,""))</f>
        <v/>
      </c>
      <c r="E793" s="78" t="str">
        <f t="shared" si="12"/>
        <v/>
      </c>
      <c r="F793" s="79"/>
    </row>
    <row r="794" spans="4:6" x14ac:dyDescent="0.25">
      <c r="D794" s="41" t="str" cm="1">
        <f t="array" ref="D794">IF(H794="","",IF(AND(E794&lt;AVERAGE(E793,E795)*($L$19/100),$D$23:D793=""),H794,""))</f>
        <v/>
      </c>
      <c r="E794" s="78" t="str">
        <f t="shared" si="12"/>
        <v/>
      </c>
      <c r="F794" s="79"/>
    </row>
    <row r="795" spans="4:6" x14ac:dyDescent="0.25">
      <c r="D795" s="41" t="str" cm="1">
        <f t="array" ref="D795">IF(H795="","",IF(AND(E795&lt;AVERAGE(E794,E796)*($L$19/100),$D$23:D794=""),H795,""))</f>
        <v/>
      </c>
      <c r="E795" s="78" t="str">
        <f t="shared" si="12"/>
        <v/>
      </c>
      <c r="F795" s="79"/>
    </row>
    <row r="796" spans="4:6" x14ac:dyDescent="0.25">
      <c r="D796" s="41" t="str" cm="1">
        <f t="array" ref="D796">IF(H796="","",IF(AND(E796&lt;AVERAGE(E795,E797)*($L$19/100),$D$23:D795=""),H796,""))</f>
        <v/>
      </c>
      <c r="E796" s="78" t="str">
        <f t="shared" si="12"/>
        <v/>
      </c>
      <c r="F796" s="79"/>
    </row>
    <row r="797" spans="4:6" x14ac:dyDescent="0.25">
      <c r="D797" s="41" t="str" cm="1">
        <f t="array" ref="D797">IF(H797="","",IF(AND(E797&lt;AVERAGE(E796,E798)*($L$19/100),$D$23:D796=""),H797,""))</f>
        <v/>
      </c>
      <c r="E797" s="78" t="str">
        <f t="shared" si="12"/>
        <v/>
      </c>
      <c r="F797" s="79"/>
    </row>
    <row r="798" spans="4:6" x14ac:dyDescent="0.25">
      <c r="D798" s="41" t="str" cm="1">
        <f t="array" ref="D798">IF(H798="","",IF(AND(E798&lt;AVERAGE(E797,E799)*($L$19/100),$D$23:D797=""),H798,""))</f>
        <v/>
      </c>
      <c r="E798" s="78" t="str">
        <f t="shared" si="12"/>
        <v/>
      </c>
      <c r="F798" s="79"/>
    </row>
    <row r="799" spans="4:6" x14ac:dyDescent="0.25">
      <c r="D799" s="41" t="str" cm="1">
        <f t="array" ref="D799">IF(H799="","",IF(AND(E799&lt;AVERAGE(E798,E800)*($L$19/100),$D$23:D798=""),H799,""))</f>
        <v/>
      </c>
      <c r="E799" s="78" t="str">
        <f t="shared" si="12"/>
        <v/>
      </c>
      <c r="F799" s="79"/>
    </row>
    <row r="800" spans="4:6" x14ac:dyDescent="0.25">
      <c r="D800" s="41" t="str" cm="1">
        <f t="array" ref="D800">IF(H800="","",IF(AND(E800&lt;AVERAGE(E799,E801)*($L$19/100),$D$23:D799=""),H800,""))</f>
        <v/>
      </c>
      <c r="E800" s="78" t="str">
        <f t="shared" si="12"/>
        <v/>
      </c>
      <c r="F800" s="79"/>
    </row>
    <row r="801" spans="4:6" x14ac:dyDescent="0.25">
      <c r="D801" s="41" t="str" cm="1">
        <f t="array" ref="D801">IF(H801="","",IF(AND(E801&lt;AVERAGE(E800,E802)*($L$19/100),$D$23:D800=""),H801,""))</f>
        <v/>
      </c>
      <c r="E801" s="78" t="str">
        <f t="shared" si="12"/>
        <v/>
      </c>
      <c r="F801" s="79"/>
    </row>
    <row r="802" spans="4:6" x14ac:dyDescent="0.25">
      <c r="D802" s="41" t="str" cm="1">
        <f t="array" ref="D802">IF(H802="","",IF(AND(E802&lt;AVERAGE(E801,E803)*($L$19/100),$D$23:D801=""),H802,""))</f>
        <v/>
      </c>
      <c r="E802" s="78" t="str">
        <f t="shared" si="12"/>
        <v/>
      </c>
      <c r="F802" s="79"/>
    </row>
    <row r="803" spans="4:6" x14ac:dyDescent="0.25">
      <c r="D803" s="41" t="str" cm="1">
        <f t="array" ref="D803">IF(H803="","",IF(AND(E803&lt;AVERAGE(E802,E804)*($L$19/100),$D$23:D802=""),H803,""))</f>
        <v/>
      </c>
      <c r="E803" s="78" t="str">
        <f t="shared" si="12"/>
        <v/>
      </c>
      <c r="F803" s="79"/>
    </row>
    <row r="804" spans="4:6" x14ac:dyDescent="0.25">
      <c r="D804" s="41" t="str" cm="1">
        <f t="array" ref="D804">IF(H804="","",IF(AND(E804&lt;AVERAGE(E803,E805)*($L$19/100),$D$23:D803=""),H804,""))</f>
        <v/>
      </c>
      <c r="E804" s="78" t="str">
        <f t="shared" si="12"/>
        <v/>
      </c>
      <c r="F804" s="79"/>
    </row>
    <row r="805" spans="4:6" x14ac:dyDescent="0.25">
      <c r="D805" s="41" t="str" cm="1">
        <f t="array" ref="D805">IF(H805="","",IF(AND(E805&lt;AVERAGE(E804,E806)*($L$19/100),$D$23:D804=""),H805,""))</f>
        <v/>
      </c>
      <c r="E805" s="78" t="str">
        <f t="shared" si="12"/>
        <v/>
      </c>
      <c r="F805" s="79"/>
    </row>
    <row r="806" spans="4:6" x14ac:dyDescent="0.25">
      <c r="D806" s="41" t="str" cm="1">
        <f t="array" ref="D806">IF(H806="","",IF(AND(E806&lt;AVERAGE(E805,E807)*($L$19/100),$D$23:D805=""),H806,""))</f>
        <v/>
      </c>
      <c r="E806" s="78" t="str">
        <f t="shared" si="12"/>
        <v/>
      </c>
      <c r="F806" s="79"/>
    </row>
    <row r="807" spans="4:6" x14ac:dyDescent="0.25">
      <c r="D807" s="41" t="str" cm="1">
        <f t="array" ref="D807">IF(H807="","",IF(AND(E807&lt;AVERAGE(E806,E808)*($L$19/100),$D$23:D806=""),H807,""))</f>
        <v/>
      </c>
      <c r="E807" s="78" t="str">
        <f t="shared" si="12"/>
        <v/>
      </c>
      <c r="F807" s="79"/>
    </row>
    <row r="808" spans="4:6" x14ac:dyDescent="0.25">
      <c r="D808" s="41" t="str" cm="1">
        <f t="array" ref="D808">IF(H808="","",IF(AND(E808&lt;AVERAGE(E807,E809)*($L$19/100),$D$23:D807=""),H808,""))</f>
        <v/>
      </c>
      <c r="E808" s="78" t="str">
        <f t="shared" si="12"/>
        <v/>
      </c>
      <c r="F808" s="79"/>
    </row>
    <row r="809" spans="4:6" x14ac:dyDescent="0.25">
      <c r="D809" s="41" t="str" cm="1">
        <f t="array" ref="D809">IF(H809="","",IF(AND(E809&lt;AVERAGE(E808,E810)*($L$19/100),$D$23:D808=""),H809,""))</f>
        <v/>
      </c>
      <c r="E809" s="78" t="str">
        <f t="shared" si="12"/>
        <v/>
      </c>
      <c r="F809" s="79"/>
    </row>
    <row r="810" spans="4:6" x14ac:dyDescent="0.25">
      <c r="D810" s="41" t="str" cm="1">
        <f t="array" ref="D810">IF(H810="","",IF(AND(E810&lt;AVERAGE(E809,E811)*($L$19/100),$D$23:D809=""),H810,""))</f>
        <v/>
      </c>
      <c r="E810" s="78" t="str">
        <f t="shared" si="12"/>
        <v/>
      </c>
      <c r="F810" s="79"/>
    </row>
    <row r="811" spans="4:6" x14ac:dyDescent="0.25">
      <c r="D811" s="41" t="str" cm="1">
        <f t="array" ref="D811">IF(H811="","",IF(AND(E811&lt;AVERAGE(E810,E812)*($L$19/100),$D$23:D810=""),H811,""))</f>
        <v/>
      </c>
      <c r="E811" s="78" t="str">
        <f t="shared" ref="E811:E874" si="13">IF(H811="","",ABS(I811-$G$19))</f>
        <v/>
      </c>
      <c r="F811" s="79"/>
    </row>
    <row r="812" spans="4:6" x14ac:dyDescent="0.25">
      <c r="D812" s="41" t="str" cm="1">
        <f t="array" ref="D812">IF(H812="","",IF(AND(E812&lt;AVERAGE(E811,E813)*($L$19/100),$D$23:D811=""),H812,""))</f>
        <v/>
      </c>
      <c r="E812" s="78" t="str">
        <f t="shared" si="13"/>
        <v/>
      </c>
      <c r="F812" s="79"/>
    </row>
    <row r="813" spans="4:6" x14ac:dyDescent="0.25">
      <c r="D813" s="41" t="str" cm="1">
        <f t="array" ref="D813">IF(H813="","",IF(AND(E813&lt;AVERAGE(E812,E814)*($L$19/100),$D$23:D812=""),H813,""))</f>
        <v/>
      </c>
      <c r="E813" s="78" t="str">
        <f t="shared" si="13"/>
        <v/>
      </c>
      <c r="F813" s="79"/>
    </row>
    <row r="814" spans="4:6" x14ac:dyDescent="0.25">
      <c r="D814" s="41" t="str" cm="1">
        <f t="array" ref="D814">IF(H814="","",IF(AND(E814&lt;AVERAGE(E813,E815)*($L$19/100),$D$23:D813=""),H814,""))</f>
        <v/>
      </c>
      <c r="E814" s="78" t="str">
        <f t="shared" si="13"/>
        <v/>
      </c>
      <c r="F814" s="79"/>
    </row>
    <row r="815" spans="4:6" x14ac:dyDescent="0.25">
      <c r="D815" s="41" t="str" cm="1">
        <f t="array" ref="D815">IF(H815="","",IF(AND(E815&lt;AVERAGE(E814,E816)*($L$19/100),$D$23:D814=""),H815,""))</f>
        <v/>
      </c>
      <c r="E815" s="78" t="str">
        <f t="shared" si="13"/>
        <v/>
      </c>
      <c r="F815" s="79"/>
    </row>
    <row r="816" spans="4:6" x14ac:dyDescent="0.25">
      <c r="D816" s="41" t="str" cm="1">
        <f t="array" ref="D816">IF(H816="","",IF(AND(E816&lt;AVERAGE(E815,E817)*($L$19/100),$D$23:D815=""),H816,""))</f>
        <v/>
      </c>
      <c r="E816" s="78" t="str">
        <f t="shared" si="13"/>
        <v/>
      </c>
      <c r="F816" s="79"/>
    </row>
    <row r="817" spans="4:6" x14ac:dyDescent="0.25">
      <c r="D817" s="41" t="str" cm="1">
        <f t="array" ref="D817">IF(H817="","",IF(AND(E817&lt;AVERAGE(E816,E818)*($L$19/100),$D$23:D816=""),H817,""))</f>
        <v/>
      </c>
      <c r="E817" s="78" t="str">
        <f t="shared" si="13"/>
        <v/>
      </c>
      <c r="F817" s="79"/>
    </row>
    <row r="818" spans="4:6" x14ac:dyDescent="0.25">
      <c r="D818" s="41" t="str" cm="1">
        <f t="array" ref="D818">IF(H818="","",IF(AND(E818&lt;AVERAGE(E817,E819)*($L$19/100),$D$23:D817=""),H818,""))</f>
        <v/>
      </c>
      <c r="E818" s="78" t="str">
        <f t="shared" si="13"/>
        <v/>
      </c>
      <c r="F818" s="79"/>
    </row>
    <row r="819" spans="4:6" x14ac:dyDescent="0.25">
      <c r="D819" s="41" t="str" cm="1">
        <f t="array" ref="D819">IF(H819="","",IF(AND(E819&lt;AVERAGE(E818,E820)*($L$19/100),$D$23:D818=""),H819,""))</f>
        <v/>
      </c>
      <c r="E819" s="78" t="str">
        <f t="shared" si="13"/>
        <v/>
      </c>
      <c r="F819" s="79"/>
    </row>
    <row r="820" spans="4:6" x14ac:dyDescent="0.25">
      <c r="D820" s="41" t="str" cm="1">
        <f t="array" ref="D820">IF(H820="","",IF(AND(E820&lt;AVERAGE(E819,E821)*($L$19/100),$D$23:D819=""),H820,""))</f>
        <v/>
      </c>
      <c r="E820" s="78" t="str">
        <f t="shared" si="13"/>
        <v/>
      </c>
      <c r="F820" s="79"/>
    </row>
    <row r="821" spans="4:6" x14ac:dyDescent="0.25">
      <c r="D821" s="41" t="str" cm="1">
        <f t="array" ref="D821">IF(H821="","",IF(AND(E821&lt;AVERAGE(E820,E822)*($L$19/100),$D$23:D820=""),H821,""))</f>
        <v/>
      </c>
      <c r="E821" s="78" t="str">
        <f t="shared" si="13"/>
        <v/>
      </c>
      <c r="F821" s="79"/>
    </row>
    <row r="822" spans="4:6" x14ac:dyDescent="0.25">
      <c r="D822" s="41" t="str" cm="1">
        <f t="array" ref="D822">IF(H822="","",IF(AND(E822&lt;AVERAGE(E821,E823)*($L$19/100),$D$23:D821=""),H822,""))</f>
        <v/>
      </c>
      <c r="E822" s="78" t="str">
        <f t="shared" si="13"/>
        <v/>
      </c>
      <c r="F822" s="79"/>
    </row>
    <row r="823" spans="4:6" x14ac:dyDescent="0.25">
      <c r="D823" s="41" t="str" cm="1">
        <f t="array" ref="D823">IF(H823="","",IF(AND(E823&lt;AVERAGE(E822,E824)*($L$19/100),$D$23:D822=""),H823,""))</f>
        <v/>
      </c>
      <c r="E823" s="78" t="str">
        <f t="shared" si="13"/>
        <v/>
      </c>
      <c r="F823" s="79"/>
    </row>
    <row r="824" spans="4:6" x14ac:dyDescent="0.25">
      <c r="D824" s="41" t="str" cm="1">
        <f t="array" ref="D824">IF(H824="","",IF(AND(E824&lt;AVERAGE(E823,E825)*($L$19/100),$D$23:D823=""),H824,""))</f>
        <v/>
      </c>
      <c r="E824" s="78" t="str">
        <f t="shared" si="13"/>
        <v/>
      </c>
      <c r="F824" s="79"/>
    </row>
    <row r="825" spans="4:6" x14ac:dyDescent="0.25">
      <c r="D825" s="41" t="str" cm="1">
        <f t="array" ref="D825">IF(H825="","",IF(AND(E825&lt;AVERAGE(E824,E826)*($L$19/100),$D$23:D824=""),H825,""))</f>
        <v/>
      </c>
      <c r="E825" s="78" t="str">
        <f t="shared" si="13"/>
        <v/>
      </c>
      <c r="F825" s="79"/>
    </row>
    <row r="826" spans="4:6" x14ac:dyDescent="0.25">
      <c r="D826" s="41" t="str" cm="1">
        <f t="array" ref="D826">IF(H826="","",IF(AND(E826&lt;AVERAGE(E825,E827)*($L$19/100),$D$23:D825=""),H826,""))</f>
        <v/>
      </c>
      <c r="E826" s="78" t="str">
        <f t="shared" si="13"/>
        <v/>
      </c>
      <c r="F826" s="79"/>
    </row>
    <row r="827" spans="4:6" x14ac:dyDescent="0.25">
      <c r="D827" s="41" t="str" cm="1">
        <f t="array" ref="D827">IF(H827="","",IF(AND(E827&lt;AVERAGE(E826,E828)*($L$19/100),$D$23:D826=""),H827,""))</f>
        <v/>
      </c>
      <c r="E827" s="78" t="str">
        <f t="shared" si="13"/>
        <v/>
      </c>
      <c r="F827" s="79"/>
    </row>
    <row r="828" spans="4:6" x14ac:dyDescent="0.25">
      <c r="D828" s="41" t="str" cm="1">
        <f t="array" ref="D828">IF(H828="","",IF(AND(E828&lt;AVERAGE(E827,E829)*($L$19/100),$D$23:D827=""),H828,""))</f>
        <v/>
      </c>
      <c r="E828" s="78" t="str">
        <f t="shared" si="13"/>
        <v/>
      </c>
      <c r="F828" s="79"/>
    </row>
    <row r="829" spans="4:6" x14ac:dyDescent="0.25">
      <c r="D829" s="41" t="str" cm="1">
        <f t="array" ref="D829">IF(H829="","",IF(AND(E829&lt;AVERAGE(E828,E830)*($L$19/100),$D$23:D828=""),H829,""))</f>
        <v/>
      </c>
      <c r="E829" s="78" t="str">
        <f t="shared" si="13"/>
        <v/>
      </c>
      <c r="F829" s="79"/>
    </row>
    <row r="830" spans="4:6" x14ac:dyDescent="0.25">
      <c r="D830" s="41" t="str" cm="1">
        <f t="array" ref="D830">IF(H830="","",IF(AND(E830&lt;AVERAGE(E829,E831)*($L$19/100),$D$23:D829=""),H830,""))</f>
        <v/>
      </c>
      <c r="E830" s="78" t="str">
        <f t="shared" si="13"/>
        <v/>
      </c>
      <c r="F830" s="79"/>
    </row>
    <row r="831" spans="4:6" x14ac:dyDescent="0.25">
      <c r="D831" s="41" t="str" cm="1">
        <f t="array" ref="D831">IF(H831="","",IF(AND(E831&lt;AVERAGE(E830,E832)*($L$19/100),$D$23:D830=""),H831,""))</f>
        <v/>
      </c>
      <c r="E831" s="78" t="str">
        <f t="shared" si="13"/>
        <v/>
      </c>
      <c r="F831" s="79"/>
    </row>
    <row r="832" spans="4:6" x14ac:dyDescent="0.25">
      <c r="D832" s="41" t="str" cm="1">
        <f t="array" ref="D832">IF(H832="","",IF(AND(E832&lt;AVERAGE(E831,E833)*($L$19/100),$D$23:D831=""),H832,""))</f>
        <v/>
      </c>
      <c r="E832" s="78" t="str">
        <f t="shared" si="13"/>
        <v/>
      </c>
      <c r="F832" s="79"/>
    </row>
    <row r="833" spans="4:6" x14ac:dyDescent="0.25">
      <c r="D833" s="41" t="str" cm="1">
        <f t="array" ref="D833">IF(H833="","",IF(AND(E833&lt;AVERAGE(E832,E834)*($L$19/100),$D$23:D832=""),H833,""))</f>
        <v/>
      </c>
      <c r="E833" s="78" t="str">
        <f t="shared" si="13"/>
        <v/>
      </c>
      <c r="F833" s="79"/>
    </row>
    <row r="834" spans="4:6" x14ac:dyDescent="0.25">
      <c r="D834" s="41" t="str" cm="1">
        <f t="array" ref="D834">IF(H834="","",IF(AND(E834&lt;AVERAGE(E833,E835)*($L$19/100),$D$23:D833=""),H834,""))</f>
        <v/>
      </c>
      <c r="E834" s="78" t="str">
        <f t="shared" si="13"/>
        <v/>
      </c>
      <c r="F834" s="79"/>
    </row>
    <row r="835" spans="4:6" x14ac:dyDescent="0.25">
      <c r="D835" s="41" t="str" cm="1">
        <f t="array" ref="D835">IF(H835="","",IF(AND(E835&lt;AVERAGE(E834,E836)*($L$19/100),$D$23:D834=""),H835,""))</f>
        <v/>
      </c>
      <c r="E835" s="78" t="str">
        <f t="shared" si="13"/>
        <v/>
      </c>
      <c r="F835" s="79"/>
    </row>
    <row r="836" spans="4:6" x14ac:dyDescent="0.25">
      <c r="D836" s="41" t="str" cm="1">
        <f t="array" ref="D836">IF(H836="","",IF(AND(E836&lt;AVERAGE(E835,E837)*($L$19/100),$D$23:D835=""),H836,""))</f>
        <v/>
      </c>
      <c r="E836" s="78" t="str">
        <f t="shared" si="13"/>
        <v/>
      </c>
      <c r="F836" s="79"/>
    </row>
    <row r="837" spans="4:6" x14ac:dyDescent="0.25">
      <c r="D837" s="41" t="str" cm="1">
        <f t="array" ref="D837">IF(H837="","",IF(AND(E837&lt;AVERAGE(E836,E838)*($L$19/100),$D$23:D836=""),H837,""))</f>
        <v/>
      </c>
      <c r="E837" s="78" t="str">
        <f t="shared" si="13"/>
        <v/>
      </c>
      <c r="F837" s="79"/>
    </row>
    <row r="838" spans="4:6" x14ac:dyDescent="0.25">
      <c r="D838" s="41" t="str" cm="1">
        <f t="array" ref="D838">IF(H838="","",IF(AND(E838&lt;AVERAGE(E837,E839)*($L$19/100),$D$23:D837=""),H838,""))</f>
        <v/>
      </c>
      <c r="E838" s="78" t="str">
        <f t="shared" si="13"/>
        <v/>
      </c>
      <c r="F838" s="79"/>
    </row>
    <row r="839" spans="4:6" x14ac:dyDescent="0.25">
      <c r="D839" s="41" t="str" cm="1">
        <f t="array" ref="D839">IF(H839="","",IF(AND(E839&lt;AVERAGE(E838,E840)*($L$19/100),$D$23:D838=""),H839,""))</f>
        <v/>
      </c>
      <c r="E839" s="78" t="str">
        <f t="shared" si="13"/>
        <v/>
      </c>
      <c r="F839" s="79"/>
    </row>
    <row r="840" spans="4:6" x14ac:dyDescent="0.25">
      <c r="D840" s="41" t="str" cm="1">
        <f t="array" ref="D840">IF(H840="","",IF(AND(E840&lt;AVERAGE(E839,E841)*($L$19/100),$D$23:D839=""),H840,""))</f>
        <v/>
      </c>
      <c r="E840" s="78" t="str">
        <f t="shared" si="13"/>
        <v/>
      </c>
      <c r="F840" s="79"/>
    </row>
    <row r="841" spans="4:6" x14ac:dyDescent="0.25">
      <c r="D841" s="41" t="str" cm="1">
        <f t="array" ref="D841">IF(H841="","",IF(AND(E841&lt;AVERAGE(E840,E842)*($L$19/100),$D$23:D840=""),H841,""))</f>
        <v/>
      </c>
      <c r="E841" s="78" t="str">
        <f t="shared" si="13"/>
        <v/>
      </c>
      <c r="F841" s="79"/>
    </row>
    <row r="842" spans="4:6" x14ac:dyDescent="0.25">
      <c r="D842" s="41" t="str" cm="1">
        <f t="array" ref="D842">IF(H842="","",IF(AND(E842&lt;AVERAGE(E841,E843)*($L$19/100),$D$23:D841=""),H842,""))</f>
        <v/>
      </c>
      <c r="E842" s="78" t="str">
        <f t="shared" si="13"/>
        <v/>
      </c>
      <c r="F842" s="79"/>
    </row>
    <row r="843" spans="4:6" x14ac:dyDescent="0.25">
      <c r="D843" s="41" t="str" cm="1">
        <f t="array" ref="D843">IF(H843="","",IF(AND(E843&lt;AVERAGE(E842,E844)*($L$19/100),$D$23:D842=""),H843,""))</f>
        <v/>
      </c>
      <c r="E843" s="78" t="str">
        <f t="shared" si="13"/>
        <v/>
      </c>
      <c r="F843" s="79"/>
    </row>
    <row r="844" spans="4:6" x14ac:dyDescent="0.25">
      <c r="D844" s="41" t="str" cm="1">
        <f t="array" ref="D844">IF(H844="","",IF(AND(E844&lt;AVERAGE(E843,E845)*($L$19/100),$D$23:D843=""),H844,""))</f>
        <v/>
      </c>
      <c r="E844" s="78" t="str">
        <f t="shared" si="13"/>
        <v/>
      </c>
      <c r="F844" s="79"/>
    </row>
    <row r="845" spans="4:6" x14ac:dyDescent="0.25">
      <c r="D845" s="41" t="str" cm="1">
        <f t="array" ref="D845">IF(H845="","",IF(AND(E845&lt;AVERAGE(E844,E846)*($L$19/100),$D$23:D844=""),H845,""))</f>
        <v/>
      </c>
      <c r="E845" s="78" t="str">
        <f t="shared" si="13"/>
        <v/>
      </c>
      <c r="F845" s="79"/>
    </row>
    <row r="846" spans="4:6" x14ac:dyDescent="0.25">
      <c r="D846" s="41" t="str" cm="1">
        <f t="array" ref="D846">IF(H846="","",IF(AND(E846&lt;AVERAGE(E845,E847)*($L$19/100),$D$23:D845=""),H846,""))</f>
        <v/>
      </c>
      <c r="E846" s="78" t="str">
        <f t="shared" si="13"/>
        <v/>
      </c>
      <c r="F846" s="79"/>
    </row>
    <row r="847" spans="4:6" x14ac:dyDescent="0.25">
      <c r="D847" s="41" t="str" cm="1">
        <f t="array" ref="D847">IF(H847="","",IF(AND(E847&lt;AVERAGE(E846,E848)*($L$19/100),$D$23:D846=""),H847,""))</f>
        <v/>
      </c>
      <c r="E847" s="78" t="str">
        <f t="shared" si="13"/>
        <v/>
      </c>
      <c r="F847" s="79"/>
    </row>
    <row r="848" spans="4:6" x14ac:dyDescent="0.25">
      <c r="D848" s="41" t="str" cm="1">
        <f t="array" ref="D848">IF(H848="","",IF(AND(E848&lt;AVERAGE(E847,E849)*($L$19/100),$D$23:D847=""),H848,""))</f>
        <v/>
      </c>
      <c r="E848" s="78" t="str">
        <f t="shared" si="13"/>
        <v/>
      </c>
      <c r="F848" s="79"/>
    </row>
    <row r="849" spans="4:6" x14ac:dyDescent="0.25">
      <c r="D849" s="41" t="str" cm="1">
        <f t="array" ref="D849">IF(H849="","",IF(AND(E849&lt;AVERAGE(E848,E850)*($L$19/100),$D$23:D848=""),H849,""))</f>
        <v/>
      </c>
      <c r="E849" s="78" t="str">
        <f t="shared" si="13"/>
        <v/>
      </c>
      <c r="F849" s="79"/>
    </row>
    <row r="850" spans="4:6" x14ac:dyDescent="0.25">
      <c r="D850" s="41" t="str" cm="1">
        <f t="array" ref="D850">IF(H850="","",IF(AND(E850&lt;AVERAGE(E849,E851)*($L$19/100),$D$23:D849=""),H850,""))</f>
        <v/>
      </c>
      <c r="E850" s="78" t="str">
        <f t="shared" si="13"/>
        <v/>
      </c>
      <c r="F850" s="79"/>
    </row>
    <row r="851" spans="4:6" x14ac:dyDescent="0.25">
      <c r="D851" s="41" t="str" cm="1">
        <f t="array" ref="D851">IF(H851="","",IF(AND(E851&lt;AVERAGE(E850,E852)*($L$19/100),$D$23:D850=""),H851,""))</f>
        <v/>
      </c>
      <c r="E851" s="78" t="str">
        <f t="shared" si="13"/>
        <v/>
      </c>
      <c r="F851" s="79"/>
    </row>
    <row r="852" spans="4:6" x14ac:dyDescent="0.25">
      <c r="D852" s="41" t="str" cm="1">
        <f t="array" ref="D852">IF(H852="","",IF(AND(E852&lt;AVERAGE(E851,E853)*($L$19/100),$D$23:D851=""),H852,""))</f>
        <v/>
      </c>
      <c r="E852" s="78" t="str">
        <f t="shared" si="13"/>
        <v/>
      </c>
      <c r="F852" s="79"/>
    </row>
    <row r="853" spans="4:6" x14ac:dyDescent="0.25">
      <c r="D853" s="41" t="str" cm="1">
        <f t="array" ref="D853">IF(H853="","",IF(AND(E853&lt;AVERAGE(E852,E854)*($L$19/100),$D$23:D852=""),H853,""))</f>
        <v/>
      </c>
      <c r="E853" s="78" t="str">
        <f t="shared" si="13"/>
        <v/>
      </c>
      <c r="F853" s="79"/>
    </row>
    <row r="854" spans="4:6" x14ac:dyDescent="0.25">
      <c r="D854" s="41" t="str" cm="1">
        <f t="array" ref="D854">IF(H854="","",IF(AND(E854&lt;AVERAGE(E853,E855)*($L$19/100),$D$23:D853=""),H854,""))</f>
        <v/>
      </c>
      <c r="E854" s="78" t="str">
        <f t="shared" si="13"/>
        <v/>
      </c>
      <c r="F854" s="79"/>
    </row>
    <row r="855" spans="4:6" x14ac:dyDescent="0.25">
      <c r="D855" s="41" t="str" cm="1">
        <f t="array" ref="D855">IF(H855="","",IF(AND(E855&lt;AVERAGE(E854,E856)*($L$19/100),$D$23:D854=""),H855,""))</f>
        <v/>
      </c>
      <c r="E855" s="78" t="str">
        <f t="shared" si="13"/>
        <v/>
      </c>
      <c r="F855" s="79"/>
    </row>
    <row r="856" spans="4:6" x14ac:dyDescent="0.25">
      <c r="D856" s="41" t="str" cm="1">
        <f t="array" ref="D856">IF(H856="","",IF(AND(E856&lt;AVERAGE(E855,E857)*($L$19/100),$D$23:D855=""),H856,""))</f>
        <v/>
      </c>
      <c r="E856" s="78" t="str">
        <f t="shared" si="13"/>
        <v/>
      </c>
      <c r="F856" s="79"/>
    </row>
    <row r="857" spans="4:6" x14ac:dyDescent="0.25">
      <c r="D857" s="41" t="str" cm="1">
        <f t="array" ref="D857">IF(H857="","",IF(AND(E857&lt;AVERAGE(E856,E858)*($L$19/100),$D$23:D856=""),H857,""))</f>
        <v/>
      </c>
      <c r="E857" s="78" t="str">
        <f t="shared" si="13"/>
        <v/>
      </c>
      <c r="F857" s="79"/>
    </row>
    <row r="858" spans="4:6" x14ac:dyDescent="0.25">
      <c r="D858" s="41" t="str" cm="1">
        <f t="array" ref="D858">IF(H858="","",IF(AND(E858&lt;AVERAGE(E857,E859)*($L$19/100),$D$23:D857=""),H858,""))</f>
        <v/>
      </c>
      <c r="E858" s="78" t="str">
        <f t="shared" si="13"/>
        <v/>
      </c>
      <c r="F858" s="79"/>
    </row>
    <row r="859" spans="4:6" x14ac:dyDescent="0.25">
      <c r="D859" s="41" t="str" cm="1">
        <f t="array" ref="D859">IF(H859="","",IF(AND(E859&lt;AVERAGE(E858,E860)*($L$19/100),$D$23:D858=""),H859,""))</f>
        <v/>
      </c>
      <c r="E859" s="78" t="str">
        <f t="shared" si="13"/>
        <v/>
      </c>
      <c r="F859" s="79"/>
    </row>
    <row r="860" spans="4:6" x14ac:dyDescent="0.25">
      <c r="D860" s="41" t="str" cm="1">
        <f t="array" ref="D860">IF(H860="","",IF(AND(E860&lt;AVERAGE(E859,E861)*($L$19/100),$D$23:D859=""),H860,""))</f>
        <v/>
      </c>
      <c r="E860" s="78" t="str">
        <f t="shared" si="13"/>
        <v/>
      </c>
      <c r="F860" s="79"/>
    </row>
    <row r="861" spans="4:6" x14ac:dyDescent="0.25">
      <c r="D861" s="41" t="str" cm="1">
        <f t="array" ref="D861">IF(H861="","",IF(AND(E861&lt;AVERAGE(E860,E862)*($L$19/100),$D$23:D860=""),H861,""))</f>
        <v/>
      </c>
      <c r="E861" s="78" t="str">
        <f t="shared" si="13"/>
        <v/>
      </c>
      <c r="F861" s="79"/>
    </row>
    <row r="862" spans="4:6" x14ac:dyDescent="0.25">
      <c r="D862" s="41" t="str" cm="1">
        <f t="array" ref="D862">IF(H862="","",IF(AND(E862&lt;AVERAGE(E861,E863)*($L$19/100),$D$23:D861=""),H862,""))</f>
        <v/>
      </c>
      <c r="E862" s="78" t="str">
        <f t="shared" si="13"/>
        <v/>
      </c>
      <c r="F862" s="79"/>
    </row>
    <row r="863" spans="4:6" x14ac:dyDescent="0.25">
      <c r="D863" s="41" t="str" cm="1">
        <f t="array" ref="D863">IF(H863="","",IF(AND(E863&lt;AVERAGE(E862,E864)*($L$19/100),$D$23:D862=""),H863,""))</f>
        <v/>
      </c>
      <c r="E863" s="78" t="str">
        <f t="shared" si="13"/>
        <v/>
      </c>
      <c r="F863" s="79"/>
    </row>
    <row r="864" spans="4:6" x14ac:dyDescent="0.25">
      <c r="D864" s="41" t="str" cm="1">
        <f t="array" ref="D864">IF(H864="","",IF(AND(E864&lt;AVERAGE(E863,E865)*($L$19/100),$D$23:D863=""),H864,""))</f>
        <v/>
      </c>
      <c r="E864" s="78" t="str">
        <f t="shared" si="13"/>
        <v/>
      </c>
      <c r="F864" s="79"/>
    </row>
    <row r="865" spans="4:6" x14ac:dyDescent="0.25">
      <c r="D865" s="41" t="str" cm="1">
        <f t="array" ref="D865">IF(H865="","",IF(AND(E865&lt;AVERAGE(E864,E866)*($L$19/100),$D$23:D864=""),H865,""))</f>
        <v/>
      </c>
      <c r="E865" s="78" t="str">
        <f t="shared" si="13"/>
        <v/>
      </c>
      <c r="F865" s="79"/>
    </row>
    <row r="866" spans="4:6" x14ac:dyDescent="0.25">
      <c r="D866" s="41" t="str" cm="1">
        <f t="array" ref="D866">IF(H866="","",IF(AND(E866&lt;AVERAGE(E865,E867)*($L$19/100),$D$23:D865=""),H866,""))</f>
        <v/>
      </c>
      <c r="E866" s="78" t="str">
        <f t="shared" si="13"/>
        <v/>
      </c>
      <c r="F866" s="79"/>
    </row>
    <row r="867" spans="4:6" x14ac:dyDescent="0.25">
      <c r="D867" s="41" t="str" cm="1">
        <f t="array" ref="D867">IF(H867="","",IF(AND(E867&lt;AVERAGE(E866,E868)*($L$19/100),$D$23:D866=""),H867,""))</f>
        <v/>
      </c>
      <c r="E867" s="78" t="str">
        <f t="shared" si="13"/>
        <v/>
      </c>
      <c r="F867" s="79"/>
    </row>
    <row r="868" spans="4:6" x14ac:dyDescent="0.25">
      <c r="D868" s="41" t="str" cm="1">
        <f t="array" ref="D868">IF(H868="","",IF(AND(E868&lt;AVERAGE(E867,E869)*($L$19/100),$D$23:D867=""),H868,""))</f>
        <v/>
      </c>
      <c r="E868" s="78" t="str">
        <f t="shared" si="13"/>
        <v/>
      </c>
      <c r="F868" s="79"/>
    </row>
    <row r="869" spans="4:6" x14ac:dyDescent="0.25">
      <c r="D869" s="41" t="str" cm="1">
        <f t="array" ref="D869">IF(H869="","",IF(AND(E869&lt;AVERAGE(E868,E870)*($L$19/100),$D$23:D868=""),H869,""))</f>
        <v/>
      </c>
      <c r="E869" s="78" t="str">
        <f t="shared" si="13"/>
        <v/>
      </c>
      <c r="F869" s="79"/>
    </row>
    <row r="870" spans="4:6" x14ac:dyDescent="0.25">
      <c r="D870" s="41" t="str" cm="1">
        <f t="array" ref="D870">IF(H870="","",IF(AND(E870&lt;AVERAGE(E869,E871)*($L$19/100),$D$23:D869=""),H870,""))</f>
        <v/>
      </c>
      <c r="E870" s="78" t="str">
        <f t="shared" si="13"/>
        <v/>
      </c>
      <c r="F870" s="79"/>
    </row>
    <row r="871" spans="4:6" x14ac:dyDescent="0.25">
      <c r="D871" s="41" t="str" cm="1">
        <f t="array" ref="D871">IF(H871="","",IF(AND(E871&lt;AVERAGE(E870,E872)*($L$19/100),$D$23:D870=""),H871,""))</f>
        <v/>
      </c>
      <c r="E871" s="78" t="str">
        <f t="shared" si="13"/>
        <v/>
      </c>
      <c r="F871" s="79"/>
    </row>
    <row r="872" spans="4:6" x14ac:dyDescent="0.25">
      <c r="D872" s="41" t="str" cm="1">
        <f t="array" ref="D872">IF(H872="","",IF(AND(E872&lt;AVERAGE(E871,E873)*($L$19/100),$D$23:D871=""),H872,""))</f>
        <v/>
      </c>
      <c r="E872" s="78" t="str">
        <f t="shared" si="13"/>
        <v/>
      </c>
      <c r="F872" s="79"/>
    </row>
    <row r="873" spans="4:6" x14ac:dyDescent="0.25">
      <c r="D873" s="41" t="str" cm="1">
        <f t="array" ref="D873">IF(H873="","",IF(AND(E873&lt;AVERAGE(E872,E874)*($L$19/100),$D$23:D872=""),H873,""))</f>
        <v/>
      </c>
      <c r="E873" s="78" t="str">
        <f t="shared" si="13"/>
        <v/>
      </c>
      <c r="F873" s="79"/>
    </row>
    <row r="874" spans="4:6" x14ac:dyDescent="0.25">
      <c r="D874" s="41" t="str" cm="1">
        <f t="array" ref="D874">IF(H874="","",IF(AND(E874&lt;AVERAGE(E873,E875)*($L$19/100),$D$23:D873=""),H874,""))</f>
        <v/>
      </c>
      <c r="E874" s="78" t="str">
        <f t="shared" si="13"/>
        <v/>
      </c>
      <c r="F874" s="79"/>
    </row>
    <row r="875" spans="4:6" x14ac:dyDescent="0.25">
      <c r="D875" s="41" t="str" cm="1">
        <f t="array" ref="D875">IF(H875="","",IF(AND(E875&lt;AVERAGE(E874,E876)*($L$19/100),$D$23:D874=""),H875,""))</f>
        <v/>
      </c>
      <c r="E875" s="78" t="str">
        <f t="shared" ref="E875:E938" si="14">IF(H875="","",ABS(I875-$G$19))</f>
        <v/>
      </c>
      <c r="F875" s="79"/>
    </row>
    <row r="876" spans="4:6" x14ac:dyDescent="0.25">
      <c r="D876" s="41" t="str" cm="1">
        <f t="array" ref="D876">IF(H876="","",IF(AND(E876&lt;AVERAGE(E875,E877)*($L$19/100),$D$23:D875=""),H876,""))</f>
        <v/>
      </c>
      <c r="E876" s="78" t="str">
        <f t="shared" si="14"/>
        <v/>
      </c>
      <c r="F876" s="79"/>
    </row>
    <row r="877" spans="4:6" x14ac:dyDescent="0.25">
      <c r="D877" s="41" t="str" cm="1">
        <f t="array" ref="D877">IF(H877="","",IF(AND(E877&lt;AVERAGE(E876,E878)*($L$19/100),$D$23:D876=""),H877,""))</f>
        <v/>
      </c>
      <c r="E877" s="78" t="str">
        <f t="shared" si="14"/>
        <v/>
      </c>
      <c r="F877" s="79"/>
    </row>
    <row r="878" spans="4:6" x14ac:dyDescent="0.25">
      <c r="D878" s="41" t="str" cm="1">
        <f t="array" ref="D878">IF(H878="","",IF(AND(E878&lt;AVERAGE(E877,E879)*($L$19/100),$D$23:D877=""),H878,""))</f>
        <v/>
      </c>
      <c r="E878" s="78" t="str">
        <f t="shared" si="14"/>
        <v/>
      </c>
      <c r="F878" s="79"/>
    </row>
    <row r="879" spans="4:6" x14ac:dyDescent="0.25">
      <c r="D879" s="41" t="str" cm="1">
        <f t="array" ref="D879">IF(H879="","",IF(AND(E879&lt;AVERAGE(E878,E880)*($L$19/100),$D$23:D878=""),H879,""))</f>
        <v/>
      </c>
      <c r="E879" s="78" t="str">
        <f t="shared" si="14"/>
        <v/>
      </c>
      <c r="F879" s="79"/>
    </row>
    <row r="880" spans="4:6" x14ac:dyDescent="0.25">
      <c r="D880" s="41" t="str" cm="1">
        <f t="array" ref="D880">IF(H880="","",IF(AND(E880&lt;AVERAGE(E879,E881)*($L$19/100),$D$23:D879=""),H880,""))</f>
        <v/>
      </c>
      <c r="E880" s="78" t="str">
        <f t="shared" si="14"/>
        <v/>
      </c>
      <c r="F880" s="79"/>
    </row>
    <row r="881" spans="4:6" x14ac:dyDescent="0.25">
      <c r="D881" s="41" t="str" cm="1">
        <f t="array" ref="D881">IF(H881="","",IF(AND(E881&lt;AVERAGE(E880,E882)*($L$19/100),$D$23:D880=""),H881,""))</f>
        <v/>
      </c>
      <c r="E881" s="78" t="str">
        <f t="shared" si="14"/>
        <v/>
      </c>
      <c r="F881" s="79"/>
    </row>
    <row r="882" spans="4:6" x14ac:dyDescent="0.25">
      <c r="D882" s="41" t="str" cm="1">
        <f t="array" ref="D882">IF(H882="","",IF(AND(E882&lt;AVERAGE(E881,E883)*($L$19/100),$D$23:D881=""),H882,""))</f>
        <v/>
      </c>
      <c r="E882" s="78" t="str">
        <f t="shared" si="14"/>
        <v/>
      </c>
      <c r="F882" s="79"/>
    </row>
    <row r="883" spans="4:6" x14ac:dyDescent="0.25">
      <c r="D883" s="41" t="str" cm="1">
        <f t="array" ref="D883">IF(H883="","",IF(AND(E883&lt;AVERAGE(E882,E884)*($L$19/100),$D$23:D882=""),H883,""))</f>
        <v/>
      </c>
      <c r="E883" s="78" t="str">
        <f t="shared" si="14"/>
        <v/>
      </c>
      <c r="F883" s="79"/>
    </row>
    <row r="884" spans="4:6" x14ac:dyDescent="0.25">
      <c r="D884" s="41" t="str" cm="1">
        <f t="array" ref="D884">IF(H884="","",IF(AND(E884&lt;AVERAGE(E883,E885)*($L$19/100),$D$23:D883=""),H884,""))</f>
        <v/>
      </c>
      <c r="E884" s="78" t="str">
        <f t="shared" si="14"/>
        <v/>
      </c>
      <c r="F884" s="79"/>
    </row>
    <row r="885" spans="4:6" x14ac:dyDescent="0.25">
      <c r="D885" s="41" t="str" cm="1">
        <f t="array" ref="D885">IF(H885="","",IF(AND(E885&lt;AVERAGE(E884,E886)*($L$19/100),$D$23:D884=""),H885,""))</f>
        <v/>
      </c>
      <c r="E885" s="78" t="str">
        <f t="shared" si="14"/>
        <v/>
      </c>
      <c r="F885" s="79"/>
    </row>
    <row r="886" spans="4:6" x14ac:dyDescent="0.25">
      <c r="D886" s="41" t="str" cm="1">
        <f t="array" ref="D886">IF(H886="","",IF(AND(E886&lt;AVERAGE(E885,E887)*($L$19/100),$D$23:D885=""),H886,""))</f>
        <v/>
      </c>
      <c r="E886" s="78" t="str">
        <f t="shared" si="14"/>
        <v/>
      </c>
      <c r="F886" s="79"/>
    </row>
    <row r="887" spans="4:6" x14ac:dyDescent="0.25">
      <c r="D887" s="41" t="str" cm="1">
        <f t="array" ref="D887">IF(H887="","",IF(AND(E887&lt;AVERAGE(E886,E888)*($L$19/100),$D$23:D886=""),H887,""))</f>
        <v/>
      </c>
      <c r="E887" s="78" t="str">
        <f t="shared" si="14"/>
        <v/>
      </c>
      <c r="F887" s="79"/>
    </row>
    <row r="888" spans="4:6" x14ac:dyDescent="0.25">
      <c r="D888" s="41" t="str" cm="1">
        <f t="array" ref="D888">IF(H888="","",IF(AND(E888&lt;AVERAGE(E887,E889)*($L$19/100),$D$23:D887=""),H888,""))</f>
        <v/>
      </c>
      <c r="E888" s="78" t="str">
        <f t="shared" si="14"/>
        <v/>
      </c>
      <c r="F888" s="79"/>
    </row>
    <row r="889" spans="4:6" x14ac:dyDescent="0.25">
      <c r="D889" s="41" t="str" cm="1">
        <f t="array" ref="D889">IF(H889="","",IF(AND(E889&lt;AVERAGE(E888,E890)*($L$19/100),$D$23:D888=""),H889,""))</f>
        <v/>
      </c>
      <c r="E889" s="78" t="str">
        <f t="shared" si="14"/>
        <v/>
      </c>
      <c r="F889" s="79"/>
    </row>
    <row r="890" spans="4:6" x14ac:dyDescent="0.25">
      <c r="D890" s="41" t="str" cm="1">
        <f t="array" ref="D890">IF(H890="","",IF(AND(E890&lt;AVERAGE(E889,E891)*($L$19/100),$D$23:D889=""),H890,""))</f>
        <v/>
      </c>
      <c r="E890" s="78" t="str">
        <f t="shared" si="14"/>
        <v/>
      </c>
      <c r="F890" s="79"/>
    </row>
    <row r="891" spans="4:6" x14ac:dyDescent="0.25">
      <c r="D891" s="41" t="str" cm="1">
        <f t="array" ref="D891">IF(H891="","",IF(AND(E891&lt;AVERAGE(E890,E892)*($L$19/100),$D$23:D890=""),H891,""))</f>
        <v/>
      </c>
      <c r="E891" s="78" t="str">
        <f t="shared" si="14"/>
        <v/>
      </c>
      <c r="F891" s="79"/>
    </row>
    <row r="892" spans="4:6" x14ac:dyDescent="0.25">
      <c r="D892" s="41" t="str" cm="1">
        <f t="array" ref="D892">IF(H892="","",IF(AND(E892&lt;AVERAGE(E891,E893)*($L$19/100),$D$23:D891=""),H892,""))</f>
        <v/>
      </c>
      <c r="E892" s="78" t="str">
        <f t="shared" si="14"/>
        <v/>
      </c>
      <c r="F892" s="79"/>
    </row>
    <row r="893" spans="4:6" x14ac:dyDescent="0.25">
      <c r="D893" s="41" t="str" cm="1">
        <f t="array" ref="D893">IF(H893="","",IF(AND(E893&lt;AVERAGE(E892,E894)*($L$19/100),$D$23:D892=""),H893,""))</f>
        <v/>
      </c>
      <c r="E893" s="78" t="str">
        <f t="shared" si="14"/>
        <v/>
      </c>
      <c r="F893" s="79"/>
    </row>
    <row r="894" spans="4:6" x14ac:dyDescent="0.25">
      <c r="D894" s="41" t="str" cm="1">
        <f t="array" ref="D894">IF(H894="","",IF(AND(E894&lt;AVERAGE(E893,E895)*($L$19/100),$D$23:D893=""),H894,""))</f>
        <v/>
      </c>
      <c r="E894" s="78" t="str">
        <f t="shared" si="14"/>
        <v/>
      </c>
      <c r="F894" s="79"/>
    </row>
    <row r="895" spans="4:6" x14ac:dyDescent="0.25">
      <c r="D895" s="41" t="str" cm="1">
        <f t="array" ref="D895">IF(H895="","",IF(AND(E895&lt;AVERAGE(E894,E896)*($L$19/100),$D$23:D894=""),H895,""))</f>
        <v/>
      </c>
      <c r="E895" s="78" t="str">
        <f t="shared" si="14"/>
        <v/>
      </c>
      <c r="F895" s="79"/>
    </row>
    <row r="896" spans="4:6" x14ac:dyDescent="0.25">
      <c r="D896" s="41" t="str" cm="1">
        <f t="array" ref="D896">IF(H896="","",IF(AND(E896&lt;AVERAGE(E895,E897)*($L$19/100),$D$23:D895=""),H896,""))</f>
        <v/>
      </c>
      <c r="E896" s="78" t="str">
        <f t="shared" si="14"/>
        <v/>
      </c>
      <c r="F896" s="79"/>
    </row>
    <row r="897" spans="4:6" x14ac:dyDescent="0.25">
      <c r="D897" s="41" t="str" cm="1">
        <f t="array" ref="D897">IF(H897="","",IF(AND(E897&lt;AVERAGE(E896,E898)*($L$19/100),$D$23:D896=""),H897,""))</f>
        <v/>
      </c>
      <c r="E897" s="78" t="str">
        <f t="shared" si="14"/>
        <v/>
      </c>
      <c r="F897" s="79"/>
    </row>
    <row r="898" spans="4:6" x14ac:dyDescent="0.25">
      <c r="D898" s="41" t="str" cm="1">
        <f t="array" ref="D898">IF(H898="","",IF(AND(E898&lt;AVERAGE(E897,E899)*($L$19/100),$D$23:D897=""),H898,""))</f>
        <v/>
      </c>
      <c r="E898" s="78" t="str">
        <f t="shared" si="14"/>
        <v/>
      </c>
      <c r="F898" s="79"/>
    </row>
    <row r="899" spans="4:6" x14ac:dyDescent="0.25">
      <c r="D899" s="41" t="str" cm="1">
        <f t="array" ref="D899">IF(H899="","",IF(AND(E899&lt;AVERAGE(E898,E900)*($L$19/100),$D$23:D898=""),H899,""))</f>
        <v/>
      </c>
      <c r="E899" s="78" t="str">
        <f t="shared" si="14"/>
        <v/>
      </c>
      <c r="F899" s="79"/>
    </row>
    <row r="900" spans="4:6" x14ac:dyDescent="0.25">
      <c r="D900" s="41" t="str" cm="1">
        <f t="array" ref="D900">IF(H900="","",IF(AND(E900&lt;AVERAGE(E899,E901)*($L$19/100),$D$23:D899=""),H900,""))</f>
        <v/>
      </c>
      <c r="E900" s="78" t="str">
        <f t="shared" si="14"/>
        <v/>
      </c>
      <c r="F900" s="79"/>
    </row>
    <row r="901" spans="4:6" x14ac:dyDescent="0.25">
      <c r="D901" s="41" t="str" cm="1">
        <f t="array" ref="D901">IF(H901="","",IF(AND(E901&lt;AVERAGE(E900,E902)*($L$19/100),$D$23:D900=""),H901,""))</f>
        <v/>
      </c>
      <c r="E901" s="78" t="str">
        <f t="shared" si="14"/>
        <v/>
      </c>
      <c r="F901" s="79"/>
    </row>
    <row r="902" spans="4:6" x14ac:dyDescent="0.25">
      <c r="D902" s="41" t="str" cm="1">
        <f t="array" ref="D902">IF(H902="","",IF(AND(E902&lt;AVERAGE(E901,E903)*($L$19/100),$D$23:D901=""),H902,""))</f>
        <v/>
      </c>
      <c r="E902" s="78" t="str">
        <f t="shared" si="14"/>
        <v/>
      </c>
      <c r="F902" s="79"/>
    </row>
    <row r="903" spans="4:6" x14ac:dyDescent="0.25">
      <c r="D903" s="41" t="str" cm="1">
        <f t="array" ref="D903">IF(H903="","",IF(AND(E903&lt;AVERAGE(E902,E904)*($L$19/100),$D$23:D902=""),H903,""))</f>
        <v/>
      </c>
      <c r="E903" s="78" t="str">
        <f t="shared" si="14"/>
        <v/>
      </c>
      <c r="F903" s="79"/>
    </row>
    <row r="904" spans="4:6" x14ac:dyDescent="0.25">
      <c r="D904" s="41" t="str" cm="1">
        <f t="array" ref="D904">IF(H904="","",IF(AND(E904&lt;AVERAGE(E903,E905)*($L$19/100),$D$23:D903=""),H904,""))</f>
        <v/>
      </c>
      <c r="E904" s="78" t="str">
        <f t="shared" si="14"/>
        <v/>
      </c>
      <c r="F904" s="79"/>
    </row>
    <row r="905" spans="4:6" x14ac:dyDescent="0.25">
      <c r="D905" s="41" t="str" cm="1">
        <f t="array" ref="D905">IF(H905="","",IF(AND(E905&lt;AVERAGE(E904,E906)*($L$19/100),$D$23:D904=""),H905,""))</f>
        <v/>
      </c>
      <c r="E905" s="78" t="str">
        <f t="shared" si="14"/>
        <v/>
      </c>
      <c r="F905" s="79"/>
    </row>
    <row r="906" spans="4:6" x14ac:dyDescent="0.25">
      <c r="D906" s="41" t="str" cm="1">
        <f t="array" ref="D906">IF(H906="","",IF(AND(E906&lt;AVERAGE(E905,E907)*($L$19/100),$D$23:D905=""),H906,""))</f>
        <v/>
      </c>
      <c r="E906" s="78" t="str">
        <f t="shared" si="14"/>
        <v/>
      </c>
      <c r="F906" s="79"/>
    </row>
    <row r="907" spans="4:6" x14ac:dyDescent="0.25">
      <c r="D907" s="41" t="str" cm="1">
        <f t="array" ref="D907">IF(H907="","",IF(AND(E907&lt;AVERAGE(E906,E908)*($L$19/100),$D$23:D906=""),H907,""))</f>
        <v/>
      </c>
      <c r="E907" s="78" t="str">
        <f t="shared" si="14"/>
        <v/>
      </c>
      <c r="F907" s="79"/>
    </row>
    <row r="908" spans="4:6" x14ac:dyDescent="0.25">
      <c r="D908" s="41" t="str" cm="1">
        <f t="array" ref="D908">IF(H908="","",IF(AND(E908&lt;AVERAGE(E907,E909)*($L$19/100),$D$23:D907=""),H908,""))</f>
        <v/>
      </c>
      <c r="E908" s="78" t="str">
        <f t="shared" si="14"/>
        <v/>
      </c>
      <c r="F908" s="79"/>
    </row>
    <row r="909" spans="4:6" x14ac:dyDescent="0.25">
      <c r="D909" s="41" t="str" cm="1">
        <f t="array" ref="D909">IF(H909="","",IF(AND(E909&lt;AVERAGE(E908,E910)*($L$19/100),$D$23:D908=""),H909,""))</f>
        <v/>
      </c>
      <c r="E909" s="78" t="str">
        <f t="shared" si="14"/>
        <v/>
      </c>
      <c r="F909" s="79"/>
    </row>
    <row r="910" spans="4:6" x14ac:dyDescent="0.25">
      <c r="D910" s="41" t="str" cm="1">
        <f t="array" ref="D910">IF(H910="","",IF(AND(E910&lt;AVERAGE(E909,E911)*($L$19/100),$D$23:D909=""),H910,""))</f>
        <v/>
      </c>
      <c r="E910" s="78" t="str">
        <f t="shared" si="14"/>
        <v/>
      </c>
      <c r="F910" s="79"/>
    </row>
    <row r="911" spans="4:6" x14ac:dyDescent="0.25">
      <c r="D911" s="41" t="str" cm="1">
        <f t="array" ref="D911">IF(H911="","",IF(AND(E911&lt;AVERAGE(E910,E912)*($L$19/100),$D$23:D910=""),H911,""))</f>
        <v/>
      </c>
      <c r="E911" s="78" t="str">
        <f t="shared" si="14"/>
        <v/>
      </c>
      <c r="F911" s="79"/>
    </row>
    <row r="912" spans="4:6" x14ac:dyDescent="0.25">
      <c r="D912" s="41" t="str" cm="1">
        <f t="array" ref="D912">IF(H912="","",IF(AND(E912&lt;AVERAGE(E911,E913)*($L$19/100),$D$23:D911=""),H912,""))</f>
        <v/>
      </c>
      <c r="E912" s="78" t="str">
        <f t="shared" si="14"/>
        <v/>
      </c>
      <c r="F912" s="79"/>
    </row>
    <row r="913" spans="4:6" x14ac:dyDescent="0.25">
      <c r="D913" s="41" t="str" cm="1">
        <f t="array" ref="D913">IF(H913="","",IF(AND(E913&lt;AVERAGE(E912,E914)*($L$19/100),$D$23:D912=""),H913,""))</f>
        <v/>
      </c>
      <c r="E913" s="78" t="str">
        <f t="shared" si="14"/>
        <v/>
      </c>
      <c r="F913" s="79"/>
    </row>
    <row r="914" spans="4:6" x14ac:dyDescent="0.25">
      <c r="D914" s="41" t="str" cm="1">
        <f t="array" ref="D914">IF(H914="","",IF(AND(E914&lt;AVERAGE(E913,E915)*($L$19/100),$D$23:D913=""),H914,""))</f>
        <v/>
      </c>
      <c r="E914" s="78" t="str">
        <f t="shared" si="14"/>
        <v/>
      </c>
      <c r="F914" s="79"/>
    </row>
    <row r="915" spans="4:6" x14ac:dyDescent="0.25">
      <c r="D915" s="41" t="str" cm="1">
        <f t="array" ref="D915">IF(H915="","",IF(AND(E915&lt;AVERAGE(E914,E916)*($L$19/100),$D$23:D914=""),H915,""))</f>
        <v/>
      </c>
      <c r="E915" s="78" t="str">
        <f t="shared" si="14"/>
        <v/>
      </c>
      <c r="F915" s="79"/>
    </row>
    <row r="916" spans="4:6" x14ac:dyDescent="0.25">
      <c r="D916" s="41" t="str" cm="1">
        <f t="array" ref="D916">IF(H916="","",IF(AND(E916&lt;AVERAGE(E915,E917)*($L$19/100),$D$23:D915=""),H916,""))</f>
        <v/>
      </c>
      <c r="E916" s="78" t="str">
        <f t="shared" si="14"/>
        <v/>
      </c>
      <c r="F916" s="79"/>
    </row>
    <row r="917" spans="4:6" x14ac:dyDescent="0.25">
      <c r="D917" s="41" t="str" cm="1">
        <f t="array" ref="D917">IF(H917="","",IF(AND(E917&lt;AVERAGE(E916,E918)*($L$19/100),$D$23:D916=""),H917,""))</f>
        <v/>
      </c>
      <c r="E917" s="78" t="str">
        <f t="shared" si="14"/>
        <v/>
      </c>
      <c r="F917" s="79"/>
    </row>
    <row r="918" spans="4:6" x14ac:dyDescent="0.25">
      <c r="D918" s="41" t="str" cm="1">
        <f t="array" ref="D918">IF(H918="","",IF(AND(E918&lt;AVERAGE(E917,E919)*($L$19/100),$D$23:D917=""),H918,""))</f>
        <v/>
      </c>
      <c r="E918" s="78" t="str">
        <f t="shared" si="14"/>
        <v/>
      </c>
      <c r="F918" s="79"/>
    </row>
    <row r="919" spans="4:6" x14ac:dyDescent="0.25">
      <c r="D919" s="41" t="str" cm="1">
        <f t="array" ref="D919">IF(H919="","",IF(AND(E919&lt;AVERAGE(E918,E920)*($L$19/100),$D$23:D918=""),H919,""))</f>
        <v/>
      </c>
      <c r="E919" s="78" t="str">
        <f t="shared" si="14"/>
        <v/>
      </c>
      <c r="F919" s="79"/>
    </row>
    <row r="920" spans="4:6" x14ac:dyDescent="0.25">
      <c r="D920" s="41" t="str" cm="1">
        <f t="array" ref="D920">IF(H920="","",IF(AND(E920&lt;AVERAGE(E919,E921)*($L$19/100),$D$23:D919=""),H920,""))</f>
        <v/>
      </c>
      <c r="E920" s="78" t="str">
        <f t="shared" si="14"/>
        <v/>
      </c>
      <c r="F920" s="79"/>
    </row>
    <row r="921" spans="4:6" x14ac:dyDescent="0.25">
      <c r="D921" s="41" t="str" cm="1">
        <f t="array" ref="D921">IF(H921="","",IF(AND(E921&lt;AVERAGE(E920,E922)*($L$19/100),$D$23:D920=""),H921,""))</f>
        <v/>
      </c>
      <c r="E921" s="78" t="str">
        <f t="shared" si="14"/>
        <v/>
      </c>
      <c r="F921" s="79"/>
    </row>
    <row r="922" spans="4:6" x14ac:dyDescent="0.25">
      <c r="D922" s="41" t="str" cm="1">
        <f t="array" ref="D922">IF(H922="","",IF(AND(E922&lt;AVERAGE(E921,E923)*($L$19/100),$D$23:D921=""),H922,""))</f>
        <v/>
      </c>
      <c r="E922" s="78" t="str">
        <f t="shared" si="14"/>
        <v/>
      </c>
      <c r="F922" s="79"/>
    </row>
    <row r="923" spans="4:6" x14ac:dyDescent="0.25">
      <c r="D923" s="41" t="str" cm="1">
        <f t="array" ref="D923">IF(H923="","",IF(AND(E923&lt;AVERAGE(E922,E924)*($L$19/100),$D$23:D922=""),H923,""))</f>
        <v/>
      </c>
      <c r="E923" s="78" t="str">
        <f t="shared" si="14"/>
        <v/>
      </c>
      <c r="F923" s="79"/>
    </row>
    <row r="924" spans="4:6" x14ac:dyDescent="0.25">
      <c r="D924" s="41" t="str" cm="1">
        <f t="array" ref="D924">IF(H924="","",IF(AND(E924&lt;AVERAGE(E923,E925)*($L$19/100),$D$23:D923=""),H924,""))</f>
        <v/>
      </c>
      <c r="E924" s="78" t="str">
        <f t="shared" si="14"/>
        <v/>
      </c>
      <c r="F924" s="79"/>
    </row>
    <row r="925" spans="4:6" x14ac:dyDescent="0.25">
      <c r="D925" s="41" t="str" cm="1">
        <f t="array" ref="D925">IF(H925="","",IF(AND(E925&lt;AVERAGE(E924,E926)*($L$19/100),$D$23:D924=""),H925,""))</f>
        <v/>
      </c>
      <c r="E925" s="78" t="str">
        <f t="shared" si="14"/>
        <v/>
      </c>
      <c r="F925" s="79"/>
    </row>
    <row r="926" spans="4:6" x14ac:dyDescent="0.25">
      <c r="D926" s="41" t="str" cm="1">
        <f t="array" ref="D926">IF(H926="","",IF(AND(E926&lt;AVERAGE(E925,E927)*($L$19/100),$D$23:D925=""),H926,""))</f>
        <v/>
      </c>
      <c r="E926" s="78" t="str">
        <f t="shared" si="14"/>
        <v/>
      </c>
      <c r="F926" s="79"/>
    </row>
    <row r="927" spans="4:6" x14ac:dyDescent="0.25">
      <c r="D927" s="41" t="str" cm="1">
        <f t="array" ref="D927">IF(H927="","",IF(AND(E927&lt;AVERAGE(E926,E928)*($L$19/100),$D$23:D926=""),H927,""))</f>
        <v/>
      </c>
      <c r="E927" s="78" t="str">
        <f t="shared" si="14"/>
        <v/>
      </c>
      <c r="F927" s="79"/>
    </row>
    <row r="928" spans="4:6" x14ac:dyDescent="0.25">
      <c r="D928" s="41" t="str" cm="1">
        <f t="array" ref="D928">IF(H928="","",IF(AND(E928&lt;AVERAGE(E927,E929)*($L$19/100),$D$23:D927=""),H928,""))</f>
        <v/>
      </c>
      <c r="E928" s="78" t="str">
        <f t="shared" si="14"/>
        <v/>
      </c>
      <c r="F928" s="79"/>
    </row>
    <row r="929" spans="4:6" x14ac:dyDescent="0.25">
      <c r="D929" s="41" t="str" cm="1">
        <f t="array" ref="D929">IF(H929="","",IF(AND(E929&lt;AVERAGE(E928,E930)*($L$19/100),$D$23:D928=""),H929,""))</f>
        <v/>
      </c>
      <c r="E929" s="78" t="str">
        <f t="shared" si="14"/>
        <v/>
      </c>
      <c r="F929" s="79"/>
    </row>
    <row r="930" spans="4:6" x14ac:dyDescent="0.25">
      <c r="D930" s="41" t="str" cm="1">
        <f t="array" ref="D930">IF(H930="","",IF(AND(E930&lt;AVERAGE(E929,E931)*($L$19/100),$D$23:D929=""),H930,""))</f>
        <v/>
      </c>
      <c r="E930" s="78" t="str">
        <f t="shared" si="14"/>
        <v/>
      </c>
      <c r="F930" s="79"/>
    </row>
    <row r="931" spans="4:6" x14ac:dyDescent="0.25">
      <c r="D931" s="41" t="str" cm="1">
        <f t="array" ref="D931">IF(H931="","",IF(AND(E931&lt;AVERAGE(E930,E932)*($L$19/100),$D$23:D930=""),H931,""))</f>
        <v/>
      </c>
      <c r="E931" s="78" t="str">
        <f t="shared" si="14"/>
        <v/>
      </c>
      <c r="F931" s="79"/>
    </row>
    <row r="932" spans="4:6" x14ac:dyDescent="0.25">
      <c r="D932" s="41" t="str" cm="1">
        <f t="array" ref="D932">IF(H932="","",IF(AND(E932&lt;AVERAGE(E931,E933)*($L$19/100),$D$23:D931=""),H932,""))</f>
        <v/>
      </c>
      <c r="E932" s="78" t="str">
        <f t="shared" si="14"/>
        <v/>
      </c>
      <c r="F932" s="79"/>
    </row>
    <row r="933" spans="4:6" x14ac:dyDescent="0.25">
      <c r="D933" s="41" t="str" cm="1">
        <f t="array" ref="D933">IF(H933="","",IF(AND(E933&lt;AVERAGE(E932,E934)*($L$19/100),$D$23:D932=""),H933,""))</f>
        <v/>
      </c>
      <c r="E933" s="78" t="str">
        <f t="shared" si="14"/>
        <v/>
      </c>
      <c r="F933" s="79"/>
    </row>
    <row r="934" spans="4:6" x14ac:dyDescent="0.25">
      <c r="D934" s="41" t="str" cm="1">
        <f t="array" ref="D934">IF(H934="","",IF(AND(E934&lt;AVERAGE(E933,E935)*($L$19/100),$D$23:D933=""),H934,""))</f>
        <v/>
      </c>
      <c r="E934" s="78" t="str">
        <f t="shared" si="14"/>
        <v/>
      </c>
      <c r="F934" s="79"/>
    </row>
    <row r="935" spans="4:6" x14ac:dyDescent="0.25">
      <c r="D935" s="41" t="str" cm="1">
        <f t="array" ref="D935">IF(H935="","",IF(AND(E935&lt;AVERAGE(E934,E936)*($L$19/100),$D$23:D934=""),H935,""))</f>
        <v/>
      </c>
      <c r="E935" s="78" t="str">
        <f t="shared" si="14"/>
        <v/>
      </c>
      <c r="F935" s="79"/>
    </row>
    <row r="936" spans="4:6" x14ac:dyDescent="0.25">
      <c r="D936" s="41" t="str" cm="1">
        <f t="array" ref="D936">IF(H936="","",IF(AND(E936&lt;AVERAGE(E935,E937)*($L$19/100),$D$23:D935=""),H936,""))</f>
        <v/>
      </c>
      <c r="E936" s="78" t="str">
        <f t="shared" si="14"/>
        <v/>
      </c>
      <c r="F936" s="79"/>
    </row>
    <row r="937" spans="4:6" x14ac:dyDescent="0.25">
      <c r="D937" s="41" t="str" cm="1">
        <f t="array" ref="D937">IF(H937="","",IF(AND(E937&lt;AVERAGE(E936,E938)*($L$19/100),$D$23:D936=""),H937,""))</f>
        <v/>
      </c>
      <c r="E937" s="78" t="str">
        <f t="shared" si="14"/>
        <v/>
      </c>
      <c r="F937" s="79"/>
    </row>
    <row r="938" spans="4:6" x14ac:dyDescent="0.25">
      <c r="D938" s="41" t="str" cm="1">
        <f t="array" ref="D938">IF(H938="","",IF(AND(E938&lt;AVERAGE(E937,E939)*($L$19/100),$D$23:D937=""),H938,""))</f>
        <v/>
      </c>
      <c r="E938" s="78" t="str">
        <f t="shared" si="14"/>
        <v/>
      </c>
      <c r="F938" s="79"/>
    </row>
    <row r="939" spans="4:6" x14ac:dyDescent="0.25">
      <c r="D939" s="41" t="str" cm="1">
        <f t="array" ref="D939">IF(H939="","",IF(AND(E939&lt;AVERAGE(E938,E940)*($L$19/100),$D$23:D938=""),H939,""))</f>
        <v/>
      </c>
      <c r="E939" s="78" t="str">
        <f t="shared" ref="E939:E1002" si="15">IF(H939="","",ABS(I939-$G$19))</f>
        <v/>
      </c>
      <c r="F939" s="79"/>
    </row>
    <row r="940" spans="4:6" x14ac:dyDescent="0.25">
      <c r="D940" s="41" t="str" cm="1">
        <f t="array" ref="D940">IF(H940="","",IF(AND(E940&lt;AVERAGE(E939,E941)*($L$19/100),$D$23:D939=""),H940,""))</f>
        <v/>
      </c>
      <c r="E940" s="78" t="str">
        <f t="shared" si="15"/>
        <v/>
      </c>
      <c r="F940" s="79"/>
    </row>
    <row r="941" spans="4:6" x14ac:dyDescent="0.25">
      <c r="D941" s="41" t="str" cm="1">
        <f t="array" ref="D941">IF(H941="","",IF(AND(E941&lt;AVERAGE(E940,E942)*($L$19/100),$D$23:D940=""),H941,""))</f>
        <v/>
      </c>
      <c r="E941" s="78" t="str">
        <f t="shared" si="15"/>
        <v/>
      </c>
      <c r="F941" s="79"/>
    </row>
    <row r="942" spans="4:6" x14ac:dyDescent="0.25">
      <c r="D942" s="41" t="str" cm="1">
        <f t="array" ref="D942">IF(H942="","",IF(AND(E942&lt;AVERAGE(E941,E943)*($L$19/100),$D$23:D941=""),H942,""))</f>
        <v/>
      </c>
      <c r="E942" s="78" t="str">
        <f t="shared" si="15"/>
        <v/>
      </c>
      <c r="F942" s="79"/>
    </row>
    <row r="943" spans="4:6" x14ac:dyDescent="0.25">
      <c r="D943" s="41" t="str" cm="1">
        <f t="array" ref="D943">IF(H943="","",IF(AND(E943&lt;AVERAGE(E942,E944)*($L$19/100),$D$23:D942=""),H943,""))</f>
        <v/>
      </c>
      <c r="E943" s="78" t="str">
        <f t="shared" si="15"/>
        <v/>
      </c>
      <c r="F943" s="79"/>
    </row>
    <row r="944" spans="4:6" x14ac:dyDescent="0.25">
      <c r="D944" s="41" t="str" cm="1">
        <f t="array" ref="D944">IF(H944="","",IF(AND(E944&lt;AVERAGE(E943,E945)*($L$19/100),$D$23:D943=""),H944,""))</f>
        <v/>
      </c>
      <c r="E944" s="78" t="str">
        <f t="shared" si="15"/>
        <v/>
      </c>
      <c r="F944" s="79"/>
    </row>
    <row r="945" spans="4:6" x14ac:dyDescent="0.25">
      <c r="D945" s="41" t="str" cm="1">
        <f t="array" ref="D945">IF(H945="","",IF(AND(E945&lt;AVERAGE(E944,E946)*($L$19/100),$D$23:D944=""),H945,""))</f>
        <v/>
      </c>
      <c r="E945" s="78" t="str">
        <f t="shared" si="15"/>
        <v/>
      </c>
      <c r="F945" s="79"/>
    </row>
    <row r="946" spans="4:6" x14ac:dyDescent="0.25">
      <c r="D946" s="41" t="str" cm="1">
        <f t="array" ref="D946">IF(H946="","",IF(AND(E946&lt;AVERAGE(E945,E947)*($L$19/100),$D$23:D945=""),H946,""))</f>
        <v/>
      </c>
      <c r="E946" s="78" t="str">
        <f t="shared" si="15"/>
        <v/>
      </c>
      <c r="F946" s="79"/>
    </row>
    <row r="947" spans="4:6" x14ac:dyDescent="0.25">
      <c r="D947" s="41" t="str" cm="1">
        <f t="array" ref="D947">IF(H947="","",IF(AND(E947&lt;AVERAGE(E946,E948)*($L$19/100),$D$23:D946=""),H947,""))</f>
        <v/>
      </c>
      <c r="E947" s="78" t="str">
        <f t="shared" si="15"/>
        <v/>
      </c>
      <c r="F947" s="79"/>
    </row>
    <row r="948" spans="4:6" x14ac:dyDescent="0.25">
      <c r="D948" s="41" t="str" cm="1">
        <f t="array" ref="D948">IF(H948="","",IF(AND(E948&lt;AVERAGE(E947,E949)*($L$19/100),$D$23:D947=""),H948,""))</f>
        <v/>
      </c>
      <c r="E948" s="78" t="str">
        <f t="shared" si="15"/>
        <v/>
      </c>
      <c r="F948" s="79"/>
    </row>
    <row r="949" spans="4:6" x14ac:dyDescent="0.25">
      <c r="D949" s="41" t="str" cm="1">
        <f t="array" ref="D949">IF(H949="","",IF(AND(E949&lt;AVERAGE(E948,E950)*($L$19/100),$D$23:D948=""),H949,""))</f>
        <v/>
      </c>
      <c r="E949" s="78" t="str">
        <f t="shared" si="15"/>
        <v/>
      </c>
      <c r="F949" s="79"/>
    </row>
    <row r="950" spans="4:6" x14ac:dyDescent="0.25">
      <c r="D950" s="41" t="str" cm="1">
        <f t="array" ref="D950">IF(H950="","",IF(AND(E950&lt;AVERAGE(E949,E951)*($L$19/100),$D$23:D949=""),H950,""))</f>
        <v/>
      </c>
      <c r="E950" s="78" t="str">
        <f t="shared" si="15"/>
        <v/>
      </c>
      <c r="F950" s="79"/>
    </row>
    <row r="951" spans="4:6" x14ac:dyDescent="0.25">
      <c r="D951" s="41" t="str" cm="1">
        <f t="array" ref="D951">IF(H951="","",IF(AND(E951&lt;AVERAGE(E950,E952)*($L$19/100),$D$23:D950=""),H951,""))</f>
        <v/>
      </c>
      <c r="E951" s="78" t="str">
        <f t="shared" si="15"/>
        <v/>
      </c>
      <c r="F951" s="79"/>
    </row>
    <row r="952" spans="4:6" x14ac:dyDescent="0.25">
      <c r="D952" s="41" t="str" cm="1">
        <f t="array" ref="D952">IF(H952="","",IF(AND(E952&lt;AVERAGE(E951,E953)*($L$19/100),$D$23:D951=""),H952,""))</f>
        <v/>
      </c>
      <c r="E952" s="78" t="str">
        <f t="shared" si="15"/>
        <v/>
      </c>
      <c r="F952" s="79"/>
    </row>
    <row r="953" spans="4:6" x14ac:dyDescent="0.25">
      <c r="D953" s="41" t="str" cm="1">
        <f t="array" ref="D953">IF(H953="","",IF(AND(E953&lt;AVERAGE(E952,E954)*($L$19/100),$D$23:D952=""),H953,""))</f>
        <v/>
      </c>
      <c r="E953" s="78" t="str">
        <f t="shared" si="15"/>
        <v/>
      </c>
      <c r="F953" s="79"/>
    </row>
    <row r="954" spans="4:6" x14ac:dyDescent="0.25">
      <c r="D954" s="41" t="str" cm="1">
        <f t="array" ref="D954">IF(H954="","",IF(AND(E954&lt;AVERAGE(E953,E955)*($L$19/100),$D$23:D953=""),H954,""))</f>
        <v/>
      </c>
      <c r="E954" s="78" t="str">
        <f t="shared" si="15"/>
        <v/>
      </c>
      <c r="F954" s="79"/>
    </row>
    <row r="955" spans="4:6" x14ac:dyDescent="0.25">
      <c r="D955" s="41" t="str" cm="1">
        <f t="array" ref="D955">IF(H955="","",IF(AND(E955&lt;AVERAGE(E954,E956)*($L$19/100),$D$23:D954=""),H955,""))</f>
        <v/>
      </c>
      <c r="E955" s="78" t="str">
        <f t="shared" si="15"/>
        <v/>
      </c>
      <c r="F955" s="79"/>
    </row>
    <row r="956" spans="4:6" x14ac:dyDescent="0.25">
      <c r="D956" s="41" t="str" cm="1">
        <f t="array" ref="D956">IF(H956="","",IF(AND(E956&lt;AVERAGE(E955,E957)*($L$19/100),$D$23:D955=""),H956,""))</f>
        <v/>
      </c>
      <c r="E956" s="78" t="str">
        <f t="shared" si="15"/>
        <v/>
      </c>
      <c r="F956" s="79"/>
    </row>
    <row r="957" spans="4:6" x14ac:dyDescent="0.25">
      <c r="D957" s="41" t="str" cm="1">
        <f t="array" ref="D957">IF(H957="","",IF(AND(E957&lt;AVERAGE(E956,E958)*($L$19/100),$D$23:D956=""),H957,""))</f>
        <v/>
      </c>
      <c r="E957" s="78" t="str">
        <f t="shared" si="15"/>
        <v/>
      </c>
      <c r="F957" s="79"/>
    </row>
    <row r="958" spans="4:6" x14ac:dyDescent="0.25">
      <c r="D958" s="41" t="str" cm="1">
        <f t="array" ref="D958">IF(H958="","",IF(AND(E958&lt;AVERAGE(E957,E959)*($L$19/100),$D$23:D957=""),H958,""))</f>
        <v/>
      </c>
      <c r="E958" s="78" t="str">
        <f t="shared" si="15"/>
        <v/>
      </c>
      <c r="F958" s="79"/>
    </row>
    <row r="959" spans="4:6" x14ac:dyDescent="0.25">
      <c r="D959" s="41" t="str" cm="1">
        <f t="array" ref="D959">IF(H959="","",IF(AND(E959&lt;AVERAGE(E958,E960)*($L$19/100),$D$23:D958=""),H959,""))</f>
        <v/>
      </c>
      <c r="E959" s="78" t="str">
        <f t="shared" si="15"/>
        <v/>
      </c>
      <c r="F959" s="79"/>
    </row>
    <row r="960" spans="4:6" x14ac:dyDescent="0.25">
      <c r="D960" s="41" t="str" cm="1">
        <f t="array" ref="D960">IF(H960="","",IF(AND(E960&lt;AVERAGE(E959,E961)*($L$19/100),$D$23:D959=""),H960,""))</f>
        <v/>
      </c>
      <c r="E960" s="78" t="str">
        <f t="shared" si="15"/>
        <v/>
      </c>
      <c r="F960" s="79"/>
    </row>
    <row r="961" spans="4:6" x14ac:dyDescent="0.25">
      <c r="D961" s="41" t="str" cm="1">
        <f t="array" ref="D961">IF(H961="","",IF(AND(E961&lt;AVERAGE(E960,E962)*($L$19/100),$D$23:D960=""),H961,""))</f>
        <v/>
      </c>
      <c r="E961" s="78" t="str">
        <f t="shared" si="15"/>
        <v/>
      </c>
      <c r="F961" s="79"/>
    </row>
    <row r="962" spans="4:6" x14ac:dyDescent="0.25">
      <c r="D962" s="41" t="str" cm="1">
        <f t="array" ref="D962">IF(H962="","",IF(AND(E962&lt;AVERAGE(E961,E963)*($L$19/100),$D$23:D961=""),H962,""))</f>
        <v/>
      </c>
      <c r="E962" s="78" t="str">
        <f t="shared" si="15"/>
        <v/>
      </c>
      <c r="F962" s="79"/>
    </row>
    <row r="963" spans="4:6" x14ac:dyDescent="0.25">
      <c r="D963" s="41" t="str" cm="1">
        <f t="array" ref="D963">IF(H963="","",IF(AND(E963&lt;AVERAGE(E962,E964)*($L$19/100),$D$23:D962=""),H963,""))</f>
        <v/>
      </c>
      <c r="E963" s="78" t="str">
        <f t="shared" si="15"/>
        <v/>
      </c>
      <c r="F963" s="79"/>
    </row>
    <row r="964" spans="4:6" x14ac:dyDescent="0.25">
      <c r="D964" s="41" t="str" cm="1">
        <f t="array" ref="D964">IF(H964="","",IF(AND(E964&lt;AVERAGE(E963,E965)*($L$19/100),$D$23:D963=""),H964,""))</f>
        <v/>
      </c>
      <c r="E964" s="78" t="str">
        <f t="shared" si="15"/>
        <v/>
      </c>
      <c r="F964" s="79"/>
    </row>
    <row r="965" spans="4:6" x14ac:dyDescent="0.25">
      <c r="D965" s="41" t="str" cm="1">
        <f t="array" ref="D965">IF(H965="","",IF(AND(E965&lt;AVERAGE(E964,E966)*($L$19/100),$D$23:D964=""),H965,""))</f>
        <v/>
      </c>
      <c r="E965" s="78" t="str">
        <f t="shared" si="15"/>
        <v/>
      </c>
      <c r="F965" s="79"/>
    </row>
    <row r="966" spans="4:6" x14ac:dyDescent="0.25">
      <c r="D966" s="41" t="str" cm="1">
        <f t="array" ref="D966">IF(H966="","",IF(AND(E966&lt;AVERAGE(E965,E967)*($L$19/100),$D$23:D965=""),H966,""))</f>
        <v/>
      </c>
      <c r="E966" s="78" t="str">
        <f t="shared" si="15"/>
        <v/>
      </c>
      <c r="F966" s="79"/>
    </row>
    <row r="967" spans="4:6" x14ac:dyDescent="0.25">
      <c r="D967" s="41" t="str" cm="1">
        <f t="array" ref="D967">IF(H967="","",IF(AND(E967&lt;AVERAGE(E966,E968)*($L$19/100),$D$23:D966=""),H967,""))</f>
        <v/>
      </c>
      <c r="E967" s="78" t="str">
        <f t="shared" si="15"/>
        <v/>
      </c>
      <c r="F967" s="79"/>
    </row>
    <row r="968" spans="4:6" x14ac:dyDescent="0.25">
      <c r="D968" s="41" t="str" cm="1">
        <f t="array" ref="D968">IF(H968="","",IF(AND(E968&lt;AVERAGE(E967,E969)*($L$19/100),$D$23:D967=""),H968,""))</f>
        <v/>
      </c>
      <c r="E968" s="78" t="str">
        <f t="shared" si="15"/>
        <v/>
      </c>
      <c r="F968" s="79"/>
    </row>
    <row r="969" spans="4:6" x14ac:dyDescent="0.25">
      <c r="D969" s="41" t="str" cm="1">
        <f t="array" ref="D969">IF(H969="","",IF(AND(E969&lt;AVERAGE(E968,E970)*($L$19/100),$D$23:D968=""),H969,""))</f>
        <v/>
      </c>
      <c r="E969" s="78" t="str">
        <f t="shared" si="15"/>
        <v/>
      </c>
      <c r="F969" s="79"/>
    </row>
    <row r="970" spans="4:6" x14ac:dyDescent="0.25">
      <c r="D970" s="41" t="str" cm="1">
        <f t="array" ref="D970">IF(H970="","",IF(AND(E970&lt;AVERAGE(E969,E971)*($L$19/100),$D$23:D969=""),H970,""))</f>
        <v/>
      </c>
      <c r="E970" s="78" t="str">
        <f t="shared" si="15"/>
        <v/>
      </c>
      <c r="F970" s="79"/>
    </row>
    <row r="971" spans="4:6" x14ac:dyDescent="0.25">
      <c r="D971" s="41" t="str" cm="1">
        <f t="array" ref="D971">IF(H971="","",IF(AND(E971&lt;AVERAGE(E970,E972)*($L$19/100),$D$23:D970=""),H971,""))</f>
        <v/>
      </c>
      <c r="E971" s="78" t="str">
        <f t="shared" si="15"/>
        <v/>
      </c>
      <c r="F971" s="79"/>
    </row>
    <row r="972" spans="4:6" x14ac:dyDescent="0.25">
      <c r="D972" s="41" t="str" cm="1">
        <f t="array" ref="D972">IF(H972="","",IF(AND(E972&lt;AVERAGE(E971,E973)*($L$19/100),$D$23:D971=""),H972,""))</f>
        <v/>
      </c>
      <c r="E972" s="78" t="str">
        <f t="shared" si="15"/>
        <v/>
      </c>
      <c r="F972" s="79"/>
    </row>
    <row r="973" spans="4:6" x14ac:dyDescent="0.25">
      <c r="D973" s="41" t="str" cm="1">
        <f t="array" ref="D973">IF(H973="","",IF(AND(E973&lt;AVERAGE(E972,E974)*($L$19/100),$D$23:D972=""),H973,""))</f>
        <v/>
      </c>
      <c r="E973" s="78" t="str">
        <f t="shared" si="15"/>
        <v/>
      </c>
      <c r="F973" s="79"/>
    </row>
    <row r="974" spans="4:6" x14ac:dyDescent="0.25">
      <c r="D974" s="41" t="str" cm="1">
        <f t="array" ref="D974">IF(H974="","",IF(AND(E974&lt;AVERAGE(E973,E975)*($L$19/100),$D$23:D973=""),H974,""))</f>
        <v/>
      </c>
      <c r="E974" s="78" t="str">
        <f t="shared" si="15"/>
        <v/>
      </c>
      <c r="F974" s="79"/>
    </row>
    <row r="975" spans="4:6" x14ac:dyDescent="0.25">
      <c r="D975" s="41" t="str" cm="1">
        <f t="array" ref="D975">IF(H975="","",IF(AND(E975&lt;AVERAGE(E974,E976)*($L$19/100),$D$23:D974=""),H975,""))</f>
        <v/>
      </c>
      <c r="E975" s="78" t="str">
        <f t="shared" si="15"/>
        <v/>
      </c>
      <c r="F975" s="79"/>
    </row>
    <row r="976" spans="4:6" x14ac:dyDescent="0.25">
      <c r="D976" s="41" t="str" cm="1">
        <f t="array" ref="D976">IF(H976="","",IF(AND(E976&lt;AVERAGE(E975,E977)*($L$19/100),$D$23:D975=""),H976,""))</f>
        <v/>
      </c>
      <c r="E976" s="78" t="str">
        <f t="shared" si="15"/>
        <v/>
      </c>
      <c r="F976" s="79"/>
    </row>
    <row r="977" spans="4:6" x14ac:dyDescent="0.25">
      <c r="D977" s="41" t="str" cm="1">
        <f t="array" ref="D977">IF(H977="","",IF(AND(E977&lt;AVERAGE(E976,E978)*($L$19/100),$D$23:D976=""),H977,""))</f>
        <v/>
      </c>
      <c r="E977" s="78" t="str">
        <f t="shared" si="15"/>
        <v/>
      </c>
      <c r="F977" s="79"/>
    </row>
    <row r="978" spans="4:6" x14ac:dyDescent="0.25">
      <c r="D978" s="41" t="str" cm="1">
        <f t="array" ref="D978">IF(H978="","",IF(AND(E978&lt;AVERAGE(E977,E979)*($L$19/100),$D$23:D977=""),H978,""))</f>
        <v/>
      </c>
      <c r="E978" s="78" t="str">
        <f t="shared" si="15"/>
        <v/>
      </c>
      <c r="F978" s="79"/>
    </row>
    <row r="979" spans="4:6" x14ac:dyDescent="0.25">
      <c r="D979" s="41" t="str" cm="1">
        <f t="array" ref="D979">IF(H979="","",IF(AND(E979&lt;AVERAGE(E978,E980)*($L$19/100),$D$23:D978=""),H979,""))</f>
        <v/>
      </c>
      <c r="E979" s="78" t="str">
        <f t="shared" si="15"/>
        <v/>
      </c>
      <c r="F979" s="79"/>
    </row>
    <row r="980" spans="4:6" x14ac:dyDescent="0.25">
      <c r="D980" s="41" t="str" cm="1">
        <f t="array" ref="D980">IF(H980="","",IF(AND(E980&lt;AVERAGE(E979,E981)*($L$19/100),$D$23:D979=""),H980,""))</f>
        <v/>
      </c>
      <c r="E980" s="78" t="str">
        <f t="shared" si="15"/>
        <v/>
      </c>
      <c r="F980" s="79"/>
    </row>
    <row r="981" spans="4:6" x14ac:dyDescent="0.25">
      <c r="D981" s="41" t="str" cm="1">
        <f t="array" ref="D981">IF(H981="","",IF(AND(E981&lt;AVERAGE(E980,E982)*($L$19/100),$D$23:D980=""),H981,""))</f>
        <v/>
      </c>
      <c r="E981" s="78" t="str">
        <f t="shared" si="15"/>
        <v/>
      </c>
      <c r="F981" s="79"/>
    </row>
    <row r="982" spans="4:6" x14ac:dyDescent="0.25">
      <c r="D982" s="41" t="str" cm="1">
        <f t="array" ref="D982">IF(H982="","",IF(AND(E982&lt;AVERAGE(E981,E983)*($L$19/100),$D$23:D981=""),H982,""))</f>
        <v/>
      </c>
      <c r="E982" s="78" t="str">
        <f t="shared" si="15"/>
        <v/>
      </c>
      <c r="F982" s="79"/>
    </row>
    <row r="983" spans="4:6" x14ac:dyDescent="0.25">
      <c r="D983" s="41" t="str" cm="1">
        <f t="array" ref="D983">IF(H983="","",IF(AND(E983&lt;AVERAGE(E982,E984)*($L$19/100),$D$23:D982=""),H983,""))</f>
        <v/>
      </c>
      <c r="E983" s="78" t="str">
        <f t="shared" si="15"/>
        <v/>
      </c>
      <c r="F983" s="79"/>
    </row>
    <row r="984" spans="4:6" x14ac:dyDescent="0.25">
      <c r="D984" s="41" t="str" cm="1">
        <f t="array" ref="D984">IF(H984="","",IF(AND(E984&lt;AVERAGE(E983,E985)*($L$19/100),$D$23:D983=""),H984,""))</f>
        <v/>
      </c>
      <c r="E984" s="78" t="str">
        <f t="shared" si="15"/>
        <v/>
      </c>
      <c r="F984" s="79"/>
    </row>
    <row r="985" spans="4:6" x14ac:dyDescent="0.25">
      <c r="D985" s="41" t="str" cm="1">
        <f t="array" ref="D985">IF(H985="","",IF(AND(E985&lt;AVERAGE(E984,E986)*($L$19/100),$D$23:D984=""),H985,""))</f>
        <v/>
      </c>
      <c r="E985" s="78" t="str">
        <f t="shared" si="15"/>
        <v/>
      </c>
      <c r="F985" s="79"/>
    </row>
    <row r="986" spans="4:6" x14ac:dyDescent="0.25">
      <c r="D986" s="41" t="str" cm="1">
        <f t="array" ref="D986">IF(H986="","",IF(AND(E986&lt;AVERAGE(E985,E987)*($L$19/100),$D$23:D985=""),H986,""))</f>
        <v/>
      </c>
      <c r="E986" s="78" t="str">
        <f t="shared" si="15"/>
        <v/>
      </c>
      <c r="F986" s="79"/>
    </row>
    <row r="987" spans="4:6" x14ac:dyDescent="0.25">
      <c r="D987" s="41" t="str" cm="1">
        <f t="array" ref="D987">IF(H987="","",IF(AND(E987&lt;AVERAGE(E986,E988)*($L$19/100),$D$23:D986=""),H987,""))</f>
        <v/>
      </c>
      <c r="E987" s="78" t="str">
        <f t="shared" si="15"/>
        <v/>
      </c>
      <c r="F987" s="79"/>
    </row>
    <row r="988" spans="4:6" x14ac:dyDescent="0.25">
      <c r="D988" s="41" t="str" cm="1">
        <f t="array" ref="D988">IF(H988="","",IF(AND(E988&lt;AVERAGE(E987,E989)*($L$19/100),$D$23:D987=""),H988,""))</f>
        <v/>
      </c>
      <c r="E988" s="78" t="str">
        <f t="shared" si="15"/>
        <v/>
      </c>
      <c r="F988" s="79"/>
    </row>
    <row r="989" spans="4:6" x14ac:dyDescent="0.25">
      <c r="D989" s="41" t="str" cm="1">
        <f t="array" ref="D989">IF(H989="","",IF(AND(E989&lt;AVERAGE(E988,E990)*($L$19/100),$D$23:D988=""),H989,""))</f>
        <v/>
      </c>
      <c r="E989" s="78" t="str">
        <f t="shared" si="15"/>
        <v/>
      </c>
      <c r="F989" s="79"/>
    </row>
    <row r="990" spans="4:6" x14ac:dyDescent="0.25">
      <c r="D990" s="41" t="str" cm="1">
        <f t="array" ref="D990">IF(H990="","",IF(AND(E990&lt;AVERAGE(E989,E991)*($L$19/100),$D$23:D989=""),H990,""))</f>
        <v/>
      </c>
      <c r="E990" s="78" t="str">
        <f t="shared" si="15"/>
        <v/>
      </c>
      <c r="F990" s="79"/>
    </row>
    <row r="991" spans="4:6" x14ac:dyDescent="0.25">
      <c r="D991" s="41" t="str" cm="1">
        <f t="array" ref="D991">IF(H991="","",IF(AND(E991&lt;AVERAGE(E990,E992)*($L$19/100),$D$23:D990=""),H991,""))</f>
        <v/>
      </c>
      <c r="E991" s="78" t="str">
        <f t="shared" si="15"/>
        <v/>
      </c>
      <c r="F991" s="79"/>
    </row>
    <row r="992" spans="4:6" x14ac:dyDescent="0.25">
      <c r="D992" s="41" t="str" cm="1">
        <f t="array" ref="D992">IF(H992="","",IF(AND(E992&lt;AVERAGE(E991,E993)*($L$19/100),$D$23:D991=""),H992,""))</f>
        <v/>
      </c>
      <c r="E992" s="78" t="str">
        <f t="shared" si="15"/>
        <v/>
      </c>
      <c r="F992" s="79"/>
    </row>
    <row r="993" spans="4:6" x14ac:dyDescent="0.25">
      <c r="D993" s="41" t="str" cm="1">
        <f t="array" ref="D993">IF(H993="","",IF(AND(E993&lt;AVERAGE(E992,E994)*($L$19/100),$D$23:D992=""),H993,""))</f>
        <v/>
      </c>
      <c r="E993" s="78" t="str">
        <f t="shared" si="15"/>
        <v/>
      </c>
      <c r="F993" s="79"/>
    </row>
    <row r="994" spans="4:6" x14ac:dyDescent="0.25">
      <c r="D994" s="41" t="str" cm="1">
        <f t="array" ref="D994">IF(H994="","",IF(AND(E994&lt;AVERAGE(E993,E995)*($L$19/100),$D$23:D993=""),H994,""))</f>
        <v/>
      </c>
      <c r="E994" s="78" t="str">
        <f t="shared" si="15"/>
        <v/>
      </c>
      <c r="F994" s="79"/>
    </row>
    <row r="995" spans="4:6" x14ac:dyDescent="0.25">
      <c r="D995" s="41" t="str" cm="1">
        <f t="array" ref="D995">IF(H995="","",IF(AND(E995&lt;AVERAGE(E994,E996)*($L$19/100),$D$23:D994=""),H995,""))</f>
        <v/>
      </c>
      <c r="E995" s="78" t="str">
        <f t="shared" si="15"/>
        <v/>
      </c>
      <c r="F995" s="79"/>
    </row>
    <row r="996" spans="4:6" x14ac:dyDescent="0.25">
      <c r="D996" s="41" t="str" cm="1">
        <f t="array" ref="D996">IF(H996="","",IF(AND(E996&lt;AVERAGE(E995,E997)*($L$19/100),$D$23:D995=""),H996,""))</f>
        <v/>
      </c>
      <c r="E996" s="78" t="str">
        <f t="shared" si="15"/>
        <v/>
      </c>
      <c r="F996" s="79"/>
    </row>
    <row r="997" spans="4:6" x14ac:dyDescent="0.25">
      <c r="D997" s="41" t="str" cm="1">
        <f t="array" ref="D997">IF(H997="","",IF(AND(E997&lt;AVERAGE(E996,E998)*($L$19/100),$D$23:D996=""),H997,""))</f>
        <v/>
      </c>
      <c r="E997" s="78" t="str">
        <f t="shared" si="15"/>
        <v/>
      </c>
      <c r="F997" s="79"/>
    </row>
    <row r="998" spans="4:6" x14ac:dyDescent="0.25">
      <c r="D998" s="41" t="str" cm="1">
        <f t="array" ref="D998">IF(H998="","",IF(AND(E998&lt;AVERAGE(E997,E999)*($L$19/100),$D$23:D997=""),H998,""))</f>
        <v/>
      </c>
      <c r="E998" s="78" t="str">
        <f t="shared" si="15"/>
        <v/>
      </c>
      <c r="F998" s="79"/>
    </row>
    <row r="999" spans="4:6" x14ac:dyDescent="0.25">
      <c r="D999" s="41" t="str" cm="1">
        <f t="array" ref="D999">IF(H999="","",IF(AND(E999&lt;AVERAGE(E998,E1000)*($L$19/100),$D$23:D998=""),H999,""))</f>
        <v/>
      </c>
      <c r="E999" s="78" t="str">
        <f t="shared" si="15"/>
        <v/>
      </c>
      <c r="F999" s="79"/>
    </row>
    <row r="1000" spans="4:6" x14ac:dyDescent="0.25">
      <c r="D1000" s="41" t="str" cm="1">
        <f t="array" ref="D1000">IF(H1000="","",IF(AND(E1000&lt;AVERAGE(E999,E1001)*($L$19/100),$D$23:D999=""),H1000,""))</f>
        <v/>
      </c>
      <c r="E1000" s="78" t="str">
        <f t="shared" si="15"/>
        <v/>
      </c>
      <c r="F1000" s="79"/>
    </row>
    <row r="1001" spans="4:6" x14ac:dyDescent="0.25">
      <c r="D1001" s="41" t="str" cm="1">
        <f t="array" ref="D1001">IF(H1001="","",IF(AND(E1001&lt;AVERAGE(E1000,E1002)*($L$19/100),$D$23:D1000=""),H1001,""))</f>
        <v/>
      </c>
      <c r="E1001" s="78" t="str">
        <f t="shared" si="15"/>
        <v/>
      </c>
      <c r="F1001" s="79"/>
    </row>
    <row r="1002" spans="4:6" x14ac:dyDescent="0.25">
      <c r="D1002" s="41" t="str" cm="1">
        <f t="array" ref="D1002">IF(H1002="","",IF(AND(E1002&lt;AVERAGE(E1001,E1003)*($L$19/100),$D$23:D1001=""),H1002,""))</f>
        <v/>
      </c>
      <c r="E1002" s="78" t="str">
        <f t="shared" si="15"/>
        <v/>
      </c>
      <c r="F1002" s="79"/>
    </row>
    <row r="1003" spans="4:6" x14ac:dyDescent="0.25">
      <c r="D1003" s="41" t="str" cm="1">
        <f t="array" ref="D1003">IF(H1003="","",IF(AND(E1003&lt;AVERAGE(E1002,E1004)*($L$19/100),$D$23:D1002=""),H1003,""))</f>
        <v/>
      </c>
      <c r="E1003" s="78" t="str">
        <f t="shared" ref="E1003:E1023" si="16">IF(H1003="","",ABS(I1003-$G$19))</f>
        <v/>
      </c>
      <c r="F1003" s="79"/>
    </row>
    <row r="1004" spans="4:6" x14ac:dyDescent="0.25">
      <c r="D1004" s="41" t="str" cm="1">
        <f t="array" ref="D1004">IF(H1004="","",IF(AND(E1004&lt;AVERAGE(E1003,E1005)*($L$19/100),$D$23:D1003=""),H1004,""))</f>
        <v/>
      </c>
      <c r="E1004" s="78" t="str">
        <f t="shared" si="16"/>
        <v/>
      </c>
      <c r="F1004" s="79"/>
    </row>
    <row r="1005" spans="4:6" x14ac:dyDescent="0.25">
      <c r="D1005" s="41" t="str" cm="1">
        <f t="array" ref="D1005">IF(H1005="","",IF(AND(E1005&lt;AVERAGE(E1004,E1006)*($L$19/100),$D$23:D1004=""),H1005,""))</f>
        <v/>
      </c>
      <c r="E1005" s="78" t="str">
        <f t="shared" si="16"/>
        <v/>
      </c>
      <c r="F1005" s="79"/>
    </row>
    <row r="1006" spans="4:6" x14ac:dyDescent="0.25">
      <c r="D1006" s="41" t="str" cm="1">
        <f t="array" ref="D1006">IF(H1006="","",IF(AND(E1006&lt;AVERAGE(E1005,E1007)*($L$19/100),$D$23:D1005=""),H1006,""))</f>
        <v/>
      </c>
      <c r="E1006" s="78" t="str">
        <f t="shared" si="16"/>
        <v/>
      </c>
      <c r="F1006" s="79"/>
    </row>
    <row r="1007" spans="4:6" x14ac:dyDescent="0.25">
      <c r="D1007" s="41" t="str" cm="1">
        <f t="array" ref="D1007">IF(H1007="","",IF(AND(E1007&lt;AVERAGE(E1006,E1008)*($L$19/100),$D$23:D1006=""),H1007,""))</f>
        <v/>
      </c>
      <c r="E1007" s="78" t="str">
        <f t="shared" si="16"/>
        <v/>
      </c>
      <c r="F1007" s="79"/>
    </row>
    <row r="1008" spans="4:6" x14ac:dyDescent="0.25">
      <c r="D1008" s="41" t="str" cm="1">
        <f t="array" ref="D1008">IF(H1008="","",IF(AND(E1008&lt;AVERAGE(E1007,E1009)*($L$19/100),$D$23:D1007=""),H1008,""))</f>
        <v/>
      </c>
      <c r="E1008" s="78" t="str">
        <f t="shared" si="16"/>
        <v/>
      </c>
      <c r="F1008" s="79"/>
    </row>
    <row r="1009" spans="4:6" x14ac:dyDescent="0.25">
      <c r="D1009" s="41" t="str" cm="1">
        <f t="array" ref="D1009">IF(H1009="","",IF(AND(E1009&lt;AVERAGE(E1008,E1010)*($L$19/100),$D$23:D1008=""),H1009,""))</f>
        <v/>
      </c>
      <c r="E1009" s="78" t="str">
        <f t="shared" si="16"/>
        <v/>
      </c>
      <c r="F1009" s="79"/>
    </row>
    <row r="1010" spans="4:6" x14ac:dyDescent="0.25">
      <c r="D1010" s="41" t="str" cm="1">
        <f t="array" ref="D1010">IF(H1010="","",IF(AND(E1010&lt;AVERAGE(E1009,E1011)*($L$19/100),$D$23:D1009=""),H1010,""))</f>
        <v/>
      </c>
      <c r="E1010" s="78" t="str">
        <f t="shared" si="16"/>
        <v/>
      </c>
      <c r="F1010" s="79"/>
    </row>
    <row r="1011" spans="4:6" x14ac:dyDescent="0.25">
      <c r="D1011" s="41" t="str" cm="1">
        <f t="array" ref="D1011">IF(H1011="","",IF(AND(E1011&lt;AVERAGE(E1010,E1012)*($L$19/100),$D$23:D1010=""),H1011,""))</f>
        <v/>
      </c>
      <c r="E1011" s="78" t="str">
        <f t="shared" si="16"/>
        <v/>
      </c>
      <c r="F1011" s="79"/>
    </row>
    <row r="1012" spans="4:6" x14ac:dyDescent="0.25">
      <c r="D1012" s="41" t="str" cm="1">
        <f t="array" ref="D1012">IF(H1012="","",IF(AND(E1012&lt;AVERAGE(E1011,E1013)*($L$19/100),$D$23:D1011=""),H1012,""))</f>
        <v/>
      </c>
      <c r="E1012" s="78" t="str">
        <f t="shared" si="16"/>
        <v/>
      </c>
      <c r="F1012" s="79"/>
    </row>
    <row r="1013" spans="4:6" x14ac:dyDescent="0.25">
      <c r="D1013" s="41" t="str" cm="1">
        <f t="array" ref="D1013">IF(H1013="","",IF(AND(E1013&lt;AVERAGE(E1012,E1014)*($L$19/100),$D$23:D1012=""),H1013,""))</f>
        <v/>
      </c>
      <c r="E1013" s="78" t="str">
        <f t="shared" si="16"/>
        <v/>
      </c>
      <c r="F1013" s="79"/>
    </row>
    <row r="1014" spans="4:6" x14ac:dyDescent="0.25">
      <c r="D1014" s="41" t="str" cm="1">
        <f t="array" ref="D1014">IF(H1014="","",IF(AND(E1014&lt;AVERAGE(E1013,E1015)*($L$19/100),$D$23:D1013=""),H1014,""))</f>
        <v/>
      </c>
      <c r="E1014" s="78" t="str">
        <f t="shared" si="16"/>
        <v/>
      </c>
      <c r="F1014" s="79"/>
    </row>
    <row r="1015" spans="4:6" x14ac:dyDescent="0.25">
      <c r="D1015" s="41" t="str" cm="1">
        <f t="array" ref="D1015">IF(H1015="","",IF(AND(E1015&lt;AVERAGE(E1014,E1016)*($L$19/100),$D$23:D1014=""),H1015,""))</f>
        <v/>
      </c>
      <c r="E1015" s="78" t="str">
        <f t="shared" si="16"/>
        <v/>
      </c>
      <c r="F1015" s="79"/>
    </row>
    <row r="1016" spans="4:6" x14ac:dyDescent="0.25">
      <c r="D1016" s="41" t="str" cm="1">
        <f t="array" ref="D1016">IF(H1016="","",IF(AND(E1016&lt;AVERAGE(E1015,E1017)*($L$19/100),$D$23:D1015=""),H1016,""))</f>
        <v/>
      </c>
      <c r="E1016" s="78" t="str">
        <f t="shared" si="16"/>
        <v/>
      </c>
      <c r="F1016" s="79"/>
    </row>
    <row r="1017" spans="4:6" x14ac:dyDescent="0.25">
      <c r="D1017" s="41" t="str" cm="1">
        <f t="array" ref="D1017">IF(H1017="","",IF(AND(E1017&lt;AVERAGE(E1016,E1018)*($L$19/100),$D$23:D1016=""),H1017,""))</f>
        <v/>
      </c>
      <c r="E1017" s="78" t="str">
        <f t="shared" si="16"/>
        <v/>
      </c>
      <c r="F1017" s="79"/>
    </row>
    <row r="1018" spans="4:6" x14ac:dyDescent="0.25">
      <c r="D1018" s="41" t="str" cm="1">
        <f t="array" ref="D1018">IF(H1018="","",IF(AND(E1018&lt;AVERAGE(E1017,E1019)*($L$19/100),$D$23:D1017=""),H1018,""))</f>
        <v/>
      </c>
      <c r="E1018" s="78" t="str">
        <f t="shared" si="16"/>
        <v/>
      </c>
      <c r="F1018" s="79"/>
    </row>
    <row r="1019" spans="4:6" x14ac:dyDescent="0.25">
      <c r="D1019" s="41" t="str" cm="1">
        <f t="array" ref="D1019">IF(H1019="","",IF(AND(E1019&lt;AVERAGE(E1018,E1020)*($L$19/100),$D$23:D1018=""),H1019,""))</f>
        <v/>
      </c>
      <c r="E1019" s="78" t="str">
        <f t="shared" si="16"/>
        <v/>
      </c>
      <c r="F1019" s="79"/>
    </row>
    <row r="1020" spans="4:6" x14ac:dyDescent="0.25">
      <c r="D1020" s="41" t="str" cm="1">
        <f t="array" ref="D1020">IF(H1020="","",IF(AND(E1020&lt;AVERAGE(E1019,E1021)*($L$19/100),$D$23:D1019=""),H1020,""))</f>
        <v/>
      </c>
      <c r="E1020" s="78" t="str">
        <f t="shared" si="16"/>
        <v/>
      </c>
      <c r="F1020" s="79"/>
    </row>
    <row r="1021" spans="4:6" x14ac:dyDescent="0.25">
      <c r="D1021" s="41" t="str" cm="1">
        <f t="array" ref="D1021">IF(H1021="","",IF(AND(E1021&lt;AVERAGE(E1020,E1022)*($L$19/100),$D$23:D1020=""),H1021,""))</f>
        <v/>
      </c>
      <c r="E1021" s="78" t="str">
        <f t="shared" si="16"/>
        <v/>
      </c>
      <c r="F1021" s="79"/>
    </row>
    <row r="1022" spans="4:6" x14ac:dyDescent="0.25">
      <c r="D1022" s="41" t="str" cm="1">
        <f t="array" ref="D1022">IF(H1022="","",IF(AND(E1022&lt;AVERAGE(E1021,E1023)*($L$19/100),$D$23:D1021=""),H1022,""))</f>
        <v/>
      </c>
      <c r="E1022" s="78" t="str">
        <f t="shared" si="16"/>
        <v/>
      </c>
      <c r="F1022" s="79"/>
    </row>
    <row r="1023" spans="4:6" ht="15.75" thickBot="1" x14ac:dyDescent="0.3">
      <c r="D1023" s="42" t="str" cm="1">
        <f t="array" ref="D1023">IF(H1023="","",IF(AND(E1023&lt;AVERAGE(E1022,E1024)*($L$19/100),$D$23:D1022=""),H1023,""))</f>
        <v/>
      </c>
      <c r="E1023" s="109" t="str">
        <f t="shared" si="16"/>
        <v/>
      </c>
      <c r="F1023" s="110"/>
    </row>
  </sheetData>
  <mergeCells count="1221">
    <mergeCell ref="E1017:F1017"/>
    <mergeCell ref="E1018:F1018"/>
    <mergeCell ref="E1019:F1019"/>
    <mergeCell ref="E1020:F1020"/>
    <mergeCell ref="E1021:F1021"/>
    <mergeCell ref="E1022:F1022"/>
    <mergeCell ref="E1023:F1023"/>
    <mergeCell ref="I14:M14"/>
    <mergeCell ref="E1008:F1008"/>
    <mergeCell ref="E1009:F1009"/>
    <mergeCell ref="E1010:F1010"/>
    <mergeCell ref="E1011:F1011"/>
    <mergeCell ref="E1012:F1012"/>
    <mergeCell ref="E1013:F1013"/>
    <mergeCell ref="E1014:F1014"/>
    <mergeCell ref="E1015:F1015"/>
    <mergeCell ref="E1016:F1016"/>
    <mergeCell ref="E999:F999"/>
    <mergeCell ref="E1000:F1000"/>
    <mergeCell ref="E1001:F1001"/>
    <mergeCell ref="E1002:F1002"/>
    <mergeCell ref="E1003:F1003"/>
    <mergeCell ref="E1004:F1004"/>
    <mergeCell ref="E1005:F1005"/>
    <mergeCell ref="E1006:F1006"/>
    <mergeCell ref="E1007:F1007"/>
    <mergeCell ref="E990:F990"/>
    <mergeCell ref="E991:F991"/>
    <mergeCell ref="E992:F992"/>
    <mergeCell ref="E993:F993"/>
    <mergeCell ref="E994:F994"/>
    <mergeCell ref="E995:F995"/>
    <mergeCell ref="E996:F996"/>
    <mergeCell ref="E997:F997"/>
    <mergeCell ref="E998:F998"/>
    <mergeCell ref="E981:F981"/>
    <mergeCell ref="E982:F982"/>
    <mergeCell ref="E983:F983"/>
    <mergeCell ref="E984:F984"/>
    <mergeCell ref="E985:F985"/>
    <mergeCell ref="E986:F986"/>
    <mergeCell ref="E987:F987"/>
    <mergeCell ref="E988:F988"/>
    <mergeCell ref="E989:F989"/>
    <mergeCell ref="E972:F972"/>
    <mergeCell ref="E973:F973"/>
    <mergeCell ref="E974:F974"/>
    <mergeCell ref="E975:F975"/>
    <mergeCell ref="E976:F976"/>
    <mergeCell ref="E977:F977"/>
    <mergeCell ref="E978:F978"/>
    <mergeCell ref="E979:F979"/>
    <mergeCell ref="E980:F980"/>
    <mergeCell ref="E963:F963"/>
    <mergeCell ref="E964:F964"/>
    <mergeCell ref="E965:F965"/>
    <mergeCell ref="E966:F966"/>
    <mergeCell ref="E967:F967"/>
    <mergeCell ref="E968:F968"/>
    <mergeCell ref="E969:F969"/>
    <mergeCell ref="E970:F970"/>
    <mergeCell ref="E971:F971"/>
    <mergeCell ref="E954:F954"/>
    <mergeCell ref="E955:F955"/>
    <mergeCell ref="E956:F956"/>
    <mergeCell ref="E957:F957"/>
    <mergeCell ref="E958:F958"/>
    <mergeCell ref="E959:F959"/>
    <mergeCell ref="E960:F960"/>
    <mergeCell ref="E961:F961"/>
    <mergeCell ref="E962:F962"/>
    <mergeCell ref="E945:F945"/>
    <mergeCell ref="E946:F946"/>
    <mergeCell ref="E947:F947"/>
    <mergeCell ref="E948:F948"/>
    <mergeCell ref="E949:F949"/>
    <mergeCell ref="E950:F950"/>
    <mergeCell ref="E951:F951"/>
    <mergeCell ref="E952:F952"/>
    <mergeCell ref="E953:F953"/>
    <mergeCell ref="E936:F936"/>
    <mergeCell ref="E937:F937"/>
    <mergeCell ref="E938:F938"/>
    <mergeCell ref="E939:F939"/>
    <mergeCell ref="E940:F940"/>
    <mergeCell ref="E941:F941"/>
    <mergeCell ref="E942:F942"/>
    <mergeCell ref="E943:F943"/>
    <mergeCell ref="E944:F944"/>
    <mergeCell ref="E927:F927"/>
    <mergeCell ref="E928:F928"/>
    <mergeCell ref="E929:F929"/>
    <mergeCell ref="E930:F930"/>
    <mergeCell ref="E931:F931"/>
    <mergeCell ref="E932:F932"/>
    <mergeCell ref="E933:F933"/>
    <mergeCell ref="E934:F934"/>
    <mergeCell ref="E935:F935"/>
    <mergeCell ref="E918:F918"/>
    <mergeCell ref="E919:F919"/>
    <mergeCell ref="E920:F920"/>
    <mergeCell ref="E921:F921"/>
    <mergeCell ref="E922:F922"/>
    <mergeCell ref="E923:F923"/>
    <mergeCell ref="E924:F924"/>
    <mergeCell ref="E925:F925"/>
    <mergeCell ref="E926:F926"/>
    <mergeCell ref="E909:F909"/>
    <mergeCell ref="E910:F910"/>
    <mergeCell ref="E911:F911"/>
    <mergeCell ref="E912:F912"/>
    <mergeCell ref="E913:F913"/>
    <mergeCell ref="E914:F914"/>
    <mergeCell ref="E915:F915"/>
    <mergeCell ref="E916:F916"/>
    <mergeCell ref="E917:F917"/>
    <mergeCell ref="E900:F900"/>
    <mergeCell ref="E901:F901"/>
    <mergeCell ref="E902:F902"/>
    <mergeCell ref="E903:F903"/>
    <mergeCell ref="E904:F904"/>
    <mergeCell ref="E905:F905"/>
    <mergeCell ref="E906:F906"/>
    <mergeCell ref="E907:F907"/>
    <mergeCell ref="E908:F908"/>
    <mergeCell ref="E891:F891"/>
    <mergeCell ref="E892:F892"/>
    <mergeCell ref="E893:F893"/>
    <mergeCell ref="E894:F894"/>
    <mergeCell ref="E895:F895"/>
    <mergeCell ref="E896:F896"/>
    <mergeCell ref="E897:F897"/>
    <mergeCell ref="E898:F898"/>
    <mergeCell ref="E899:F899"/>
    <mergeCell ref="E882:F882"/>
    <mergeCell ref="E883:F883"/>
    <mergeCell ref="E884:F884"/>
    <mergeCell ref="E885:F885"/>
    <mergeCell ref="E886:F886"/>
    <mergeCell ref="E887:F887"/>
    <mergeCell ref="E888:F888"/>
    <mergeCell ref="E889:F889"/>
    <mergeCell ref="E890:F890"/>
    <mergeCell ref="E873:F873"/>
    <mergeCell ref="E874:F874"/>
    <mergeCell ref="E875:F875"/>
    <mergeCell ref="E876:F876"/>
    <mergeCell ref="E877:F877"/>
    <mergeCell ref="E878:F878"/>
    <mergeCell ref="E879:F879"/>
    <mergeCell ref="E880:F880"/>
    <mergeCell ref="E881:F881"/>
    <mergeCell ref="E864:F864"/>
    <mergeCell ref="E865:F865"/>
    <mergeCell ref="E866:F866"/>
    <mergeCell ref="E867:F867"/>
    <mergeCell ref="E868:F868"/>
    <mergeCell ref="E869:F869"/>
    <mergeCell ref="E870:F870"/>
    <mergeCell ref="E871:F871"/>
    <mergeCell ref="E872:F872"/>
    <mergeCell ref="E855:F855"/>
    <mergeCell ref="E856:F856"/>
    <mergeCell ref="E857:F857"/>
    <mergeCell ref="E858:F858"/>
    <mergeCell ref="E859:F859"/>
    <mergeCell ref="E860:F860"/>
    <mergeCell ref="E861:F861"/>
    <mergeCell ref="E862:F862"/>
    <mergeCell ref="E863:F863"/>
    <mergeCell ref="E846:F846"/>
    <mergeCell ref="E847:F847"/>
    <mergeCell ref="E848:F848"/>
    <mergeCell ref="E849:F849"/>
    <mergeCell ref="E850:F850"/>
    <mergeCell ref="E851:F851"/>
    <mergeCell ref="E852:F852"/>
    <mergeCell ref="E853:F853"/>
    <mergeCell ref="E854:F854"/>
    <mergeCell ref="E837:F837"/>
    <mergeCell ref="E838:F838"/>
    <mergeCell ref="E839:F839"/>
    <mergeCell ref="E840:F840"/>
    <mergeCell ref="E841:F841"/>
    <mergeCell ref="E842:F842"/>
    <mergeCell ref="E843:F843"/>
    <mergeCell ref="E844:F844"/>
    <mergeCell ref="E845:F845"/>
    <mergeCell ref="E828:F828"/>
    <mergeCell ref="E829:F829"/>
    <mergeCell ref="E830:F830"/>
    <mergeCell ref="E831:F831"/>
    <mergeCell ref="E832:F832"/>
    <mergeCell ref="E833:F833"/>
    <mergeCell ref="E834:F834"/>
    <mergeCell ref="E835:F835"/>
    <mergeCell ref="E836:F836"/>
    <mergeCell ref="E819:F819"/>
    <mergeCell ref="E820:F820"/>
    <mergeCell ref="E821:F821"/>
    <mergeCell ref="E822:F822"/>
    <mergeCell ref="E823:F823"/>
    <mergeCell ref="E824:F824"/>
    <mergeCell ref="E825:F825"/>
    <mergeCell ref="E826:F826"/>
    <mergeCell ref="E827:F827"/>
    <mergeCell ref="E810:F810"/>
    <mergeCell ref="E811:F811"/>
    <mergeCell ref="E812:F812"/>
    <mergeCell ref="E813:F813"/>
    <mergeCell ref="E814:F814"/>
    <mergeCell ref="E815:F815"/>
    <mergeCell ref="E816:F816"/>
    <mergeCell ref="E817:F817"/>
    <mergeCell ref="E818:F818"/>
    <mergeCell ref="E801:F801"/>
    <mergeCell ref="E802:F802"/>
    <mergeCell ref="E803:F803"/>
    <mergeCell ref="E804:F804"/>
    <mergeCell ref="E805:F805"/>
    <mergeCell ref="E806:F806"/>
    <mergeCell ref="E807:F807"/>
    <mergeCell ref="E808:F808"/>
    <mergeCell ref="E809:F809"/>
    <mergeCell ref="E792:F792"/>
    <mergeCell ref="E793:F793"/>
    <mergeCell ref="E794:F794"/>
    <mergeCell ref="E795:F795"/>
    <mergeCell ref="E796:F796"/>
    <mergeCell ref="E797:F797"/>
    <mergeCell ref="E798:F798"/>
    <mergeCell ref="E799:F799"/>
    <mergeCell ref="E800:F800"/>
    <mergeCell ref="E783:F783"/>
    <mergeCell ref="E784:F784"/>
    <mergeCell ref="E785:F785"/>
    <mergeCell ref="E786:F786"/>
    <mergeCell ref="E787:F787"/>
    <mergeCell ref="E788:F788"/>
    <mergeCell ref="E789:F789"/>
    <mergeCell ref="E790:F790"/>
    <mergeCell ref="E791:F791"/>
    <mergeCell ref="E774:F774"/>
    <mergeCell ref="E775:F775"/>
    <mergeCell ref="E776:F776"/>
    <mergeCell ref="E777:F777"/>
    <mergeCell ref="E778:F778"/>
    <mergeCell ref="E779:F779"/>
    <mergeCell ref="E780:F780"/>
    <mergeCell ref="E781:F781"/>
    <mergeCell ref="E782:F782"/>
    <mergeCell ref="E765:F765"/>
    <mergeCell ref="E766:F766"/>
    <mergeCell ref="E767:F767"/>
    <mergeCell ref="E768:F768"/>
    <mergeCell ref="E769:F769"/>
    <mergeCell ref="E770:F770"/>
    <mergeCell ref="E771:F771"/>
    <mergeCell ref="E772:F772"/>
    <mergeCell ref="E773:F773"/>
    <mergeCell ref="E756:F756"/>
    <mergeCell ref="E757:F757"/>
    <mergeCell ref="E758:F758"/>
    <mergeCell ref="E759:F759"/>
    <mergeCell ref="E760:F760"/>
    <mergeCell ref="E761:F761"/>
    <mergeCell ref="E762:F762"/>
    <mergeCell ref="E763:F763"/>
    <mergeCell ref="E764:F764"/>
    <mergeCell ref="E747:F747"/>
    <mergeCell ref="E748:F748"/>
    <mergeCell ref="E749:F749"/>
    <mergeCell ref="E750:F750"/>
    <mergeCell ref="E751:F751"/>
    <mergeCell ref="E752:F752"/>
    <mergeCell ref="E753:F753"/>
    <mergeCell ref="E754:F754"/>
    <mergeCell ref="E755:F755"/>
    <mergeCell ref="E738:F738"/>
    <mergeCell ref="E739:F739"/>
    <mergeCell ref="E740:F740"/>
    <mergeCell ref="E741:F741"/>
    <mergeCell ref="E742:F742"/>
    <mergeCell ref="E743:F743"/>
    <mergeCell ref="E744:F744"/>
    <mergeCell ref="E745:F745"/>
    <mergeCell ref="E746:F746"/>
    <mergeCell ref="E729:F729"/>
    <mergeCell ref="E730:F730"/>
    <mergeCell ref="E731:F731"/>
    <mergeCell ref="E732:F732"/>
    <mergeCell ref="E733:F733"/>
    <mergeCell ref="E734:F734"/>
    <mergeCell ref="E735:F735"/>
    <mergeCell ref="E736:F736"/>
    <mergeCell ref="E737:F737"/>
    <mergeCell ref="E720:F720"/>
    <mergeCell ref="E721:F721"/>
    <mergeCell ref="E722:F722"/>
    <mergeCell ref="E723:F723"/>
    <mergeCell ref="E724:F724"/>
    <mergeCell ref="E725:F725"/>
    <mergeCell ref="E726:F726"/>
    <mergeCell ref="E727:F727"/>
    <mergeCell ref="E728:F728"/>
    <mergeCell ref="E711:F711"/>
    <mergeCell ref="E712:F712"/>
    <mergeCell ref="E713:F713"/>
    <mergeCell ref="E714:F714"/>
    <mergeCell ref="E715:F715"/>
    <mergeCell ref="E716:F716"/>
    <mergeCell ref="E717:F717"/>
    <mergeCell ref="E718:F718"/>
    <mergeCell ref="E719:F719"/>
    <mergeCell ref="E702:F702"/>
    <mergeCell ref="E703:F703"/>
    <mergeCell ref="E704:F704"/>
    <mergeCell ref="E705:F705"/>
    <mergeCell ref="E706:F706"/>
    <mergeCell ref="E707:F707"/>
    <mergeCell ref="E708:F708"/>
    <mergeCell ref="E709:F709"/>
    <mergeCell ref="E710:F710"/>
    <mergeCell ref="E693:F693"/>
    <mergeCell ref="E694:F694"/>
    <mergeCell ref="E695:F695"/>
    <mergeCell ref="E696:F696"/>
    <mergeCell ref="E697:F697"/>
    <mergeCell ref="E698:F698"/>
    <mergeCell ref="E699:F699"/>
    <mergeCell ref="E700:F700"/>
    <mergeCell ref="E701:F701"/>
    <mergeCell ref="E684:F684"/>
    <mergeCell ref="E685:F685"/>
    <mergeCell ref="E686:F686"/>
    <mergeCell ref="E687:F687"/>
    <mergeCell ref="E688:F688"/>
    <mergeCell ref="E689:F689"/>
    <mergeCell ref="E690:F690"/>
    <mergeCell ref="E691:F691"/>
    <mergeCell ref="E692:F692"/>
    <mergeCell ref="E675:F675"/>
    <mergeCell ref="E676:F676"/>
    <mergeCell ref="E677:F677"/>
    <mergeCell ref="E678:F678"/>
    <mergeCell ref="E679:F679"/>
    <mergeCell ref="E680:F680"/>
    <mergeCell ref="E681:F681"/>
    <mergeCell ref="E682:F682"/>
    <mergeCell ref="E683:F683"/>
    <mergeCell ref="E666:F666"/>
    <mergeCell ref="E667:F667"/>
    <mergeCell ref="E668:F668"/>
    <mergeCell ref="E669:F669"/>
    <mergeCell ref="E670:F670"/>
    <mergeCell ref="E671:F671"/>
    <mergeCell ref="E672:F672"/>
    <mergeCell ref="E673:F673"/>
    <mergeCell ref="E674:F674"/>
    <mergeCell ref="E657:F657"/>
    <mergeCell ref="E658:F658"/>
    <mergeCell ref="E659:F659"/>
    <mergeCell ref="E660:F660"/>
    <mergeCell ref="E661:F661"/>
    <mergeCell ref="E662:F662"/>
    <mergeCell ref="E663:F663"/>
    <mergeCell ref="E664:F664"/>
    <mergeCell ref="E665:F665"/>
    <mergeCell ref="E648:F648"/>
    <mergeCell ref="E649:F649"/>
    <mergeCell ref="E650:F650"/>
    <mergeCell ref="E651:F651"/>
    <mergeCell ref="E652:F652"/>
    <mergeCell ref="E653:F653"/>
    <mergeCell ref="E654:F654"/>
    <mergeCell ref="E655:F655"/>
    <mergeCell ref="E656:F656"/>
    <mergeCell ref="E639:F639"/>
    <mergeCell ref="E640:F640"/>
    <mergeCell ref="E641:F641"/>
    <mergeCell ref="E642:F642"/>
    <mergeCell ref="E643:F643"/>
    <mergeCell ref="E644:F644"/>
    <mergeCell ref="E645:F645"/>
    <mergeCell ref="E646:F646"/>
    <mergeCell ref="E647:F647"/>
    <mergeCell ref="E630:F630"/>
    <mergeCell ref="E631:F631"/>
    <mergeCell ref="E632:F632"/>
    <mergeCell ref="E633:F633"/>
    <mergeCell ref="E634:F634"/>
    <mergeCell ref="E635:F635"/>
    <mergeCell ref="E636:F636"/>
    <mergeCell ref="E637:F637"/>
    <mergeCell ref="E638:F638"/>
    <mergeCell ref="E621:F621"/>
    <mergeCell ref="E622:F622"/>
    <mergeCell ref="E623:F623"/>
    <mergeCell ref="E624:F624"/>
    <mergeCell ref="E625:F625"/>
    <mergeCell ref="E626:F626"/>
    <mergeCell ref="E627:F627"/>
    <mergeCell ref="E628:F628"/>
    <mergeCell ref="E629:F629"/>
    <mergeCell ref="E612:F612"/>
    <mergeCell ref="E613:F613"/>
    <mergeCell ref="E614:F614"/>
    <mergeCell ref="E615:F615"/>
    <mergeCell ref="E616:F616"/>
    <mergeCell ref="E617:F617"/>
    <mergeCell ref="E618:F618"/>
    <mergeCell ref="E619:F619"/>
    <mergeCell ref="E620:F620"/>
    <mergeCell ref="E603:F603"/>
    <mergeCell ref="E604:F604"/>
    <mergeCell ref="E605:F605"/>
    <mergeCell ref="E606:F606"/>
    <mergeCell ref="E607:F607"/>
    <mergeCell ref="E608:F608"/>
    <mergeCell ref="E609:F609"/>
    <mergeCell ref="E610:F610"/>
    <mergeCell ref="E611:F611"/>
    <mergeCell ref="E594:F594"/>
    <mergeCell ref="E595:F595"/>
    <mergeCell ref="E596:F596"/>
    <mergeCell ref="E597:F597"/>
    <mergeCell ref="E598:F598"/>
    <mergeCell ref="E599:F599"/>
    <mergeCell ref="E600:F600"/>
    <mergeCell ref="E601:F601"/>
    <mergeCell ref="E602:F602"/>
    <mergeCell ref="E585:F585"/>
    <mergeCell ref="E586:F586"/>
    <mergeCell ref="E587:F587"/>
    <mergeCell ref="E588:F588"/>
    <mergeCell ref="E589:F589"/>
    <mergeCell ref="E590:F590"/>
    <mergeCell ref="E591:F591"/>
    <mergeCell ref="E592:F592"/>
    <mergeCell ref="E593:F593"/>
    <mergeCell ref="E576:F576"/>
    <mergeCell ref="E577:F577"/>
    <mergeCell ref="E578:F578"/>
    <mergeCell ref="E579:F579"/>
    <mergeCell ref="E580:F580"/>
    <mergeCell ref="E581:F581"/>
    <mergeCell ref="E582:F582"/>
    <mergeCell ref="E583:F583"/>
    <mergeCell ref="E584:F584"/>
    <mergeCell ref="E567:F567"/>
    <mergeCell ref="E568:F568"/>
    <mergeCell ref="E569:F569"/>
    <mergeCell ref="E570:F570"/>
    <mergeCell ref="E571:F571"/>
    <mergeCell ref="E572:F572"/>
    <mergeCell ref="E573:F573"/>
    <mergeCell ref="E574:F574"/>
    <mergeCell ref="E575:F575"/>
    <mergeCell ref="E558:F558"/>
    <mergeCell ref="E559:F559"/>
    <mergeCell ref="E560:F560"/>
    <mergeCell ref="E561:F561"/>
    <mergeCell ref="E562:F562"/>
    <mergeCell ref="E563:F563"/>
    <mergeCell ref="E564:F564"/>
    <mergeCell ref="E565:F565"/>
    <mergeCell ref="E566:F566"/>
    <mergeCell ref="E549:F549"/>
    <mergeCell ref="E550:F550"/>
    <mergeCell ref="E551:F551"/>
    <mergeCell ref="E552:F552"/>
    <mergeCell ref="E553:F553"/>
    <mergeCell ref="E554:F554"/>
    <mergeCell ref="E555:F555"/>
    <mergeCell ref="E556:F556"/>
    <mergeCell ref="E557:F557"/>
    <mergeCell ref="E540:F540"/>
    <mergeCell ref="E541:F541"/>
    <mergeCell ref="E542:F542"/>
    <mergeCell ref="E543:F543"/>
    <mergeCell ref="E544:F544"/>
    <mergeCell ref="E545:F545"/>
    <mergeCell ref="E546:F546"/>
    <mergeCell ref="E547:F547"/>
    <mergeCell ref="E548:F548"/>
    <mergeCell ref="E531:F531"/>
    <mergeCell ref="E532:F532"/>
    <mergeCell ref="E533:F533"/>
    <mergeCell ref="E534:F534"/>
    <mergeCell ref="E535:F535"/>
    <mergeCell ref="E536:F536"/>
    <mergeCell ref="E537:F537"/>
    <mergeCell ref="E538:F538"/>
    <mergeCell ref="E539:F539"/>
    <mergeCell ref="E522:F522"/>
    <mergeCell ref="E523:F523"/>
    <mergeCell ref="E524:F524"/>
    <mergeCell ref="E525:F525"/>
    <mergeCell ref="E526:F526"/>
    <mergeCell ref="E527:F527"/>
    <mergeCell ref="E528:F528"/>
    <mergeCell ref="E529:F529"/>
    <mergeCell ref="E530:F530"/>
    <mergeCell ref="E513:F513"/>
    <mergeCell ref="E514:F514"/>
    <mergeCell ref="E515:F515"/>
    <mergeCell ref="E516:F516"/>
    <mergeCell ref="E517:F517"/>
    <mergeCell ref="E518:F518"/>
    <mergeCell ref="E519:F519"/>
    <mergeCell ref="E520:F520"/>
    <mergeCell ref="E521:F521"/>
    <mergeCell ref="E504:F504"/>
    <mergeCell ref="E505:F505"/>
    <mergeCell ref="E506:F506"/>
    <mergeCell ref="E507:F507"/>
    <mergeCell ref="E508:F508"/>
    <mergeCell ref="E509:F509"/>
    <mergeCell ref="E510:F510"/>
    <mergeCell ref="E511:F511"/>
    <mergeCell ref="E512:F512"/>
    <mergeCell ref="E495:F495"/>
    <mergeCell ref="E496:F496"/>
    <mergeCell ref="E497:F497"/>
    <mergeCell ref="E498:F498"/>
    <mergeCell ref="E499:F499"/>
    <mergeCell ref="E500:F500"/>
    <mergeCell ref="E501:F501"/>
    <mergeCell ref="E502:F502"/>
    <mergeCell ref="E503:F503"/>
    <mergeCell ref="E486:F486"/>
    <mergeCell ref="E487:F487"/>
    <mergeCell ref="E488:F488"/>
    <mergeCell ref="E489:F489"/>
    <mergeCell ref="E490:F490"/>
    <mergeCell ref="E491:F491"/>
    <mergeCell ref="E492:F492"/>
    <mergeCell ref="E493:F493"/>
    <mergeCell ref="E494:F494"/>
    <mergeCell ref="E477:F477"/>
    <mergeCell ref="E478:F478"/>
    <mergeCell ref="E479:F479"/>
    <mergeCell ref="E480:F480"/>
    <mergeCell ref="E481:F481"/>
    <mergeCell ref="E482:F482"/>
    <mergeCell ref="E483:F483"/>
    <mergeCell ref="E484:F484"/>
    <mergeCell ref="E485:F485"/>
    <mergeCell ref="E468:F468"/>
    <mergeCell ref="E469:F469"/>
    <mergeCell ref="E470:F470"/>
    <mergeCell ref="E471:F471"/>
    <mergeCell ref="E472:F472"/>
    <mergeCell ref="E473:F473"/>
    <mergeCell ref="E474:F474"/>
    <mergeCell ref="E475:F475"/>
    <mergeCell ref="E476:F476"/>
    <mergeCell ref="E459:F459"/>
    <mergeCell ref="E460:F460"/>
    <mergeCell ref="E461:F461"/>
    <mergeCell ref="E462:F462"/>
    <mergeCell ref="E463:F463"/>
    <mergeCell ref="E464:F464"/>
    <mergeCell ref="E465:F465"/>
    <mergeCell ref="E466:F466"/>
    <mergeCell ref="E467:F467"/>
    <mergeCell ref="E450:F450"/>
    <mergeCell ref="E451:F451"/>
    <mergeCell ref="E452:F452"/>
    <mergeCell ref="E453:F453"/>
    <mergeCell ref="E454:F454"/>
    <mergeCell ref="E455:F455"/>
    <mergeCell ref="E456:F456"/>
    <mergeCell ref="E457:F457"/>
    <mergeCell ref="E458:F458"/>
    <mergeCell ref="E441:F441"/>
    <mergeCell ref="E442:F442"/>
    <mergeCell ref="E443:F443"/>
    <mergeCell ref="E444:F444"/>
    <mergeCell ref="E445:F445"/>
    <mergeCell ref="E446:F446"/>
    <mergeCell ref="E447:F447"/>
    <mergeCell ref="E448:F448"/>
    <mergeCell ref="E449:F449"/>
    <mergeCell ref="E432:F432"/>
    <mergeCell ref="E433:F433"/>
    <mergeCell ref="E434:F434"/>
    <mergeCell ref="E435:F435"/>
    <mergeCell ref="E436:F436"/>
    <mergeCell ref="E437:F437"/>
    <mergeCell ref="E438:F438"/>
    <mergeCell ref="E439:F439"/>
    <mergeCell ref="E440:F440"/>
    <mergeCell ref="E423:F423"/>
    <mergeCell ref="E424:F424"/>
    <mergeCell ref="E425:F425"/>
    <mergeCell ref="E426:F426"/>
    <mergeCell ref="E427:F427"/>
    <mergeCell ref="E428:F428"/>
    <mergeCell ref="E429:F429"/>
    <mergeCell ref="E430:F430"/>
    <mergeCell ref="E431:F431"/>
    <mergeCell ref="E414:F414"/>
    <mergeCell ref="E415:F415"/>
    <mergeCell ref="E416:F416"/>
    <mergeCell ref="E417:F417"/>
    <mergeCell ref="E418:F418"/>
    <mergeCell ref="E419:F419"/>
    <mergeCell ref="E420:F420"/>
    <mergeCell ref="E421:F421"/>
    <mergeCell ref="E422:F422"/>
    <mergeCell ref="E405:F405"/>
    <mergeCell ref="E406:F406"/>
    <mergeCell ref="E407:F407"/>
    <mergeCell ref="E408:F408"/>
    <mergeCell ref="E409:F409"/>
    <mergeCell ref="E410:F410"/>
    <mergeCell ref="E411:F411"/>
    <mergeCell ref="E412:F412"/>
    <mergeCell ref="E413:F413"/>
    <mergeCell ref="E396:F396"/>
    <mergeCell ref="E397:F397"/>
    <mergeCell ref="E398:F398"/>
    <mergeCell ref="E399:F399"/>
    <mergeCell ref="E400:F400"/>
    <mergeCell ref="E401:F401"/>
    <mergeCell ref="E402:F402"/>
    <mergeCell ref="E403:F403"/>
    <mergeCell ref="E404:F404"/>
    <mergeCell ref="E387:F387"/>
    <mergeCell ref="E388:F388"/>
    <mergeCell ref="E389:F389"/>
    <mergeCell ref="E390:F390"/>
    <mergeCell ref="E391:F391"/>
    <mergeCell ref="E392:F392"/>
    <mergeCell ref="E393:F393"/>
    <mergeCell ref="E394:F394"/>
    <mergeCell ref="E395:F395"/>
    <mergeCell ref="E378:F378"/>
    <mergeCell ref="E379:F379"/>
    <mergeCell ref="E380:F380"/>
    <mergeCell ref="E381:F381"/>
    <mergeCell ref="E382:F382"/>
    <mergeCell ref="E383:F383"/>
    <mergeCell ref="E384:F384"/>
    <mergeCell ref="E385:F385"/>
    <mergeCell ref="E386:F386"/>
    <mergeCell ref="E369:F369"/>
    <mergeCell ref="E370:F370"/>
    <mergeCell ref="E371:F371"/>
    <mergeCell ref="E372:F372"/>
    <mergeCell ref="E373:F373"/>
    <mergeCell ref="E374:F374"/>
    <mergeCell ref="E375:F375"/>
    <mergeCell ref="E376:F376"/>
    <mergeCell ref="E377:F377"/>
    <mergeCell ref="E360:F360"/>
    <mergeCell ref="E361:F361"/>
    <mergeCell ref="E362:F362"/>
    <mergeCell ref="E363:F363"/>
    <mergeCell ref="E364:F364"/>
    <mergeCell ref="E365:F365"/>
    <mergeCell ref="E366:F366"/>
    <mergeCell ref="E367:F367"/>
    <mergeCell ref="E368:F368"/>
    <mergeCell ref="E351:F351"/>
    <mergeCell ref="E352:F352"/>
    <mergeCell ref="E353:F353"/>
    <mergeCell ref="E354:F354"/>
    <mergeCell ref="E355:F355"/>
    <mergeCell ref="E356:F356"/>
    <mergeCell ref="E357:F357"/>
    <mergeCell ref="E358:F358"/>
    <mergeCell ref="E359:F359"/>
    <mergeCell ref="E342:F342"/>
    <mergeCell ref="E343:F343"/>
    <mergeCell ref="E344:F344"/>
    <mergeCell ref="E345:F345"/>
    <mergeCell ref="E346:F346"/>
    <mergeCell ref="E347:F347"/>
    <mergeCell ref="E348:F348"/>
    <mergeCell ref="E349:F349"/>
    <mergeCell ref="E350:F350"/>
    <mergeCell ref="E333:F333"/>
    <mergeCell ref="E334:F334"/>
    <mergeCell ref="E335:F335"/>
    <mergeCell ref="E336:F336"/>
    <mergeCell ref="E337:F337"/>
    <mergeCell ref="E338:F338"/>
    <mergeCell ref="E339:F339"/>
    <mergeCell ref="E340:F340"/>
    <mergeCell ref="E341:F341"/>
    <mergeCell ref="E324:F324"/>
    <mergeCell ref="E325:F325"/>
    <mergeCell ref="E326:F326"/>
    <mergeCell ref="E327:F327"/>
    <mergeCell ref="E328:F328"/>
    <mergeCell ref="E329:F329"/>
    <mergeCell ref="E330:F330"/>
    <mergeCell ref="E331:F331"/>
    <mergeCell ref="E332:F332"/>
    <mergeCell ref="E315:F315"/>
    <mergeCell ref="E316:F316"/>
    <mergeCell ref="E317:F317"/>
    <mergeCell ref="E318:F318"/>
    <mergeCell ref="E319:F319"/>
    <mergeCell ref="E320:F320"/>
    <mergeCell ref="E321:F321"/>
    <mergeCell ref="E322:F322"/>
    <mergeCell ref="E323:F323"/>
    <mergeCell ref="E306:F306"/>
    <mergeCell ref="E307:F307"/>
    <mergeCell ref="E308:F308"/>
    <mergeCell ref="E309:F309"/>
    <mergeCell ref="E310:F310"/>
    <mergeCell ref="E311:F311"/>
    <mergeCell ref="E312:F312"/>
    <mergeCell ref="E313:F313"/>
    <mergeCell ref="E314:F314"/>
    <mergeCell ref="E297:F297"/>
    <mergeCell ref="E298:F298"/>
    <mergeCell ref="E299:F299"/>
    <mergeCell ref="E300:F300"/>
    <mergeCell ref="E301:F301"/>
    <mergeCell ref="E302:F302"/>
    <mergeCell ref="E303:F303"/>
    <mergeCell ref="E304:F304"/>
    <mergeCell ref="E305:F305"/>
    <mergeCell ref="E288:F288"/>
    <mergeCell ref="E289:F289"/>
    <mergeCell ref="E290:F290"/>
    <mergeCell ref="E291:F291"/>
    <mergeCell ref="E292:F292"/>
    <mergeCell ref="E293:F293"/>
    <mergeCell ref="E294:F294"/>
    <mergeCell ref="E295:F295"/>
    <mergeCell ref="E296:F296"/>
    <mergeCell ref="E279:F279"/>
    <mergeCell ref="E280:F280"/>
    <mergeCell ref="E281:F281"/>
    <mergeCell ref="E282:F282"/>
    <mergeCell ref="E283:F283"/>
    <mergeCell ref="E284:F284"/>
    <mergeCell ref="E285:F285"/>
    <mergeCell ref="E286:F286"/>
    <mergeCell ref="E287:F287"/>
    <mergeCell ref="E270:F270"/>
    <mergeCell ref="E271:F271"/>
    <mergeCell ref="E272:F272"/>
    <mergeCell ref="E273:F273"/>
    <mergeCell ref="E274:F274"/>
    <mergeCell ref="E275:F275"/>
    <mergeCell ref="E276:F276"/>
    <mergeCell ref="E277:F277"/>
    <mergeCell ref="E278:F278"/>
    <mergeCell ref="E261:F261"/>
    <mergeCell ref="E262:F262"/>
    <mergeCell ref="E263:F263"/>
    <mergeCell ref="E264:F264"/>
    <mergeCell ref="E265:F265"/>
    <mergeCell ref="E266:F266"/>
    <mergeCell ref="E267:F267"/>
    <mergeCell ref="E268:F268"/>
    <mergeCell ref="E269:F269"/>
    <mergeCell ref="E252:F252"/>
    <mergeCell ref="E253:F253"/>
    <mergeCell ref="E254:F254"/>
    <mergeCell ref="E255:F255"/>
    <mergeCell ref="E256:F256"/>
    <mergeCell ref="E257:F257"/>
    <mergeCell ref="E258:F258"/>
    <mergeCell ref="E259:F259"/>
    <mergeCell ref="E260:F260"/>
    <mergeCell ref="E243:F243"/>
    <mergeCell ref="E244:F244"/>
    <mergeCell ref="E245:F245"/>
    <mergeCell ref="E246:F246"/>
    <mergeCell ref="E247:F247"/>
    <mergeCell ref="E248:F248"/>
    <mergeCell ref="E249:F249"/>
    <mergeCell ref="E250:F250"/>
    <mergeCell ref="E251:F251"/>
    <mergeCell ref="E234:F234"/>
    <mergeCell ref="E235:F235"/>
    <mergeCell ref="E236:F236"/>
    <mergeCell ref="E237:F237"/>
    <mergeCell ref="E238:F238"/>
    <mergeCell ref="E239:F239"/>
    <mergeCell ref="E240:F240"/>
    <mergeCell ref="E241:F241"/>
    <mergeCell ref="E242:F242"/>
    <mergeCell ref="E230:F230"/>
    <mergeCell ref="E231:F231"/>
    <mergeCell ref="E232:F232"/>
    <mergeCell ref="E233:F233"/>
    <mergeCell ref="A1:S3"/>
    <mergeCell ref="A4:S13"/>
    <mergeCell ref="A15:S16"/>
    <mergeCell ref="A14:B14"/>
    <mergeCell ref="E14:G14"/>
    <mergeCell ref="E36:F36"/>
    <mergeCell ref="E37:F37"/>
    <mergeCell ref="E38:F38"/>
    <mergeCell ref="E39:F39"/>
    <mergeCell ref="I23:J23"/>
    <mergeCell ref="I24:J24"/>
    <mergeCell ref="I25:J25"/>
    <mergeCell ref="A17:S17"/>
    <mergeCell ref="A19:B19"/>
    <mergeCell ref="D19:F19"/>
    <mergeCell ref="I21:J22"/>
    <mergeCell ref="K21:M22"/>
    <mergeCell ref="E21:F22"/>
    <mergeCell ref="A21:B22"/>
    <mergeCell ref="H21:H22"/>
    <mergeCell ref="D21:D22"/>
    <mergeCell ref="E27:F27"/>
    <mergeCell ref="E28:F28"/>
    <mergeCell ref="E73:F73"/>
    <mergeCell ref="E74:F74"/>
    <mergeCell ref="E77:F77"/>
    <mergeCell ref="E78:F78"/>
    <mergeCell ref="E79:F79"/>
    <mergeCell ref="E80:F80"/>
    <mergeCell ref="E30:F30"/>
    <mergeCell ref="E31:F31"/>
    <mergeCell ref="E32:F32"/>
    <mergeCell ref="E33:F33"/>
    <mergeCell ref="E34:F34"/>
    <mergeCell ref="E35:F35"/>
    <mergeCell ref="E225:F225"/>
    <mergeCell ref="E226:F226"/>
    <mergeCell ref="E227:F227"/>
    <mergeCell ref="E228:F228"/>
    <mergeCell ref="E229:F229"/>
    <mergeCell ref="E104:F104"/>
    <mergeCell ref="E131:F131"/>
    <mergeCell ref="E132:F132"/>
    <mergeCell ref="E133:F133"/>
    <mergeCell ref="E134:F134"/>
    <mergeCell ref="E129:F129"/>
    <mergeCell ref="E130:F130"/>
    <mergeCell ref="E119:F119"/>
    <mergeCell ref="E120:F120"/>
    <mergeCell ref="E121:F121"/>
    <mergeCell ref="E122:F122"/>
    <mergeCell ref="E124:F124"/>
    <mergeCell ref="E125:F125"/>
    <mergeCell ref="E126:F126"/>
    <mergeCell ref="E127:F127"/>
    <mergeCell ref="E128:F128"/>
    <mergeCell ref="E176:F176"/>
    <mergeCell ref="E152:F152"/>
    <mergeCell ref="E203:F203"/>
    <mergeCell ref="E204:F204"/>
    <mergeCell ref="E29:F29"/>
    <mergeCell ref="E48:F48"/>
    <mergeCell ref="E49:F49"/>
    <mergeCell ref="E50:F50"/>
    <mergeCell ref="E51:F51"/>
    <mergeCell ref="E52:F52"/>
    <mergeCell ref="E53:F53"/>
    <mergeCell ref="E54:F54"/>
    <mergeCell ref="E55:F55"/>
    <mergeCell ref="E56:F56"/>
    <mergeCell ref="E83:F83"/>
    <mergeCell ref="E84:F84"/>
    <mergeCell ref="E85:F85"/>
    <mergeCell ref="E86:F86"/>
    <mergeCell ref="E81:F81"/>
    <mergeCell ref="E82:F82"/>
    <mergeCell ref="E175:F175"/>
    <mergeCell ref="E155:F155"/>
    <mergeCell ref="E156:F156"/>
    <mergeCell ref="E157:F157"/>
    <mergeCell ref="E158:F158"/>
    <mergeCell ref="E153:F153"/>
    <mergeCell ref="E154:F154"/>
    <mergeCell ref="E143:F143"/>
    <mergeCell ref="E144:F144"/>
    <mergeCell ref="E145:F145"/>
    <mergeCell ref="E146:F146"/>
    <mergeCell ref="E147:F147"/>
    <mergeCell ref="E148:F148"/>
    <mergeCell ref="E149:F149"/>
    <mergeCell ref="E150:F150"/>
    <mergeCell ref="E151:F151"/>
    <mergeCell ref="E205:F205"/>
    <mergeCell ref="E206:F206"/>
    <mergeCell ref="E180:F180"/>
    <mergeCell ref="E181:F181"/>
    <mergeCell ref="E182:F182"/>
    <mergeCell ref="E177:F177"/>
    <mergeCell ref="E178:F178"/>
    <mergeCell ref="E201:F201"/>
    <mergeCell ref="E202:F202"/>
    <mergeCell ref="E191:F191"/>
    <mergeCell ref="E192:F192"/>
    <mergeCell ref="E193:F193"/>
    <mergeCell ref="E194:F194"/>
    <mergeCell ref="E189:F189"/>
    <mergeCell ref="E190:F190"/>
    <mergeCell ref="E179:F179"/>
    <mergeCell ref="E185:F185"/>
    <mergeCell ref="E186:F186"/>
    <mergeCell ref="E187:F187"/>
    <mergeCell ref="E188:F188"/>
    <mergeCell ref="A25:B26"/>
    <mergeCell ref="A23:B24"/>
    <mergeCell ref="E23:F23"/>
    <mergeCell ref="E24:F24"/>
    <mergeCell ref="E25:F25"/>
    <mergeCell ref="E26:F26"/>
    <mergeCell ref="E40:F40"/>
    <mergeCell ref="E41:F41"/>
    <mergeCell ref="E42:F42"/>
    <mergeCell ref="E43:F43"/>
    <mergeCell ref="E44:F44"/>
    <mergeCell ref="E45:F45"/>
    <mergeCell ref="E46:F46"/>
    <mergeCell ref="E75:F75"/>
    <mergeCell ref="E76:F76"/>
    <mergeCell ref="E63:F63"/>
    <mergeCell ref="E64:F64"/>
    <mergeCell ref="E65:F65"/>
    <mergeCell ref="E66:F66"/>
    <mergeCell ref="E67:F67"/>
    <mergeCell ref="E68:F68"/>
    <mergeCell ref="E69:F69"/>
    <mergeCell ref="E70:F70"/>
    <mergeCell ref="E59:F59"/>
    <mergeCell ref="E60:F60"/>
    <mergeCell ref="E61:F61"/>
    <mergeCell ref="E62:F62"/>
    <mergeCell ref="E57:F57"/>
    <mergeCell ref="E58:F58"/>
    <mergeCell ref="E47:F47"/>
    <mergeCell ref="E71:F71"/>
    <mergeCell ref="E72:F72"/>
    <mergeCell ref="E87:F87"/>
    <mergeCell ref="E88:F88"/>
    <mergeCell ref="E89:F89"/>
    <mergeCell ref="E90:F90"/>
    <mergeCell ref="E91:F91"/>
    <mergeCell ref="E92:F92"/>
    <mergeCell ref="E93:F93"/>
    <mergeCell ref="E94:F94"/>
    <mergeCell ref="E123:F123"/>
    <mergeCell ref="E111:F111"/>
    <mergeCell ref="E112:F112"/>
    <mergeCell ref="E113:F113"/>
    <mergeCell ref="E114:F114"/>
    <mergeCell ref="E115:F115"/>
    <mergeCell ref="E116:F116"/>
    <mergeCell ref="E117:F117"/>
    <mergeCell ref="E118:F118"/>
    <mergeCell ref="E107:F107"/>
    <mergeCell ref="E108:F108"/>
    <mergeCell ref="E109:F109"/>
    <mergeCell ref="E110:F110"/>
    <mergeCell ref="E105:F105"/>
    <mergeCell ref="E106:F106"/>
    <mergeCell ref="E95:F95"/>
    <mergeCell ref="E96:F96"/>
    <mergeCell ref="E97:F97"/>
    <mergeCell ref="E98:F98"/>
    <mergeCell ref="E99:F99"/>
    <mergeCell ref="E100:F100"/>
    <mergeCell ref="E101:F101"/>
    <mergeCell ref="E102:F102"/>
    <mergeCell ref="E103:F103"/>
    <mergeCell ref="E135:F135"/>
    <mergeCell ref="E136:F136"/>
    <mergeCell ref="E137:F137"/>
    <mergeCell ref="E138:F138"/>
    <mergeCell ref="E139:F139"/>
    <mergeCell ref="E140:F140"/>
    <mergeCell ref="E141:F141"/>
    <mergeCell ref="E142:F142"/>
    <mergeCell ref="E174:F174"/>
    <mergeCell ref="E159:F159"/>
    <mergeCell ref="E160:F160"/>
    <mergeCell ref="E161:F161"/>
    <mergeCell ref="E162:F162"/>
    <mergeCell ref="E163:F163"/>
    <mergeCell ref="E164:F164"/>
    <mergeCell ref="E165:F165"/>
    <mergeCell ref="E166:F166"/>
    <mergeCell ref="E167:F167"/>
    <mergeCell ref="E168:F168"/>
    <mergeCell ref="E169:F169"/>
    <mergeCell ref="E170:F170"/>
    <mergeCell ref="E171:F171"/>
    <mergeCell ref="E172:F172"/>
    <mergeCell ref="E173:F173"/>
    <mergeCell ref="E222:F222"/>
    <mergeCell ref="E223:F223"/>
    <mergeCell ref="E224:F224"/>
    <mergeCell ref="E207:F207"/>
    <mergeCell ref="E208:F208"/>
    <mergeCell ref="E209:F209"/>
    <mergeCell ref="E210:F210"/>
    <mergeCell ref="E211:F211"/>
    <mergeCell ref="E212:F212"/>
    <mergeCell ref="E215:F215"/>
    <mergeCell ref="E216:F216"/>
    <mergeCell ref="E217:F217"/>
    <mergeCell ref="E218:F218"/>
    <mergeCell ref="E213:F213"/>
    <mergeCell ref="E214:F214"/>
    <mergeCell ref="I26:J26"/>
    <mergeCell ref="I27:J27"/>
    <mergeCell ref="I28:J28"/>
    <mergeCell ref="I29:J29"/>
    <mergeCell ref="I30:J30"/>
    <mergeCell ref="I31:J31"/>
    <mergeCell ref="E219:F219"/>
    <mergeCell ref="E220:F220"/>
    <mergeCell ref="E221:F221"/>
    <mergeCell ref="E195:F195"/>
    <mergeCell ref="E196:F196"/>
    <mergeCell ref="E197:F197"/>
    <mergeCell ref="E198:F198"/>
    <mergeCell ref="E199:F199"/>
    <mergeCell ref="E200:F200"/>
    <mergeCell ref="E183:F183"/>
    <mergeCell ref="E184:F184"/>
    <mergeCell ref="I38:J38"/>
    <mergeCell ref="I39:J39"/>
    <mergeCell ref="I40:J40"/>
    <mergeCell ref="I41:J41"/>
    <mergeCell ref="I42:J42"/>
    <mergeCell ref="I43:J43"/>
    <mergeCell ref="I32:J32"/>
    <mergeCell ref="I33:J33"/>
    <mergeCell ref="I34:J34"/>
    <mergeCell ref="I35:J35"/>
    <mergeCell ref="I36:J36"/>
    <mergeCell ref="I37:J37"/>
    <mergeCell ref="I50:J50"/>
    <mergeCell ref="I51:J51"/>
    <mergeCell ref="I52:J52"/>
    <mergeCell ref="I53:J53"/>
    <mergeCell ref="I54:J54"/>
    <mergeCell ref="I55:J55"/>
    <mergeCell ref="I44:J44"/>
    <mergeCell ref="I45:J45"/>
    <mergeCell ref="I46:J46"/>
    <mergeCell ref="I47:J47"/>
    <mergeCell ref="I48:J48"/>
    <mergeCell ref="I49:J49"/>
    <mergeCell ref="I62:J62"/>
    <mergeCell ref="I63:J63"/>
    <mergeCell ref="I64:J64"/>
    <mergeCell ref="I65:J65"/>
    <mergeCell ref="I66:J66"/>
    <mergeCell ref="I67:J67"/>
    <mergeCell ref="I56:J56"/>
    <mergeCell ref="I57:J57"/>
    <mergeCell ref="I58:J58"/>
    <mergeCell ref="I59:J59"/>
    <mergeCell ref="I60:J60"/>
    <mergeCell ref="I61:J61"/>
    <mergeCell ref="I74:J74"/>
    <mergeCell ref="I75:J75"/>
    <mergeCell ref="I76:J76"/>
    <mergeCell ref="I77:J77"/>
    <mergeCell ref="I78:J78"/>
    <mergeCell ref="I79:J79"/>
    <mergeCell ref="I68:J68"/>
    <mergeCell ref="I69:J69"/>
    <mergeCell ref="I70:J70"/>
    <mergeCell ref="I71:J71"/>
    <mergeCell ref="I72:J72"/>
    <mergeCell ref="I73:J73"/>
    <mergeCell ref="I86:J86"/>
    <mergeCell ref="I87:J87"/>
    <mergeCell ref="I88:J88"/>
    <mergeCell ref="I89:J89"/>
    <mergeCell ref="I90:J90"/>
    <mergeCell ref="I91:J91"/>
    <mergeCell ref="I80:J80"/>
    <mergeCell ref="I81:J81"/>
    <mergeCell ref="I82:J82"/>
    <mergeCell ref="I83:J83"/>
    <mergeCell ref="I84:J84"/>
    <mergeCell ref="I85:J85"/>
    <mergeCell ref="I98:J98"/>
    <mergeCell ref="I99:J99"/>
    <mergeCell ref="I100:J100"/>
    <mergeCell ref="I101:J101"/>
    <mergeCell ref="I102:J102"/>
    <mergeCell ref="I103:J103"/>
    <mergeCell ref="I92:J92"/>
    <mergeCell ref="I93:J93"/>
    <mergeCell ref="I94:J94"/>
    <mergeCell ref="I95:J95"/>
    <mergeCell ref="I96:J96"/>
    <mergeCell ref="I97:J97"/>
    <mergeCell ref="I110:J110"/>
    <mergeCell ref="I111:J111"/>
    <mergeCell ref="I112:J112"/>
    <mergeCell ref="I113:J113"/>
    <mergeCell ref="I114:J114"/>
    <mergeCell ref="I115:J115"/>
    <mergeCell ref="I104:J104"/>
    <mergeCell ref="I105:J105"/>
    <mergeCell ref="I106:J106"/>
    <mergeCell ref="I107:J107"/>
    <mergeCell ref="I108:J108"/>
    <mergeCell ref="I109:J109"/>
    <mergeCell ref="I122:J122"/>
    <mergeCell ref="I123:J123"/>
    <mergeCell ref="I124:J124"/>
    <mergeCell ref="I125:J125"/>
    <mergeCell ref="I126:J126"/>
    <mergeCell ref="I127:J127"/>
    <mergeCell ref="I116:J116"/>
    <mergeCell ref="I117:J117"/>
    <mergeCell ref="I118:J118"/>
    <mergeCell ref="I119:J119"/>
    <mergeCell ref="I120:J120"/>
    <mergeCell ref="I121:J121"/>
    <mergeCell ref="I134:J134"/>
    <mergeCell ref="I135:J135"/>
    <mergeCell ref="I136:J136"/>
    <mergeCell ref="I137:J137"/>
    <mergeCell ref="I138:J138"/>
    <mergeCell ref="I139:J139"/>
    <mergeCell ref="I128:J128"/>
    <mergeCell ref="I129:J129"/>
    <mergeCell ref="I130:J130"/>
    <mergeCell ref="I131:J131"/>
    <mergeCell ref="I132:J132"/>
    <mergeCell ref="I133:J133"/>
    <mergeCell ref="I146:J146"/>
    <mergeCell ref="I147:J147"/>
    <mergeCell ref="I148:J148"/>
    <mergeCell ref="I149:J149"/>
    <mergeCell ref="I150:J150"/>
    <mergeCell ref="I151:J151"/>
    <mergeCell ref="I140:J140"/>
    <mergeCell ref="I141:J141"/>
    <mergeCell ref="I142:J142"/>
    <mergeCell ref="I143:J143"/>
    <mergeCell ref="I144:J144"/>
    <mergeCell ref="I145:J145"/>
    <mergeCell ref="I158:J158"/>
    <mergeCell ref="I159:J159"/>
    <mergeCell ref="I160:J160"/>
    <mergeCell ref="I161:J161"/>
    <mergeCell ref="I162:J162"/>
    <mergeCell ref="I163:J163"/>
    <mergeCell ref="I152:J152"/>
    <mergeCell ref="I153:J153"/>
    <mergeCell ref="I154:J154"/>
    <mergeCell ref="I155:J155"/>
    <mergeCell ref="I156:J156"/>
    <mergeCell ref="I157:J157"/>
    <mergeCell ref="I170:J170"/>
    <mergeCell ref="I171:J171"/>
    <mergeCell ref="I172:J172"/>
    <mergeCell ref="I173:J173"/>
    <mergeCell ref="I174:J174"/>
    <mergeCell ref="I175:J175"/>
    <mergeCell ref="I164:J164"/>
    <mergeCell ref="I165:J165"/>
    <mergeCell ref="I166:J166"/>
    <mergeCell ref="I167:J167"/>
    <mergeCell ref="I168:J168"/>
    <mergeCell ref="I169:J169"/>
    <mergeCell ref="I178:J178"/>
    <mergeCell ref="I179:J179"/>
    <mergeCell ref="I180:J180"/>
    <mergeCell ref="I181:J181"/>
    <mergeCell ref="I204:J204"/>
    <mergeCell ref="I205:J205"/>
    <mergeCell ref="I194:J194"/>
    <mergeCell ref="I195:J195"/>
    <mergeCell ref="I196:J196"/>
    <mergeCell ref="I197:J197"/>
    <mergeCell ref="I198:J198"/>
    <mergeCell ref="I199:J199"/>
    <mergeCell ref="I188:J188"/>
    <mergeCell ref="I189:J189"/>
    <mergeCell ref="I190:J190"/>
    <mergeCell ref="I191:J191"/>
    <mergeCell ref="I192:J192"/>
    <mergeCell ref="I193:J193"/>
    <mergeCell ref="I224:J224"/>
    <mergeCell ref="I19:K19"/>
    <mergeCell ref="I218:J218"/>
    <mergeCell ref="I219:J219"/>
    <mergeCell ref="I220:J220"/>
    <mergeCell ref="I221:J221"/>
    <mergeCell ref="I222:J222"/>
    <mergeCell ref="I223:J223"/>
    <mergeCell ref="I212:J212"/>
    <mergeCell ref="I213:J213"/>
    <mergeCell ref="I214:J214"/>
    <mergeCell ref="I215:J215"/>
    <mergeCell ref="I216:J216"/>
    <mergeCell ref="I217:J217"/>
    <mergeCell ref="I206:J206"/>
    <mergeCell ref="I207:J207"/>
    <mergeCell ref="I208:J208"/>
    <mergeCell ref="I209:J209"/>
    <mergeCell ref="I210:J210"/>
    <mergeCell ref="I211:J211"/>
    <mergeCell ref="I200:J200"/>
    <mergeCell ref="I201:J201"/>
    <mergeCell ref="I202:J202"/>
    <mergeCell ref="I203:J203"/>
    <mergeCell ref="I182:J182"/>
    <mergeCell ref="I183:J183"/>
    <mergeCell ref="I184:J184"/>
    <mergeCell ref="I185:J185"/>
    <mergeCell ref="I186:J186"/>
    <mergeCell ref="I187:J187"/>
    <mergeCell ref="I176:J176"/>
    <mergeCell ref="I177:J177"/>
  </mergeCells>
  <conditionalFormatting sqref="A17:S17">
    <cfRule type="dataBar" priority="48">
      <dataBar>
        <cfvo type="num" val="0"/>
        <cfvo type="num" val="100"/>
        <color rgb="FF63C384"/>
      </dataBar>
      <extLst>
        <ext xmlns:x14="http://schemas.microsoft.com/office/spreadsheetml/2009/9/main" uri="{B025F937-C7B1-47D3-B67F-A62EFF666E3E}">
          <x14:id>{ACCA7891-E839-4EEC-AF32-6DB2CEFC7459}</x14:id>
        </ext>
      </extLst>
    </cfRule>
  </conditionalFormatting>
  <conditionalFormatting sqref="A23:B24">
    <cfRule type="containsText" dxfId="2" priority="16" operator="containsText" text="Test insuffisant">
      <formula>NOT(ISERROR(SEARCH("Test insuffisant",A23)))</formula>
    </cfRule>
    <cfRule type="cellIs" dxfId="1" priority="19" operator="greaterThanOrEqual">
      <formula>1</formula>
    </cfRule>
  </conditionalFormatting>
  <conditionalFormatting sqref="E23:F1023">
    <cfRule type="dataBar" priority="1">
      <dataBar>
        <cfvo type="min"/>
        <cfvo type="max"/>
        <color rgb="FF638EC6"/>
      </dataBar>
      <extLst>
        <ext xmlns:x14="http://schemas.microsoft.com/office/spreadsheetml/2009/9/main" uri="{B025F937-C7B1-47D3-B67F-A62EFF666E3E}">
          <x14:id>{6571F901-9793-4FDC-AE90-E1D72B2C3893}</x14:id>
        </ext>
      </extLst>
    </cfRule>
  </conditionalFormatting>
  <dataValidations count="4">
    <dataValidation type="list" errorStyle="warning" showInputMessage="1" showErrorMessage="1" errorTitle="Erreur de saisis" error="Vous devez utiliser les éléments de la liste déroulante." promptTitle="Choix de la langue du texte" prompt="Choisir entre les différentes langues proposées dans la liste déroulante." sqref="C19" xr:uid="{FBA1637A-038B-4B7C-ABE0-1972CF4BB66D}">
      <formula1>"Français,Allemand,Espagnol,Italien,Suédois,Norvégien"</formula1>
    </dataValidation>
    <dataValidation type="custom" errorStyle="warning" allowBlank="1" showInputMessage="1" showErrorMessage="1" errorTitle="Ne pas modifier manuellement" error="Cette valeur change en fonction de la langue choisi." promptTitle="Ne pas modifier manuellement" prompt="Cette valeur change en fonction de la langue choisi." sqref="G19" xr:uid="{A7CEC4EB-E1E5-483D-A4CB-8F8EAD6920C8}">
      <formula1>G19</formula1>
    </dataValidation>
    <dataValidation type="whole" errorStyle="warning" operator="lessThan" allowBlank="1" showInputMessage="1" showErrorMessage="1" errorTitle="Nombre de clé trop élevé." error="Le maximum autorisé est 1000 clés." prompt="Maximum 1000 clés." sqref="H14" xr:uid="{EE0CEA9D-80DD-40A3-BD65-D1F5C4A00FFC}">
      <formula1>1001</formula1>
    </dataValidation>
    <dataValidation type="decimal" errorStyle="warning" allowBlank="1" showInputMessage="1" showErrorMessage="1" errorTitle="Erreur de saisie" error="La valeur doit être comprise entre 1 et 100." promptTitle="Sensibilité de la détection" prompt="Entrez une valeur entre 1 et 100." sqref="L19" xr:uid="{38E1F63C-E102-4FE6-88DA-A3534431B21A}">
      <formula1>1</formula1>
      <formula2>100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Calcule_Indice">
                <anchor moveWithCells="1" sizeWithCells="1">
                  <from>
                    <xdr:col>10</xdr:col>
                    <xdr:colOff>390525</xdr:colOff>
                    <xdr:row>14</xdr:row>
                    <xdr:rowOff>57150</xdr:rowOff>
                  </from>
                  <to>
                    <xdr:col>13</xdr:col>
                    <xdr:colOff>66675</xdr:colOff>
                    <xdr:row>15</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ACCA7891-E839-4EEC-AF32-6DB2CEFC7459}">
            <x14:dataBar minLength="0" maxLength="100" gradient="0">
              <x14:cfvo type="num">
                <xm:f>0</xm:f>
              </x14:cfvo>
              <x14:cfvo type="num">
                <xm:f>100</xm:f>
              </x14:cfvo>
              <x14:negativeFillColor rgb="FFFF0000"/>
              <x14:axisColor rgb="FF000000"/>
            </x14:dataBar>
          </x14:cfRule>
          <xm:sqref>A17:S17</xm:sqref>
        </x14:conditionalFormatting>
        <x14:conditionalFormatting xmlns:xm="http://schemas.microsoft.com/office/excel/2006/main">
          <x14:cfRule type="dataBar" id="{6571F901-9793-4FDC-AE90-E1D72B2C3893}">
            <x14:dataBar minLength="0" maxLength="100" gradient="0">
              <x14:cfvo type="autoMin"/>
              <x14:cfvo type="autoMax"/>
              <x14:negativeFillColor rgb="FFFF0000"/>
              <x14:axisColor rgb="FF000000"/>
            </x14:dataBar>
          </x14:cfRule>
          <xm:sqref>E23:F1023</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7D8FE635-1819-490E-90EA-DE1BAA468529}">
          <x14:colorSeries rgb="FF376092"/>
          <x14:colorNegative rgb="FFD00000"/>
          <x14:colorAxis rgb="FF000000"/>
          <x14:colorMarkers rgb="FFD00000"/>
          <x14:colorFirst rgb="FFD00000"/>
          <x14:colorLast rgb="FFD00000"/>
          <x14:colorHigh rgb="FFD00000"/>
          <x14:colorLow rgb="FFD00000"/>
          <x14:sparklines>
            <x14:sparkline>
              <xm:f>Test_De_Friedman!F23:F224</xm:f>
              <xm:sqref>F20</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15CB8-726B-4142-AA5A-889AFA0946E7}">
  <sheetPr codeName="Feuil3"/>
  <dimension ref="A1:Z1041"/>
  <sheetViews>
    <sheetView zoomScale="85" zoomScaleNormal="85" workbookViewId="0">
      <selection sqref="A1:M3"/>
    </sheetView>
  </sheetViews>
  <sheetFormatPr baseColWidth="10" defaultRowHeight="15" x14ac:dyDescent="0.25"/>
  <cols>
    <col min="1" max="1" width="11.5703125" customWidth="1"/>
    <col min="2" max="2" width="13" customWidth="1"/>
  </cols>
  <sheetData>
    <row r="1" spans="1:19" ht="15" customHeight="1" x14ac:dyDescent="0.25">
      <c r="A1" s="135" t="s">
        <v>47</v>
      </c>
      <c r="B1" s="136"/>
      <c r="C1" s="136"/>
      <c r="D1" s="136"/>
      <c r="E1" s="136"/>
      <c r="F1" s="136"/>
      <c r="G1" s="136"/>
      <c r="H1" s="136"/>
      <c r="I1" s="136"/>
      <c r="J1" s="136"/>
      <c r="K1" s="136"/>
      <c r="L1" s="136"/>
      <c r="M1" s="137"/>
      <c r="N1" s="144">
        <f>Test_De_Friedman!A23</f>
        <v>21</v>
      </c>
      <c r="O1" s="136"/>
      <c r="P1" s="136"/>
      <c r="Q1" s="136"/>
      <c r="R1" s="136"/>
      <c r="S1" s="145"/>
    </row>
    <row r="2" spans="1:19" ht="15" customHeight="1" x14ac:dyDescent="0.25">
      <c r="A2" s="138"/>
      <c r="B2" s="139"/>
      <c r="C2" s="139"/>
      <c r="D2" s="139"/>
      <c r="E2" s="139"/>
      <c r="F2" s="139"/>
      <c r="G2" s="139"/>
      <c r="H2" s="139"/>
      <c r="I2" s="139"/>
      <c r="J2" s="139"/>
      <c r="K2" s="139"/>
      <c r="L2" s="139"/>
      <c r="M2" s="140"/>
      <c r="N2" s="146"/>
      <c r="O2" s="139"/>
      <c r="P2" s="139"/>
      <c r="Q2" s="139"/>
      <c r="R2" s="139"/>
      <c r="S2" s="147"/>
    </row>
    <row r="3" spans="1:19" ht="15" customHeight="1" x14ac:dyDescent="0.25">
      <c r="A3" s="141"/>
      <c r="B3" s="142"/>
      <c r="C3" s="142"/>
      <c r="D3" s="142"/>
      <c r="E3" s="142"/>
      <c r="F3" s="142"/>
      <c r="G3" s="142"/>
      <c r="H3" s="142"/>
      <c r="I3" s="142"/>
      <c r="J3" s="142"/>
      <c r="K3" s="142"/>
      <c r="L3" s="142"/>
      <c r="M3" s="143"/>
      <c r="N3" s="148"/>
      <c r="O3" s="142"/>
      <c r="P3" s="142"/>
      <c r="Q3" s="142"/>
      <c r="R3" s="142"/>
      <c r="S3" s="149"/>
    </row>
    <row r="4" spans="1:19" x14ac:dyDescent="0.25">
      <c r="A4" s="160" t="str">
        <f>Test_De_Friedman!A4</f>
        <v>TCHMOCEVAGCWXOOUFFQHRFTYXFYEUEUINTCOUFSWPRGCAMOGVFTLFWTHNCWUBIUJGGXWLVEATMXEFZNWQWYIBWGYOMTGNYUBMLZLWTKSATSDDSHTWSOYLXMVCLFATEFZHMSUMSIEXNEODRSDWRGFFARAJFJTPKNHCKOMSTEZFBRAOZRARPWXJODLNPCPNJHVUTUCDATNIKYQEFJZJYPFRWQYRNAYNJNCGNWTWMGUFBYHUIVLLAKTHYEHPZXRTCHEFCKDOFLWXGZNLFVGBVZVBGUELSFLEXWJTWHIYPISFJBMWSICYEXGJIFEZIOSIVCRYIJIPLXEUKOJUMYAFBBDJYCDECINMYZCDBQVRFDNARYDMLECIEYNPJPRIPUSHAGUTURZWAXMYEUIIUHFQBCSMJWNQIGVUDTVBVWYFGCACZFFDPOKLXZCWUWYISOTNQYKLECINMYZTSJBJNJHRMSTZYZLABGWZSKBVXPFFGJWHVEEYNIHOMEEQMGUFFYNGILXFWYWNHZBGNJINUCZREOVHEYMTWUQIVDWQZFXREWYEKDPNXEYYIJFNPBSSALSWVFEDNFTFCEMSMYFFARWHJRKUYYUEUBUWEIZVEOGAOPRALWYLNLYEMYIRPJSAWSMKWCSHHEIBIWTIFNORBWBYVKDPJNBMGOFHBIZQGRCWFCWSLWHNJGEWTAICBFRNGYCDEDHXOUGAAFVXEJSAVOCJALWYLTLZUFJMWRUOQNAUIJEWYIKIXEKTCWPPAZNHOUGIDFXLUQOASQPLBANRBNVFAYNIEONDGSLMABHRDFMJMREYKKYLUWEPYZBWABSNKGUDWXLIMDAOIXRVFFBCHKUOYHXVNZSWOBVRTSHGULTWAFLXLYVUVFAVRTSNDLCELECHXMCITWSVIGOSFCDUJDEDYNELZSWBCMYFLVBHYLFAFNKXLZSWBCTYVGCNFZFJMLHMCYIELBXTEFBQAOCJJIPHXGNZDATIRGRIVWHYIFEEUXMYXRWFXEEMOEVSYREECCVTCIEVBVWHOPHCACCATLCKXCITWSVIGOSGJWNHMEWYIKIOOLZXIHOOHCFYIWSPUNTYOEUSMICPIEUSMDALTNTBLZSUPUTYFHRVSHKANOYIXHYAFULMAUSEWSNKARLHMWYNLWDWRFEICASGZWRCYLXUPLWQMXVUTENFYUANEYKGYOEKULIIFBHNIHXJAYXYKYMEWORSUOVBUZUEVCZHLMLPIKJBYATMFCSGVSRECYBWDEDRCMFBDCDMUZLSFLEXMKRAOKMCFGQNGYCWCECHGXZDSSEMAFHFDFFVKMPNAHXZSVFKSZCWAJWMFFDPMZXHZSVFUIAESYUOFXGRTNAFYBEFFBMDVSBDUUVLATNGXOIRWOWYIFOHMSFZFTPFEBAZNUFIVGJTVLWYCDELFETCOVGJZPRKCHAZYJEEOCTLWJNLSQFHFFRWHAISNOYFXHOAXBQVRBDCASWZWRWYLFUXHAOMWVOHRUZCXWNEYLTOBRSOLTHCZVLWFRJENIFFYICWFBVRDCZVSHTWPCUMBKPEEFVXGPIFUSMFJDTHTMYPRKFFMFUOACGZLJEYNLHONSGOKSAUFBUSCCFEWUBLMVILQIWQFHEJQYEWSPGHGNMAAUXEFFHCDWMZDAOYVHOQEJUTIFEWNUCALWSPHWBLZCLWQEVOHRABYKDEEYEXJCOFFTEIJGVXQIEXECYGVYGAVPUSGJEHNWFRNATNWTVJRVDWQZFBPNDUIJENOIXLZRVFAMAGCEVONZGNDXXIODSDPZHVOOGNILUWDLPBWJPIKJTIGBWGJZFVDEDWAXLXHWSAYEJBGNFHVLIWUOTCOLMJUIZFDEXULREMPFHKXDNSUMYEESQJJCUSFTHWTPJIJVVTEFAVNFFZWNGYKLFZMGOLIRYHRAWYLJLLPHBRDLHPCZNJHRWHYEVRPFTOIDXVFLEIJRZJWMEWLLWHFJMEFBQXCBGPNGNRDOCMJNCGAVFKMQFRNUZYIDUTGXFYVLAONSENOGRCHZDSPMMTFJRKUZEATDBAHYJMRTHMXLIELBNMAESPQCCJARFHXGIPVWMTIZBWFXBCCDUTUXMYWESVKSHQDYDGZRUIWYWXJMOYSIQZFFPNBILNEWIKWCIALFCVNGWAMSHKWNOLXNHZNGVDIYMSIXWRGJEWOWXGVVSJBHVUEHRZXVKICUBMWJNFBQXEFZNVCOIDEDIKWCIALFCVFOCACDUJVEDYGMCHEFUAIGMOZXILEWSEKNXMZNLJUIAUGVUMUSAEYFTFIPRHIGWVRIRVOCJKAYMEXMNEFUQQROHFLSFRJEDMXFVGEVBDEAUOTNOOEANDNBGWODWSMTEPRHLHCFFQFUWXFVMGVZYAPFQRBUKWUCHTIUNCWCMWBJBQNFYGJOOOVMCJNWUXSHSEHXWGRNOTLVAIDSAMMQVMWGJWLVJERUZGUNANPQXHSSRCZUSSRCCXKYNOMWZMGEOIRRLVYACXTBNVULPCVQFZHRZUSSSPGBECOAASMSHJZNEOCKHADMXWCSMGJAHRTOIRSCCFYLPTBNKAKCMEHDCHYRYTZAYAXFYITDIMVOFHBDXILJSLOLLCWIWOBSAEIRUSMRDLPYLMIPJGVZWNVGFRDLFHRPMEXMHEEFAFGJARWHMAMSEYEXMYEUPZWNWOVNBNTZAYAXLCGSSHQWFBWGMSWYSRDWXMUDEFUTIFDVNAGKLWDLPBWUQAAUMYYPQPJGCFFDPPHBLAOFDBMBOBRASNHMIXUBGNZNSOBEIBWRWHLVEPWUVXMGEKWQIHYQUJFMHMIDYKOUDEFULIQFQBAGWVDAQCMLIPRASMHNWWQMOPZVSPLTIJZLSJBHRDSCACAISMXYFXFVNYFIRGESHGOHTAEYHXLNZCZOWPBHWRBWFJWNDINOYIAAUBVRTPVNBWZFQLHGXYNDWUZEIBWYJQBRJNPJHNLMESMQWRSIAEWYLPRPPXWYIFSOBYAQSHBCFZLATLXBFQOMMIMGVBNVWYKALLPTBNORGVDIROZVWTIIEAECJNYGAHPAWVCWYRHYUSVZCKVYOAEJCRNNWPJDUSDEOYKXZGEUIQVIJHRNLYDHTOYLXHOIEFVXGVJNBZYGJEYXKXUQEUUWMGVPEJBWYWRLMMHHOEDFXLBOSZXPCCWDPMLNMVFAOYYRKSCDWMJWRPMMXLZNUPVXNDHNESWKGITFMXZVUVSIEHTGVDBWSDEOYEBUDSGOXSHSPEJBWYWREIGHLYIFBBIHSGHAZYIWSPUNFCGILBQVRVBYXBAJALPHVXMZFAULEATZNECCKMRPFXVBVUXGMYESSTJFXRATOLHBNYENBVXQBJVMXYKSUYCELOMLWDWQCUSHAEOZSFQCVAUDTCNPPNVHBACOKWEEUBMXZSWSBIQFDHRGFRUOYMMKOXTAPVHRMOYRUHVYRLHWXPDTWTAIYFGTNBMGJEQYKTCZNLQZIAEFRUSMKJAYMIHLOSWOKSZNIABDFLKRLJBWYNELNWMATQUNFMCSLRPMKUQEJTIMGMOSAOHTWDFHUHOOADBCXEFOINQOESRCYMTJVRATKIYBFRBGYDTLLCMTOSGJPASEEWAJHYLJSBOXWUQIVBDEVUDHECCIVAYMWXMAIDNAHRTQVNBWVXINNBHHWESVKSHQRRYSNZLEDFNFCZRWTQRQJEHJWYELQFCEXNVILFVJBOQGRCHRDAMULXOIEKPZXREODDOLZMMLPTBNZTWJVWGBZYNHILLAFNHNLXEJUIMAFARWHFVKYDNXFYYEJFNVBJRVBGYDWNEWTKXZSTVTPRTABWHUZWNEMTGMXEKTMTEFIINEOVDELOXMUDTWOMFHMZVCWIEKOFXTBHYANJLVRTHNKCOTZEMYXNHZVGJFGNWSEWSOJWSZLMBYYEKFKVNOGBDJYESIEXXLUAFADPIEMSZXHJIWLFXXWUDLDFCVFMSQABYJSVLCMIUNVJBQQROHPXAGVFTDIGILJCWTAIHSDBDJUZLFZHVMCJNFFZHHOSNAQBZLENNNKYORGQKSZQZRGSFVVRDYMTCORWQWWRTIEUSMKWSEMXYZZCLVMWGFGGBHLVKLPAXKYHEFUUSQJTVNGJRJPCYENXZAXJVHRDOPQSLTWREUBGYNFGOKXVPBFMIJIGCPMLXOMFDPZIADSRBHOEWJPOGXZZMEFOVNORRNHZZDIQIKFYNEKMWRTTQUNJYLPBWIGWMMEKTMQOMSACOOONAROXLKPEXPZQROHYNGVCWSOUGLFZSUIIQCTGBDGFVXFPNWNPZNLFBPBODBDFLRATNLHBLZQMFAIFZSHGGIELDPMXFYMAMEMWGSCHESMJGUDFXLXZUPQMXVUSFLCFCANPMJNCHAKRCIAUIANACEWDZLLHHXUJBCNBVFQQICTWSEMHGUINAWMVFBWENWFRNIYAMLCSAFTUEVTWYWSMVFSZOOBYITHMCWVMBRYFYKWPLMTMNZNLJWRNDSTNBLVVEOYMTCGSVBDMQFGGDBBFEMPXBLNMAAUBMZJRRVOCJKUCXXEODIDFAXTSOAMSNDANNYWXAMAFEMWZBWABDLFDOYAXGNNEKMWRTTPEJGCCDUTMXKUDTHPAWVCZRMSNVFICXXNRWOMUMMYMSFMSWYSMAUZGYYAFTKLNDIANRYJWSXUBGMHAATQPAFPBRHDREATMETFXOGMTIEFBQVOFRVEPNFTFCEMSMYKWCVARYGJEDMBYDZMWOZECQSYUSLRASDCCTPVIKDZIRVBCACAISMXYVTJVBDFLICBFYNFYKHUTMMBYISBFAYVTSACFUZFDPNTIYMLSDIYFFHGNOPVUUYIKWCIALFCVWFRREWYEKVCUBFYITUJVKYFQRBHZZFIUUKKYOEDJVJBSANCWKLWOFCFTCNRAFVHRYQRYHCFFNPFWTPDDWTAEVFRRBSLRHPPFXKMDDSOAPNMOALSYUWSLDXNHZSKFNSHHIRDGYZDNLOKTCOPSTQRFUOYUSOEWBZGUXFJGARCIFVFYNGIIVIYUMXOMSVFTEENSRVOCJALYYLXLVPHFTEVUDNBOPFARQUBMOIELFTPRCSGRGYGDAYNXKNJULMMWLTHRVSCEXOCGTMCLUWEMPNCOFNOOISIEYMXNMOHHZEIFRRLCHJWQFYGVYNDSJTPRVFFUSXIFEDUOTCOPSTDVNJARWHWFEMPHMLIIPJPKIFTSHADILNATNYHHXTAPVRRSRHWSUIUHTNXVNPRWUZSCDCZYZYOWLPXKLYOAAUZICPGRBILCWSEYLMMZFXFKXHFGGNGNJLRPMEXAZRWNMRGNCQRTCVKPLLIKYGUVFIJVORRLOWYWRNYKMUDNWTNSADHVXBMUMPCIVXMNEMSQPNWOVCRUSGROWHFGZNUFXEESSPDDYIWROYLBHAOJNIXVPBFMSJLASWIKWCIALFCVQFRNEWXGMIDCEXNVILBTPRMSFLVYIUHPLLNLDNLFZRRUWYJJUZLLFCFXGZPJPOVNNARUCLUANLNXNLYEVBDMQBTVWRUMGICOGILZMAFZPVFBINFMCWMZHWXYSTWSQIHSZNECCOALAINOUDTWOBIAEFRUOPFAXOYWTPDDEBQWAFZNLCGGJEYUBMJVSUFAXNMCEBEOZDAOYVBXZDSMTIEMIVVSGVSLTHYHLHALJWRVMGRBHUCGRDNKTHNPGSBIFVFVWHYIFEEUYBHYEUIWMFJFHWSHFMVPFEXGVIKPVMYMIVJSNVTELOVHOKPDVAJNDWYNRYGJORLTFGZRUFVSHWSYXFXZFAEYNKUAIFEMRGFBQASOEWNZOOXFGENPQBPFBRBHJRKUYYUEUBUWEIZVEHBWDLFYRLGFXUMEWMTIZFBGOCHTLIZHGXYOJWTCMFMOQRHJIWLFXXXNNUAWQXHOSYXBALWEIJEBWVTAPVHRQFRUIXVIULHMTMJNWYQWGFBPNQIDEEYNTOUDTAMNEVUDBDFMFJTTLWXFJRVJVEGFIEMSXRNIOJHNLNIFTBEYMSEBILZFTPLGXNZTVFKISBWGBILKGUEFXLIMDAOIXRVFFASFZWSLCGMYMNWUTIFFLCUWWRLIZHLVIITAOCIEFBGYSHUSNEOGXVJNFFPIHSSQJJCUDATMLTCOPSSTIEQFRUIXVHECMHGHZNAOBIEWSAJWNKGUEFXFIIDWQZIFFBGPSHVJAFRBGZJREBBMPJSABGCDHLPMZTLYEKUWYFFHNRSHKKTFJXYCVIWOBHRUCHCHYDHSWBHFGZALFVXRESPXAJIWNOLXIODSVFZICSCQDWLVDEINKTIMDAOIMEFANLVCEWQFYLMFZTJFPYZBWAUSMGJEXCXKMVULPUEGFGAXIMWGNEMHNLDRWBCNBVFQQICCWSALXFCZRKPZHVOOGNILJWGLFXFYITEBQWHODRDAIZFSPNEHLNQMVVGRSHNRBGTUUWFHZHVIVFLICJHGBWHMWNEYXGFZPJFUMRSBRDFIEWFZLFXFJNFFZMTPZRYZOJDOCXBGUOEMSMWGESINBOTSPLVEXXZRWQZSQVWENRYJFEFLHGYNAJUQJVDWRUGFVUOXJEXRZDWGZEALSABHYZFVLUEHLNFJFQRRSZRBFYTZECWAXMJNUPUQROQRJSHKWNOLXIUMLWSLYPPBPNDNUANEYEECBEFDMEEUWSRQCVDLPJENMXOFOCWBVGYNGNVJMPMWBUXEDBNEVUDRDFCCSRPWHFGZNUFMXEFQBVAYEUEALTMCLUWNMRGUCHCZYJGROCGTNZUJTMBVTHNWHMWMRPHMLIPSKPVGBOHEXZYZDNPFTBMNAAUXEFESGAOWVFEDYFHHORSJBTNTSGYICJALLXXVIPVWSBPRTRVJZIXMEDYGWCMEUUDMNJBGNFHVLLPNXEYKHGOMPNWWFRCWFFFPLXGWZLSEWQBUWDDSCELECFHJOZDSWQHAFGNRHJRKQFIBKYKOFEZIROSSOSNZDCZHGTCOUFDMVGBWAYFYCMDPFNBWZTSJBPRQGRDRIHMIWOMBFDSSJBHNOGFJXYLFEDMXWCIFGSUEGJQVNBNFMSDYLTGDSVFTICPEHNZYTGNYUBLMVIWOBWBVGPNBIDALWUOTCOULJTMFFIANTIZKOFXXNRKOMSAMTOSEUSMCGGTWBXFNQMJTEIBWGYWLRLEXUBLDVMSJAYAMCTRQCVDIXJHKNVNLFBIADCENAIZFSFHEHADCAFTXBQGRLFYKUEEUBMYBADFUIAUZRBILEGMBOBEOOIDJAEVUOYJTUTMLEYYEIMEFDMZROOVCRUMGUPLJNYGQMFKLBTSDDSFCWNZMTBNHEEFXEFEWENOFRHECMHGHZCGOKIEOSRMOPZVSZHWTPDDGVQIYMSYJWGRATOYINCNQMJTEIBWGNAGVFARYTVIOEVFKLRASYUSCCQAOYVTWDNIBVWQFDHRGFVHRPGBXLMEYBZHRMZRBOPRATBOXVYOAAUTYVFHNLVUHMEQIBLFVMWNMGUPGRMSMHMEWFXIUMLSJBHRMIVMSMHMEWFXIYISSJBEYVWFNGSVMXMLBEFVIWOBPNKCHABYVUOXGXGWZIDTPEOJZYNQIDEETFIXOOTGVBIAQFRWOHKKOYWTYYXHWNQWRCZNWQBVJEAULLYZLSWMMYMSCJFFLAMPGXNHZCJBDEGFQBVAYKGUDFXLDJUJTMXFPBPXGNLEEYIBKXZCZFHWNNABWHCVDTCYLVBDCWUBVRTPEJBWYWCSUNLMPRWTKYVSBBRFWFEMPCETCHEXBQVRSSZJFKLWRGINLYOEKTWMGEOABJIJUHLOLLOMEKTWMGEOABJIKJEWCMTFJRKJTJNVHQNPIEFEDWATONSMSMWRUIANPIEFEWCMXLDEDBUIGFCNJBHFFCPOGVCZLTMMYRURRBHYDHECUMNLZSSVLIFTIFMSFRFOCGTEYNAATWRAJSENQYJLUYNKXMWESVUSVTRRVOCHMIDUGGIICWDMPNSSFBSGSDATNTNRBRGTWVQJBNCSOIKQFYWTPDDSWIMGQIIXWLUSNDXXLZDLETLIFDWRWQYWACECHGVZAMDWYCESCNHCKWSWOFBYMEKJVHVRINRSHKIUTFXMUDTWONSADHVXBUCSBLMXNHZSGSBIQBEHJFCLEAGUBMYOEAOAXNMZRCCOKSUEINKWZRLBQRRNSACZYJQSEYFXXZRWGZSVEWFBSGVFTNUKWYNBMMTIFNCACOCVFTDUGLWZSKFXVRVJRZIYCWAFYMTCOEFFJYYMWGRCHJGUOUBGXVVAEZIFUOOXIWYWBPYNGYQOAYKEIFFANIMVKOCNBXXZSWDZEATCHESHRATOYLTZAIUIMVYFABCDLVDUOYHNCZTFPVGROSFCDUJMNPVETAPEEBQWQBJVMMYJLPZOKJOZLIVMGUPGRRZUTJEPOGILJGJBUQRTOABZYJSVZCKVYKRGHZEZNSFNBIDEEALXEOYEAMDMGTIERBNVJNPNTMLVVWSAXBVHYNFYJWAFWATKPEGSLMABHRDFWFFNPWMXWJNFBQXCSSYDRYTZABOXHLYIFBBIHSSFCIHVHACNBXXZPJFTYQFZRASMVSUPMMILZLMEMQNJGYRBNVDLTAXGWZAJUQJVDWRUZYESPAIKMUDTHBAPRSSFDZNRLTLHMKYXHWSKLRECAWSLLFENIGLWDEFDMEHYCEMWHRLEFLLTFJRKMPSZNSBDPFZSLTHMXFGIYFVGRBFGRTCTAEWFXXNXOENMTBVFFNDLFMVPLJNCGELBQXOJSAUSMVMLLUOHCMUFFKSATQVNBWVKEXCMTOSAJUAPRTPRUZYJHRZGXLMZSKVZPVOHRUZCXWNNYWXMJRVJVEGFIEBSNUWSCIUHNNELBQIAUCHKZCVWSWYVHGKLWYMHRGFNWYYEKTPCGTPZCVFVSHWSNDLIIVIYUMXOMSHMCWCVWFBOHKKMLCLWYKOMSDYFEWACSFCAGPHVXPDRWOBPRKCHAQYKSIEYGNHVNSQZIFMCHESLKMRPUNZLVNVQCFYJQQRBNVJNPNTNDJUJEPYVDSFCGIESNYCOXLNAASMMYBJVWUNJAXLHLFUDSAMVIFFBFXIPZWNEJENMDLFFXVRUSCJGUKLEYNBHHVCWHMREFRRMSNRALDXTOCYEKUCRUPAZNRCJLRLCMMCHIVFUEVTGHARYCMITFXLNBRSOLIGNWALSXVYRLHWXMHAAOATEPZBWUYELSPMEHHBSTSIWVMZHRGYISIEJHLMDBDFLIGFBVARYLPBZOMXCGLWTLIPIOZYOAEWDLHLVBVCMOMHRTSFVOCEKMLCLBFIETPQXWBANRGFRDCZIEEYMEFEUEYBRRNHGRDHPOKXOSVGJZHRQFRBGCW</v>
      </c>
      <c r="B4" s="161"/>
      <c r="C4" s="161"/>
      <c r="D4" s="161"/>
      <c r="E4" s="161"/>
      <c r="F4" s="161"/>
      <c r="G4" s="161"/>
      <c r="H4" s="161"/>
      <c r="I4" s="161"/>
      <c r="J4" s="161"/>
      <c r="K4" s="161"/>
      <c r="L4" s="161"/>
      <c r="M4" s="161"/>
      <c r="N4" s="161"/>
      <c r="O4" s="161"/>
      <c r="P4" s="161"/>
      <c r="Q4" s="161"/>
      <c r="R4" s="161"/>
      <c r="S4" s="162"/>
    </row>
    <row r="5" spans="1:19" x14ac:dyDescent="0.25">
      <c r="A5" s="163"/>
      <c r="B5" s="161"/>
      <c r="C5" s="161"/>
      <c r="D5" s="161"/>
      <c r="E5" s="161"/>
      <c r="F5" s="161"/>
      <c r="G5" s="161"/>
      <c r="H5" s="161"/>
      <c r="I5" s="161"/>
      <c r="J5" s="161"/>
      <c r="K5" s="161"/>
      <c r="L5" s="161"/>
      <c r="M5" s="161"/>
      <c r="N5" s="161"/>
      <c r="O5" s="161"/>
      <c r="P5" s="161"/>
      <c r="Q5" s="161"/>
      <c r="R5" s="161"/>
      <c r="S5" s="162"/>
    </row>
    <row r="6" spans="1:19" x14ac:dyDescent="0.25">
      <c r="A6" s="163"/>
      <c r="B6" s="161"/>
      <c r="C6" s="161"/>
      <c r="D6" s="161"/>
      <c r="E6" s="161"/>
      <c r="F6" s="161"/>
      <c r="G6" s="161"/>
      <c r="H6" s="161"/>
      <c r="I6" s="161"/>
      <c r="J6" s="161"/>
      <c r="K6" s="161"/>
      <c r="L6" s="161"/>
      <c r="M6" s="161"/>
      <c r="N6" s="161"/>
      <c r="O6" s="161"/>
      <c r="P6" s="161"/>
      <c r="Q6" s="161"/>
      <c r="R6" s="161"/>
      <c r="S6" s="162"/>
    </row>
    <row r="7" spans="1:19" x14ac:dyDescent="0.25">
      <c r="A7" s="163"/>
      <c r="B7" s="161"/>
      <c r="C7" s="161"/>
      <c r="D7" s="161"/>
      <c r="E7" s="161"/>
      <c r="F7" s="161"/>
      <c r="G7" s="161"/>
      <c r="H7" s="161"/>
      <c r="I7" s="161"/>
      <c r="J7" s="161"/>
      <c r="K7" s="161"/>
      <c r="L7" s="161"/>
      <c r="M7" s="161"/>
      <c r="N7" s="161"/>
      <c r="O7" s="161"/>
      <c r="P7" s="161"/>
      <c r="Q7" s="161"/>
      <c r="R7" s="161"/>
      <c r="S7" s="162"/>
    </row>
    <row r="8" spans="1:19" x14ac:dyDescent="0.25">
      <c r="A8" s="163"/>
      <c r="B8" s="161"/>
      <c r="C8" s="161"/>
      <c r="D8" s="161"/>
      <c r="E8" s="161"/>
      <c r="F8" s="161"/>
      <c r="G8" s="161"/>
      <c r="H8" s="161"/>
      <c r="I8" s="161"/>
      <c r="J8" s="161"/>
      <c r="K8" s="161"/>
      <c r="L8" s="161"/>
      <c r="M8" s="161"/>
      <c r="N8" s="161"/>
      <c r="O8" s="161"/>
      <c r="P8" s="161"/>
      <c r="Q8" s="161"/>
      <c r="R8" s="161"/>
      <c r="S8" s="162"/>
    </row>
    <row r="9" spans="1:19" x14ac:dyDescent="0.25">
      <c r="A9" s="163"/>
      <c r="B9" s="161"/>
      <c r="C9" s="161"/>
      <c r="D9" s="161"/>
      <c r="E9" s="161"/>
      <c r="F9" s="161"/>
      <c r="G9" s="161"/>
      <c r="H9" s="161"/>
      <c r="I9" s="161"/>
      <c r="J9" s="161"/>
      <c r="K9" s="161"/>
      <c r="L9" s="161"/>
      <c r="M9" s="161"/>
      <c r="N9" s="161"/>
      <c r="O9" s="161"/>
      <c r="P9" s="161"/>
      <c r="Q9" s="161"/>
      <c r="R9" s="161"/>
      <c r="S9" s="162"/>
    </row>
    <row r="10" spans="1:19" x14ac:dyDescent="0.25">
      <c r="A10" s="163"/>
      <c r="B10" s="161"/>
      <c r="C10" s="161"/>
      <c r="D10" s="161"/>
      <c r="E10" s="161"/>
      <c r="F10" s="161"/>
      <c r="G10" s="161"/>
      <c r="H10" s="161"/>
      <c r="I10" s="161"/>
      <c r="J10" s="161"/>
      <c r="K10" s="161"/>
      <c r="L10" s="161"/>
      <c r="M10" s="161"/>
      <c r="N10" s="161"/>
      <c r="O10" s="161"/>
      <c r="P10" s="161"/>
      <c r="Q10" s="161"/>
      <c r="R10" s="161"/>
      <c r="S10" s="162"/>
    </row>
    <row r="11" spans="1:19" x14ac:dyDescent="0.25">
      <c r="A11" s="163"/>
      <c r="B11" s="161"/>
      <c r="C11" s="161"/>
      <c r="D11" s="161"/>
      <c r="E11" s="161"/>
      <c r="F11" s="161"/>
      <c r="G11" s="161"/>
      <c r="H11" s="161"/>
      <c r="I11" s="161"/>
      <c r="J11" s="161"/>
      <c r="K11" s="161"/>
      <c r="L11" s="161"/>
      <c r="M11" s="161"/>
      <c r="N11" s="161"/>
      <c r="O11" s="161"/>
      <c r="P11" s="161"/>
      <c r="Q11" s="161"/>
      <c r="R11" s="161"/>
      <c r="S11" s="162"/>
    </row>
    <row r="12" spans="1:19" x14ac:dyDescent="0.25">
      <c r="A12" s="163"/>
      <c r="B12" s="161"/>
      <c r="C12" s="161"/>
      <c r="D12" s="161"/>
      <c r="E12" s="161"/>
      <c r="F12" s="161"/>
      <c r="G12" s="161"/>
      <c r="H12" s="161"/>
      <c r="I12" s="161"/>
      <c r="J12" s="161"/>
      <c r="K12" s="161"/>
      <c r="L12" s="161"/>
      <c r="M12" s="161"/>
      <c r="N12" s="161"/>
      <c r="O12" s="161"/>
      <c r="P12" s="161"/>
      <c r="Q12" s="161"/>
      <c r="R12" s="161"/>
      <c r="S12" s="162"/>
    </row>
    <row r="13" spans="1:19" ht="15.75" thickBot="1" x14ac:dyDescent="0.3">
      <c r="A13" s="164"/>
      <c r="B13" s="165"/>
      <c r="C13" s="165"/>
      <c r="D13" s="165"/>
      <c r="E13" s="165"/>
      <c r="F13" s="165"/>
      <c r="G13" s="165"/>
      <c r="H13" s="165"/>
      <c r="I13" s="165"/>
      <c r="J13" s="165"/>
      <c r="K13" s="165"/>
      <c r="L13" s="165"/>
      <c r="M13" s="165"/>
      <c r="N13" s="165"/>
      <c r="O13" s="165"/>
      <c r="P13" s="165"/>
      <c r="Q13" s="165"/>
      <c r="R13" s="165"/>
      <c r="S13" s="166"/>
    </row>
    <row r="14" spans="1:19" ht="15.75" thickBot="1" x14ac:dyDescent="0.3">
      <c r="A14" s="80" t="s">
        <v>2</v>
      </c>
      <c r="B14" s="101"/>
      <c r="C14" s="27">
        <f>LEN(A4)</f>
        <v>9310</v>
      </c>
      <c r="E14" s="150"/>
      <c r="F14" s="150"/>
      <c r="G14" s="150"/>
      <c r="H14" s="26"/>
    </row>
    <row r="15" spans="1:19" x14ac:dyDescent="0.25">
      <c r="A15" s="53" t="s">
        <v>5</v>
      </c>
      <c r="B15" s="54"/>
      <c r="C15" s="54"/>
      <c r="D15" s="54"/>
      <c r="E15" s="54"/>
      <c r="F15" s="54"/>
      <c r="G15" s="54"/>
      <c r="H15" s="54"/>
      <c r="I15" s="54"/>
      <c r="J15" s="54"/>
      <c r="K15" s="54"/>
      <c r="L15" s="54"/>
      <c r="M15" s="54"/>
      <c r="N15" s="54"/>
      <c r="O15" s="54"/>
      <c r="P15" s="54"/>
      <c r="Q15" s="54"/>
      <c r="R15" s="54"/>
      <c r="S15" s="55"/>
    </row>
    <row r="16" spans="1:19" ht="15.75" thickBot="1" x14ac:dyDescent="0.3">
      <c r="A16" s="93"/>
      <c r="B16" s="94"/>
      <c r="C16" s="94"/>
      <c r="D16" s="94"/>
      <c r="E16" s="94"/>
      <c r="F16" s="94"/>
      <c r="G16" s="94"/>
      <c r="H16" s="94"/>
      <c r="I16" s="94"/>
      <c r="J16" s="94"/>
      <c r="K16" s="94"/>
      <c r="L16" s="94"/>
      <c r="M16" s="94"/>
      <c r="N16" s="94"/>
      <c r="O16" s="94"/>
      <c r="P16" s="94"/>
      <c r="Q16" s="94"/>
      <c r="R16" s="94"/>
      <c r="S16" s="95"/>
    </row>
    <row r="17" spans="1:26" ht="15.75" thickBot="1" x14ac:dyDescent="0.3">
      <c r="A17" s="98">
        <v>100</v>
      </c>
      <c r="B17" s="98"/>
      <c r="C17" s="98"/>
      <c r="D17" s="98"/>
      <c r="E17" s="98"/>
      <c r="F17" s="98"/>
      <c r="G17" s="98"/>
      <c r="H17" s="98"/>
      <c r="I17" s="98"/>
      <c r="J17" s="98"/>
      <c r="K17" s="98"/>
      <c r="L17" s="98"/>
      <c r="M17" s="98"/>
      <c r="N17" s="98"/>
      <c r="O17" s="98"/>
      <c r="P17" s="98"/>
      <c r="Q17" s="98"/>
      <c r="R17" s="98"/>
      <c r="S17" s="98"/>
    </row>
    <row r="18" spans="1:26" x14ac:dyDescent="0.25">
      <c r="A18" s="158" t="s">
        <v>51</v>
      </c>
      <c r="B18" s="159"/>
      <c r="C18" s="159"/>
      <c r="D18" s="159"/>
      <c r="E18" s="30"/>
      <c r="F18" s="30"/>
      <c r="G18" s="30"/>
      <c r="H18" s="30"/>
      <c r="I18" s="30"/>
      <c r="J18" s="30"/>
      <c r="K18" s="30"/>
      <c r="L18" s="30"/>
      <c r="M18" s="30"/>
      <c r="N18" s="30"/>
      <c r="O18" s="30"/>
      <c r="P18" s="30"/>
      <c r="Q18" s="30"/>
      <c r="R18" s="30"/>
      <c r="S18" s="30"/>
      <c r="T18" s="30"/>
      <c r="U18" s="30"/>
      <c r="V18" s="30"/>
      <c r="W18" s="30"/>
      <c r="X18" s="30"/>
      <c r="Y18" s="30"/>
      <c r="Z18" s="31"/>
    </row>
    <row r="19" spans="1:26" ht="15.75" thickBot="1" x14ac:dyDescent="0.3">
      <c r="A19" s="32" t="s">
        <v>11</v>
      </c>
      <c r="B19" s="33" t="s">
        <v>36</v>
      </c>
      <c r="C19" s="33" t="s">
        <v>35</v>
      </c>
      <c r="D19" s="33" t="s">
        <v>34</v>
      </c>
      <c r="E19" s="33" t="s">
        <v>33</v>
      </c>
      <c r="F19" s="33" t="s">
        <v>32</v>
      </c>
      <c r="G19" s="33" t="s">
        <v>31</v>
      </c>
      <c r="H19" s="33" t="s">
        <v>30</v>
      </c>
      <c r="I19" s="33" t="s">
        <v>29</v>
      </c>
      <c r="J19" s="33" t="s">
        <v>28</v>
      </c>
      <c r="K19" s="33" t="s">
        <v>27</v>
      </c>
      <c r="L19" s="33" t="s">
        <v>26</v>
      </c>
      <c r="M19" s="33" t="s">
        <v>25</v>
      </c>
      <c r="N19" s="33" t="s">
        <v>24</v>
      </c>
      <c r="O19" s="33" t="s">
        <v>23</v>
      </c>
      <c r="P19" s="33" t="s">
        <v>22</v>
      </c>
      <c r="Q19" s="33" t="s">
        <v>50</v>
      </c>
      <c r="R19" s="33" t="s">
        <v>20</v>
      </c>
      <c r="S19" s="33" t="s">
        <v>19</v>
      </c>
      <c r="T19" s="33" t="s">
        <v>18</v>
      </c>
      <c r="U19" s="33" t="s">
        <v>17</v>
      </c>
      <c r="V19" s="33" t="s">
        <v>16</v>
      </c>
      <c r="W19" s="33" t="s">
        <v>15</v>
      </c>
      <c r="X19" s="33" t="s">
        <v>14</v>
      </c>
      <c r="Y19" s="33" t="s">
        <v>13</v>
      </c>
      <c r="Z19" s="34" t="s">
        <v>12</v>
      </c>
    </row>
    <row r="20" spans="1:26" ht="15.75" thickBot="1" x14ac:dyDescent="0.3"/>
    <row r="21" spans="1:26" ht="15" customHeight="1" thickBot="1" x14ac:dyDescent="0.3">
      <c r="A21" s="157" t="s">
        <v>48</v>
      </c>
      <c r="B21" s="157"/>
      <c r="D21" s="186" t="s">
        <v>54</v>
      </c>
      <c r="E21" s="187"/>
      <c r="F21" s="187"/>
      <c r="G21" s="187"/>
      <c r="H21" s="187"/>
      <c r="I21" s="192">
        <f>3*N1</f>
        <v>63</v>
      </c>
      <c r="J21" s="193"/>
      <c r="K21" s="183" t="s">
        <v>90</v>
      </c>
      <c r="L21" s="184"/>
      <c r="M21" s="184"/>
      <c r="N21" s="184"/>
      <c r="O21" s="184"/>
      <c r="P21" s="184"/>
      <c r="Q21" s="184"/>
      <c r="R21" s="184"/>
      <c r="S21" s="185"/>
    </row>
    <row r="22" spans="1:26" ht="15" customHeight="1" x14ac:dyDescent="0.25">
      <c r="A22" s="157"/>
      <c r="B22" s="157"/>
      <c r="D22" s="188"/>
      <c r="E22" s="189"/>
      <c r="F22" s="189"/>
      <c r="G22" s="189"/>
      <c r="H22" s="189"/>
      <c r="I22" s="194"/>
      <c r="J22" s="195"/>
      <c r="K22" s="198">
        <f>(I21/C14)*100</f>
        <v>0.67669172932330823</v>
      </c>
      <c r="L22" s="199"/>
      <c r="M22" s="199"/>
      <c r="N22" s="199"/>
      <c r="O22" s="199"/>
      <c r="P22" s="199"/>
      <c r="Q22" s="199"/>
      <c r="R22" s="200"/>
      <c r="S22" s="43" t="s">
        <v>93</v>
      </c>
    </row>
    <row r="23" spans="1:26" ht="15.75" customHeight="1" thickBot="1" x14ac:dyDescent="0.3">
      <c r="A23" s="157"/>
      <c r="B23" s="157"/>
      <c r="D23" s="190"/>
      <c r="E23" s="191"/>
      <c r="F23" s="191"/>
      <c r="G23" s="191"/>
      <c r="H23" s="191"/>
      <c r="I23" s="196"/>
      <c r="J23" s="197"/>
      <c r="K23" s="201"/>
      <c r="L23" s="202"/>
      <c r="M23" s="202"/>
      <c r="N23" s="202"/>
      <c r="O23" s="202"/>
      <c r="P23" s="202"/>
      <c r="Q23" s="202"/>
      <c r="R23" s="203"/>
      <c r="S23" s="44">
        <f>(20*C14)/100</f>
        <v>1862</v>
      </c>
    </row>
    <row r="24" spans="1:26" ht="15.75" thickBot="1" x14ac:dyDescent="0.3">
      <c r="A24" s="29" t="s">
        <v>11</v>
      </c>
      <c r="B24" s="28">
        <f>(7.11+0.31+0.03)</f>
        <v>7.45</v>
      </c>
    </row>
    <row r="25" spans="1:26" ht="15" customHeight="1" x14ac:dyDescent="0.25">
      <c r="A25" s="29" t="s">
        <v>12</v>
      </c>
      <c r="B25" s="28">
        <v>1.1399999999999999</v>
      </c>
      <c r="D25" s="151" t="s">
        <v>52</v>
      </c>
      <c r="E25" s="152"/>
      <c r="F25" s="152"/>
      <c r="G25" s="152"/>
      <c r="H25" s="152"/>
      <c r="I25" s="168" t="s">
        <v>101</v>
      </c>
      <c r="J25" s="168"/>
      <c r="K25" s="168"/>
      <c r="L25" s="168"/>
      <c r="M25" s="168"/>
      <c r="N25" s="168"/>
      <c r="O25" s="168"/>
      <c r="P25" s="168"/>
      <c r="Q25" s="168"/>
      <c r="R25" s="168"/>
      <c r="S25" s="169"/>
    </row>
    <row r="26" spans="1:26" ht="15" customHeight="1" x14ac:dyDescent="0.25">
      <c r="A26" s="29" t="s">
        <v>13</v>
      </c>
      <c r="B26" s="28">
        <f>(3.18+0.06)</f>
        <v>3.24</v>
      </c>
      <c r="D26" s="153"/>
      <c r="E26" s="154"/>
      <c r="F26" s="154"/>
      <c r="G26" s="154"/>
      <c r="H26" s="154"/>
      <c r="I26" s="170"/>
      <c r="J26" s="170"/>
      <c r="K26" s="170"/>
      <c r="L26" s="170"/>
      <c r="M26" s="170"/>
      <c r="N26" s="170"/>
      <c r="O26" s="170"/>
      <c r="P26" s="170"/>
      <c r="Q26" s="170"/>
      <c r="R26" s="170"/>
      <c r="S26" s="171"/>
    </row>
    <row r="27" spans="1:26" ht="15.75" customHeight="1" thickBot="1" x14ac:dyDescent="0.3">
      <c r="A27" s="29" t="s">
        <v>14</v>
      </c>
      <c r="B27" s="28">
        <v>3.67</v>
      </c>
      <c r="D27" s="155"/>
      <c r="E27" s="156"/>
      <c r="F27" s="156"/>
      <c r="G27" s="156"/>
      <c r="H27" s="156"/>
      <c r="I27" s="172"/>
      <c r="J27" s="172"/>
      <c r="K27" s="172"/>
      <c r="L27" s="172"/>
      <c r="M27" s="172"/>
      <c r="N27" s="172"/>
      <c r="O27" s="172"/>
      <c r="P27" s="172"/>
      <c r="Q27" s="172"/>
      <c r="R27" s="172"/>
      <c r="S27" s="173"/>
    </row>
    <row r="28" spans="1:26" ht="15.75" thickBot="1" x14ac:dyDescent="0.3">
      <c r="A28" s="29" t="s">
        <v>15</v>
      </c>
      <c r="B28" s="28">
        <f>(12.1+1.94+0.31+0.08+0.01)</f>
        <v>14.44</v>
      </c>
    </row>
    <row r="29" spans="1:26" ht="15" customHeight="1" x14ac:dyDescent="0.25">
      <c r="A29" s="29" t="s">
        <v>16</v>
      </c>
      <c r="B29" s="28">
        <v>1.1100000000000001</v>
      </c>
      <c r="D29" s="114" t="s">
        <v>53</v>
      </c>
      <c r="E29" s="115"/>
      <c r="F29" s="115"/>
      <c r="G29" s="115"/>
      <c r="H29" s="115"/>
      <c r="I29" s="174" t="s">
        <v>99</v>
      </c>
      <c r="J29" s="174"/>
      <c r="K29" s="174"/>
      <c r="L29" s="174"/>
      <c r="M29" s="174"/>
      <c r="N29" s="174"/>
      <c r="O29" s="174"/>
      <c r="P29" s="174"/>
      <c r="Q29" s="174"/>
      <c r="R29" s="174"/>
      <c r="S29" s="175"/>
    </row>
    <row r="30" spans="1:26" ht="15" customHeight="1" x14ac:dyDescent="0.25">
      <c r="A30" s="29" t="s">
        <v>17</v>
      </c>
      <c r="B30" s="28">
        <v>1.23</v>
      </c>
      <c r="D30" s="116"/>
      <c r="E30" s="167"/>
      <c r="F30" s="167"/>
      <c r="G30" s="167"/>
      <c r="H30" s="167"/>
      <c r="I30" s="176"/>
      <c r="J30" s="176"/>
      <c r="K30" s="176"/>
      <c r="L30" s="176"/>
      <c r="M30" s="176"/>
      <c r="N30" s="176"/>
      <c r="O30" s="176"/>
      <c r="P30" s="176"/>
      <c r="Q30" s="176"/>
      <c r="R30" s="176"/>
      <c r="S30" s="177"/>
    </row>
    <row r="31" spans="1:26" ht="15.75" customHeight="1" thickBot="1" x14ac:dyDescent="0.3">
      <c r="A31" s="29" t="s">
        <v>18</v>
      </c>
      <c r="B31" s="28">
        <v>1.1100000000000001</v>
      </c>
      <c r="D31" s="118"/>
      <c r="E31" s="119"/>
      <c r="F31" s="119"/>
      <c r="G31" s="119"/>
      <c r="H31" s="119"/>
      <c r="I31" s="178"/>
      <c r="J31" s="178"/>
      <c r="K31" s="178"/>
      <c r="L31" s="178"/>
      <c r="M31" s="178"/>
      <c r="N31" s="178"/>
      <c r="O31" s="178"/>
      <c r="P31" s="178"/>
      <c r="Q31" s="178"/>
      <c r="R31" s="178"/>
      <c r="S31" s="179"/>
    </row>
    <row r="32" spans="1:26" ht="15.75" thickBot="1" x14ac:dyDescent="0.3">
      <c r="A32" s="29" t="s">
        <v>19</v>
      </c>
      <c r="B32" s="28">
        <f>(6.59+0.03+0.01)</f>
        <v>6.63</v>
      </c>
    </row>
    <row r="33" spans="1:19" ht="15" customHeight="1" x14ac:dyDescent="0.25">
      <c r="A33" s="29" t="s">
        <v>20</v>
      </c>
      <c r="B33" s="28">
        <v>0.34</v>
      </c>
      <c r="D33" s="114" t="s">
        <v>88</v>
      </c>
      <c r="E33" s="115"/>
      <c r="F33" s="115"/>
      <c r="G33" s="115"/>
      <c r="H33" s="115"/>
      <c r="I33" s="180" t="s">
        <v>99</v>
      </c>
      <c r="J33" s="174"/>
      <c r="K33" s="174"/>
      <c r="L33" s="174"/>
      <c r="M33" s="174"/>
      <c r="N33" s="174"/>
      <c r="O33" s="174"/>
      <c r="P33" s="174"/>
      <c r="Q33" s="174"/>
      <c r="R33" s="174"/>
      <c r="S33" s="175"/>
    </row>
    <row r="34" spans="1:19" ht="15" customHeight="1" x14ac:dyDescent="0.25">
      <c r="A34" s="29" t="s">
        <v>21</v>
      </c>
      <c r="B34" s="28">
        <v>0.28999999999999998</v>
      </c>
      <c r="D34" s="116"/>
      <c r="E34" s="167"/>
      <c r="F34" s="167"/>
      <c r="G34" s="167"/>
      <c r="H34" s="167"/>
      <c r="I34" s="181"/>
      <c r="J34" s="176"/>
      <c r="K34" s="176"/>
      <c r="L34" s="176"/>
      <c r="M34" s="176"/>
      <c r="N34" s="176"/>
      <c r="O34" s="176"/>
      <c r="P34" s="176"/>
      <c r="Q34" s="176"/>
      <c r="R34" s="176"/>
      <c r="S34" s="177"/>
    </row>
    <row r="35" spans="1:19" ht="15.75" customHeight="1" thickBot="1" x14ac:dyDescent="0.3">
      <c r="A35" s="29" t="s">
        <v>22</v>
      </c>
      <c r="B35" s="28">
        <v>4.96</v>
      </c>
      <c r="D35" s="118"/>
      <c r="E35" s="119"/>
      <c r="F35" s="119"/>
      <c r="G35" s="119"/>
      <c r="H35" s="119"/>
      <c r="I35" s="182"/>
      <c r="J35" s="178"/>
      <c r="K35" s="178"/>
      <c r="L35" s="178"/>
      <c r="M35" s="178"/>
      <c r="N35" s="178"/>
      <c r="O35" s="178"/>
      <c r="P35" s="178"/>
      <c r="Q35" s="178"/>
      <c r="R35" s="178"/>
      <c r="S35" s="179"/>
    </row>
    <row r="36" spans="1:19" ht="15.75" thickBot="1" x14ac:dyDescent="0.3">
      <c r="A36" s="29" t="s">
        <v>23</v>
      </c>
      <c r="B36" s="28">
        <v>2.62</v>
      </c>
    </row>
    <row r="37" spans="1:19" x14ac:dyDescent="0.25">
      <c r="A37" s="29" t="s">
        <v>24</v>
      </c>
      <c r="B37" s="28">
        <v>6.39</v>
      </c>
      <c r="D37" s="114" t="s">
        <v>92</v>
      </c>
      <c r="E37" s="115"/>
      <c r="F37" s="115"/>
      <c r="G37" s="115"/>
      <c r="H37" s="115"/>
      <c r="I37" s="120">
        <v>100</v>
      </c>
      <c r="J37" s="121"/>
      <c r="K37" s="121"/>
      <c r="L37" s="121"/>
      <c r="M37" s="121"/>
      <c r="N37" s="122"/>
      <c r="O37" s="129" t="s">
        <v>87</v>
      </c>
      <c r="P37" s="129"/>
      <c r="Q37" s="129"/>
      <c r="R37" s="129"/>
      <c r="S37" s="130"/>
    </row>
    <row r="38" spans="1:19" x14ac:dyDescent="0.25">
      <c r="A38" s="29" t="s">
        <v>25</v>
      </c>
      <c r="B38" s="28">
        <f>(5.02+0.04)</f>
        <v>5.0599999999999996</v>
      </c>
      <c r="D38" s="116"/>
      <c r="E38" s="117"/>
      <c r="F38" s="117"/>
      <c r="G38" s="117"/>
      <c r="H38" s="117"/>
      <c r="I38" s="123"/>
      <c r="J38" s="124"/>
      <c r="K38" s="124"/>
      <c r="L38" s="124"/>
      <c r="M38" s="124"/>
      <c r="N38" s="125"/>
      <c r="O38" s="131"/>
      <c r="P38" s="131"/>
      <c r="Q38" s="131"/>
      <c r="R38" s="131"/>
      <c r="S38" s="132"/>
    </row>
    <row r="39" spans="1:19" ht="15.75" thickBot="1" x14ac:dyDescent="0.3">
      <c r="A39" s="29" t="s">
        <v>26</v>
      </c>
      <c r="B39" s="28">
        <v>2.4900000000000002</v>
      </c>
      <c r="D39" s="118"/>
      <c r="E39" s="119"/>
      <c r="F39" s="119"/>
      <c r="G39" s="119"/>
      <c r="H39" s="119"/>
      <c r="I39" s="126"/>
      <c r="J39" s="127"/>
      <c r="K39" s="127"/>
      <c r="L39" s="127"/>
      <c r="M39" s="127"/>
      <c r="N39" s="128"/>
      <c r="O39" s="133"/>
      <c r="P39" s="133"/>
      <c r="Q39" s="133"/>
      <c r="R39" s="133"/>
      <c r="S39" s="134"/>
    </row>
    <row r="40" spans="1:19" ht="15.75" thickBot="1" x14ac:dyDescent="0.3">
      <c r="A40" s="29" t="s">
        <v>27</v>
      </c>
      <c r="B40" s="28">
        <v>0.65</v>
      </c>
    </row>
    <row r="41" spans="1:19" x14ac:dyDescent="0.25">
      <c r="A41" s="29" t="s">
        <v>28</v>
      </c>
      <c r="B41" s="28">
        <v>6.07</v>
      </c>
      <c r="D41" s="114" t="s">
        <v>89</v>
      </c>
      <c r="E41" s="115"/>
      <c r="F41" s="115"/>
      <c r="G41" s="115"/>
      <c r="H41" s="115"/>
      <c r="I41" s="38" t="s">
        <v>12</v>
      </c>
      <c r="J41" s="46">
        <v>100</v>
      </c>
    </row>
    <row r="42" spans="1:19" x14ac:dyDescent="0.25">
      <c r="A42" s="29" t="s">
        <v>29</v>
      </c>
      <c r="B42" s="28">
        <v>6.51</v>
      </c>
      <c r="D42" s="116"/>
      <c r="E42" s="117"/>
      <c r="F42" s="117"/>
      <c r="G42" s="117"/>
      <c r="H42" s="117"/>
      <c r="I42" s="39" t="s">
        <v>25</v>
      </c>
      <c r="J42" s="47">
        <v>100</v>
      </c>
    </row>
    <row r="43" spans="1:19" ht="15.75" thickBot="1" x14ac:dyDescent="0.3">
      <c r="A43" s="29" t="s">
        <v>30</v>
      </c>
      <c r="B43" s="28">
        <v>5.92</v>
      </c>
      <c r="D43" s="118"/>
      <c r="E43" s="119"/>
      <c r="F43" s="119"/>
      <c r="G43" s="119"/>
      <c r="H43" s="119"/>
      <c r="I43" s="39" t="s">
        <v>24</v>
      </c>
      <c r="J43" s="47">
        <v>100</v>
      </c>
    </row>
    <row r="44" spans="1:19" x14ac:dyDescent="0.25">
      <c r="A44" s="29" t="s">
        <v>31</v>
      </c>
      <c r="B44" s="28">
        <f>(4.49+0.02+0.02+0.01)</f>
        <v>4.5399999999999991</v>
      </c>
      <c r="I44" s="39" t="s">
        <v>20</v>
      </c>
      <c r="J44" s="47">
        <v>100</v>
      </c>
    </row>
    <row r="45" spans="1:19" x14ac:dyDescent="0.25">
      <c r="A45" s="29" t="s">
        <v>32</v>
      </c>
      <c r="B45" s="28">
        <v>1.1100000000000001</v>
      </c>
      <c r="I45" s="39" t="s">
        <v>25</v>
      </c>
      <c r="J45" s="47">
        <v>100</v>
      </c>
    </row>
    <row r="46" spans="1:19" x14ac:dyDescent="0.25">
      <c r="A46" s="29" t="s">
        <v>33</v>
      </c>
      <c r="B46" s="28">
        <v>0.17</v>
      </c>
      <c r="I46" s="39" t="s">
        <v>31</v>
      </c>
      <c r="J46" s="47">
        <v>100</v>
      </c>
    </row>
    <row r="47" spans="1:19" x14ac:dyDescent="0.25">
      <c r="A47" s="29" t="s">
        <v>34</v>
      </c>
      <c r="B47" s="28">
        <v>0.38</v>
      </c>
      <c r="I47" s="39" t="s">
        <v>28</v>
      </c>
      <c r="J47" s="47">
        <v>100</v>
      </c>
    </row>
    <row r="48" spans="1:19" x14ac:dyDescent="0.25">
      <c r="A48" s="29" t="s">
        <v>35</v>
      </c>
      <c r="B48" s="28">
        <v>0.46</v>
      </c>
      <c r="I48" s="39" t="s">
        <v>29</v>
      </c>
      <c r="J48" s="47">
        <v>100</v>
      </c>
    </row>
    <row r="49" spans="1:10" x14ac:dyDescent="0.25">
      <c r="A49" s="28" t="s">
        <v>36</v>
      </c>
      <c r="B49" s="28">
        <v>0.15</v>
      </c>
      <c r="I49" s="39" t="s">
        <v>11</v>
      </c>
      <c r="J49" s="47">
        <v>100</v>
      </c>
    </row>
    <row r="50" spans="1:10" x14ac:dyDescent="0.25">
      <c r="I50" s="39" t="s">
        <v>22</v>
      </c>
      <c r="J50" s="47">
        <v>100</v>
      </c>
    </row>
    <row r="51" spans="1:10" x14ac:dyDescent="0.25">
      <c r="I51" s="39" t="s">
        <v>31</v>
      </c>
      <c r="J51" s="47">
        <v>100</v>
      </c>
    </row>
    <row r="52" spans="1:10" x14ac:dyDescent="0.25">
      <c r="I52" s="39" t="s">
        <v>30</v>
      </c>
      <c r="J52" s="47">
        <v>100</v>
      </c>
    </row>
    <row r="53" spans="1:10" x14ac:dyDescent="0.25">
      <c r="I53" s="39" t="s">
        <v>30</v>
      </c>
      <c r="J53" s="47">
        <v>100</v>
      </c>
    </row>
    <row r="54" spans="1:10" x14ac:dyDescent="0.25">
      <c r="I54" s="39" t="s">
        <v>31</v>
      </c>
      <c r="J54" s="47">
        <v>100</v>
      </c>
    </row>
    <row r="55" spans="1:10" x14ac:dyDescent="0.25">
      <c r="I55" s="39" t="s">
        <v>32</v>
      </c>
      <c r="J55" s="47">
        <v>100</v>
      </c>
    </row>
    <row r="56" spans="1:10" x14ac:dyDescent="0.25">
      <c r="I56" s="39" t="s">
        <v>11</v>
      </c>
      <c r="J56" s="47">
        <v>100</v>
      </c>
    </row>
    <row r="57" spans="1:10" x14ac:dyDescent="0.25">
      <c r="I57" s="39" t="s">
        <v>29</v>
      </c>
      <c r="J57" s="47">
        <v>100</v>
      </c>
    </row>
    <row r="58" spans="1:10" x14ac:dyDescent="0.25">
      <c r="I58" s="39" t="s">
        <v>12</v>
      </c>
      <c r="J58" s="47">
        <v>100</v>
      </c>
    </row>
    <row r="59" spans="1:10" x14ac:dyDescent="0.25">
      <c r="I59" s="39" t="s">
        <v>19</v>
      </c>
      <c r="J59" s="47">
        <v>100</v>
      </c>
    </row>
    <row r="60" spans="1:10" x14ac:dyDescent="0.25">
      <c r="I60" s="39" t="s">
        <v>15</v>
      </c>
      <c r="J60" s="47">
        <v>100</v>
      </c>
    </row>
    <row r="61" spans="1:10" x14ac:dyDescent="0.25">
      <c r="I61" s="39" t="s">
        <v>24</v>
      </c>
      <c r="J61" s="47">
        <v>100</v>
      </c>
    </row>
    <row r="62" spans="1:10" x14ac:dyDescent="0.25">
      <c r="I62" s="39"/>
      <c r="J62" s="47"/>
    </row>
    <row r="63" spans="1:10" x14ac:dyDescent="0.25">
      <c r="I63" s="39"/>
      <c r="J63" s="47"/>
    </row>
    <row r="64" spans="1:10" x14ac:dyDescent="0.25">
      <c r="I64" s="39"/>
      <c r="J64" s="47"/>
    </row>
    <row r="65" spans="9:10" x14ac:dyDescent="0.25">
      <c r="I65" s="39"/>
      <c r="J65" s="47"/>
    </row>
    <row r="66" spans="9:10" x14ac:dyDescent="0.25">
      <c r="I66" s="39"/>
      <c r="J66" s="47"/>
    </row>
    <row r="67" spans="9:10" x14ac:dyDescent="0.25">
      <c r="I67" s="39"/>
      <c r="J67" s="47"/>
    </row>
    <row r="68" spans="9:10" x14ac:dyDescent="0.25">
      <c r="I68" s="39"/>
      <c r="J68" s="47"/>
    </row>
    <row r="69" spans="9:10" x14ac:dyDescent="0.25">
      <c r="I69" s="39"/>
      <c r="J69" s="47"/>
    </row>
    <row r="70" spans="9:10" x14ac:dyDescent="0.25">
      <c r="I70" s="39"/>
      <c r="J70" s="47"/>
    </row>
    <row r="71" spans="9:10" x14ac:dyDescent="0.25">
      <c r="I71" s="39"/>
      <c r="J71" s="47"/>
    </row>
    <row r="72" spans="9:10" x14ac:dyDescent="0.25">
      <c r="I72" s="39"/>
      <c r="J72" s="47"/>
    </row>
    <row r="73" spans="9:10" x14ac:dyDescent="0.25">
      <c r="I73" s="39"/>
      <c r="J73" s="47"/>
    </row>
    <row r="74" spans="9:10" x14ac:dyDescent="0.25">
      <c r="I74" s="39"/>
      <c r="J74" s="47"/>
    </row>
    <row r="75" spans="9:10" x14ac:dyDescent="0.25">
      <c r="I75" s="39"/>
      <c r="J75" s="47"/>
    </row>
    <row r="76" spans="9:10" x14ac:dyDescent="0.25">
      <c r="I76" s="39"/>
      <c r="J76" s="47"/>
    </row>
    <row r="77" spans="9:10" x14ac:dyDescent="0.25">
      <c r="I77" s="39"/>
      <c r="J77" s="47"/>
    </row>
    <row r="78" spans="9:10" x14ac:dyDescent="0.25">
      <c r="I78" s="39"/>
      <c r="J78" s="47"/>
    </row>
    <row r="79" spans="9:10" x14ac:dyDescent="0.25">
      <c r="I79" s="39"/>
      <c r="J79" s="47"/>
    </row>
    <row r="80" spans="9:10" x14ac:dyDescent="0.25">
      <c r="I80" s="39"/>
      <c r="J80" s="47"/>
    </row>
    <row r="81" spans="9:10" x14ac:dyDescent="0.25">
      <c r="I81" s="39"/>
      <c r="J81" s="47"/>
    </row>
    <row r="82" spans="9:10" x14ac:dyDescent="0.25">
      <c r="I82" s="39"/>
      <c r="J82" s="47"/>
    </row>
    <row r="83" spans="9:10" x14ac:dyDescent="0.25">
      <c r="I83" s="39"/>
      <c r="J83" s="47"/>
    </row>
    <row r="84" spans="9:10" x14ac:dyDescent="0.25">
      <c r="I84" s="39"/>
      <c r="J84" s="47"/>
    </row>
    <row r="85" spans="9:10" x14ac:dyDescent="0.25">
      <c r="I85" s="39"/>
      <c r="J85" s="47"/>
    </row>
    <row r="86" spans="9:10" x14ac:dyDescent="0.25">
      <c r="I86" s="39"/>
      <c r="J86" s="47"/>
    </row>
    <row r="87" spans="9:10" x14ac:dyDescent="0.25">
      <c r="I87" s="39"/>
      <c r="J87" s="47"/>
    </row>
    <row r="88" spans="9:10" x14ac:dyDescent="0.25">
      <c r="I88" s="39"/>
      <c r="J88" s="47"/>
    </row>
    <row r="89" spans="9:10" x14ac:dyDescent="0.25">
      <c r="I89" s="39"/>
      <c r="J89" s="47"/>
    </row>
    <row r="90" spans="9:10" x14ac:dyDescent="0.25">
      <c r="I90" s="39"/>
      <c r="J90" s="47"/>
    </row>
    <row r="91" spans="9:10" x14ac:dyDescent="0.25">
      <c r="I91" s="39"/>
      <c r="J91" s="47"/>
    </row>
    <row r="92" spans="9:10" x14ac:dyDescent="0.25">
      <c r="I92" s="39"/>
      <c r="J92" s="47"/>
    </row>
    <row r="93" spans="9:10" x14ac:dyDescent="0.25">
      <c r="I93" s="39"/>
      <c r="J93" s="47"/>
    </row>
    <row r="94" spans="9:10" x14ac:dyDescent="0.25">
      <c r="I94" s="39"/>
      <c r="J94" s="47"/>
    </row>
    <row r="95" spans="9:10" x14ac:dyDescent="0.25">
      <c r="I95" s="39"/>
      <c r="J95" s="47"/>
    </row>
    <row r="96" spans="9:10" x14ac:dyDescent="0.25">
      <c r="I96" s="39"/>
      <c r="J96" s="47"/>
    </row>
    <row r="97" spans="9:10" x14ac:dyDescent="0.25">
      <c r="I97" s="39"/>
      <c r="J97" s="47"/>
    </row>
    <row r="98" spans="9:10" x14ac:dyDescent="0.25">
      <c r="I98" s="39"/>
      <c r="J98" s="47"/>
    </row>
    <row r="99" spans="9:10" x14ac:dyDescent="0.25">
      <c r="I99" s="39"/>
      <c r="J99" s="47"/>
    </row>
    <row r="100" spans="9:10" x14ac:dyDescent="0.25">
      <c r="I100" s="39"/>
      <c r="J100" s="47"/>
    </row>
    <row r="101" spans="9:10" x14ac:dyDescent="0.25">
      <c r="I101" s="39"/>
      <c r="J101" s="47"/>
    </row>
    <row r="102" spans="9:10" x14ac:dyDescent="0.25">
      <c r="I102" s="39"/>
      <c r="J102" s="47"/>
    </row>
    <row r="103" spans="9:10" x14ac:dyDescent="0.25">
      <c r="I103" s="39"/>
      <c r="J103" s="47"/>
    </row>
    <row r="104" spans="9:10" x14ac:dyDescent="0.25">
      <c r="I104" s="39"/>
      <c r="J104" s="47"/>
    </row>
    <row r="105" spans="9:10" x14ac:dyDescent="0.25">
      <c r="I105" s="39"/>
      <c r="J105" s="47"/>
    </row>
    <row r="106" spans="9:10" x14ac:dyDescent="0.25">
      <c r="I106" s="39"/>
      <c r="J106" s="47"/>
    </row>
    <row r="107" spans="9:10" x14ac:dyDescent="0.25">
      <c r="I107" s="39"/>
      <c r="J107" s="47"/>
    </row>
    <row r="108" spans="9:10" x14ac:dyDescent="0.25">
      <c r="I108" s="39"/>
      <c r="J108" s="47"/>
    </row>
    <row r="109" spans="9:10" x14ac:dyDescent="0.25">
      <c r="I109" s="39"/>
      <c r="J109" s="47"/>
    </row>
    <row r="110" spans="9:10" x14ac:dyDescent="0.25">
      <c r="I110" s="39"/>
      <c r="J110" s="47"/>
    </row>
    <row r="111" spans="9:10" x14ac:dyDescent="0.25">
      <c r="I111" s="39"/>
      <c r="J111" s="47"/>
    </row>
    <row r="112" spans="9:10" x14ac:dyDescent="0.25">
      <c r="I112" s="39"/>
      <c r="J112" s="47"/>
    </row>
    <row r="113" spans="9:10" x14ac:dyDescent="0.25">
      <c r="I113" s="39"/>
      <c r="J113" s="47"/>
    </row>
    <row r="114" spans="9:10" x14ac:dyDescent="0.25">
      <c r="I114" s="39"/>
      <c r="J114" s="47"/>
    </row>
    <row r="115" spans="9:10" x14ac:dyDescent="0.25">
      <c r="I115" s="39"/>
      <c r="J115" s="47"/>
    </row>
    <row r="116" spans="9:10" x14ac:dyDescent="0.25">
      <c r="I116" s="39"/>
      <c r="J116" s="47"/>
    </row>
    <row r="117" spans="9:10" x14ac:dyDescent="0.25">
      <c r="I117" s="39"/>
      <c r="J117" s="47"/>
    </row>
    <row r="118" spans="9:10" x14ac:dyDescent="0.25">
      <c r="I118" s="39"/>
      <c r="J118" s="47"/>
    </row>
    <row r="119" spans="9:10" x14ac:dyDescent="0.25">
      <c r="I119" s="39"/>
      <c r="J119" s="47"/>
    </row>
    <row r="120" spans="9:10" x14ac:dyDescent="0.25">
      <c r="I120" s="39"/>
      <c r="J120" s="47"/>
    </row>
    <row r="121" spans="9:10" x14ac:dyDescent="0.25">
      <c r="I121" s="39"/>
      <c r="J121" s="47"/>
    </row>
    <row r="122" spans="9:10" x14ac:dyDescent="0.25">
      <c r="I122" s="39"/>
      <c r="J122" s="47"/>
    </row>
    <row r="123" spans="9:10" x14ac:dyDescent="0.25">
      <c r="I123" s="39"/>
      <c r="J123" s="47"/>
    </row>
    <row r="124" spans="9:10" x14ac:dyDescent="0.25">
      <c r="I124" s="39"/>
      <c r="J124" s="47"/>
    </row>
    <row r="125" spans="9:10" x14ac:dyDescent="0.25">
      <c r="I125" s="39"/>
      <c r="J125" s="47"/>
    </row>
    <row r="126" spans="9:10" x14ac:dyDescent="0.25">
      <c r="I126" s="39"/>
      <c r="J126" s="47"/>
    </row>
    <row r="127" spans="9:10" x14ac:dyDescent="0.25">
      <c r="I127" s="39"/>
      <c r="J127" s="47"/>
    </row>
    <row r="128" spans="9:10" x14ac:dyDescent="0.25">
      <c r="I128" s="39"/>
      <c r="J128" s="47"/>
    </row>
    <row r="129" spans="9:10" x14ac:dyDescent="0.25">
      <c r="I129" s="39"/>
      <c r="J129" s="47"/>
    </row>
    <row r="130" spans="9:10" x14ac:dyDescent="0.25">
      <c r="I130" s="39"/>
      <c r="J130" s="47"/>
    </row>
    <row r="131" spans="9:10" x14ac:dyDescent="0.25">
      <c r="I131" s="39"/>
      <c r="J131" s="47"/>
    </row>
    <row r="132" spans="9:10" x14ac:dyDescent="0.25">
      <c r="I132" s="39"/>
      <c r="J132" s="47"/>
    </row>
    <row r="133" spans="9:10" x14ac:dyDescent="0.25">
      <c r="I133" s="39"/>
      <c r="J133" s="47"/>
    </row>
    <row r="134" spans="9:10" x14ac:dyDescent="0.25">
      <c r="I134" s="39"/>
      <c r="J134" s="47"/>
    </row>
    <row r="135" spans="9:10" x14ac:dyDescent="0.25">
      <c r="I135" s="39"/>
      <c r="J135" s="47"/>
    </row>
    <row r="136" spans="9:10" x14ac:dyDescent="0.25">
      <c r="I136" s="39"/>
      <c r="J136" s="47"/>
    </row>
    <row r="137" spans="9:10" x14ac:dyDescent="0.25">
      <c r="I137" s="39"/>
      <c r="J137" s="47"/>
    </row>
    <row r="138" spans="9:10" x14ac:dyDescent="0.25">
      <c r="I138" s="39"/>
      <c r="J138" s="47"/>
    </row>
    <row r="139" spans="9:10" x14ac:dyDescent="0.25">
      <c r="I139" s="39"/>
      <c r="J139" s="47"/>
    </row>
    <row r="140" spans="9:10" x14ac:dyDescent="0.25">
      <c r="I140" s="39"/>
      <c r="J140" s="47"/>
    </row>
    <row r="141" spans="9:10" x14ac:dyDescent="0.25">
      <c r="I141" s="39"/>
      <c r="J141" s="47"/>
    </row>
    <row r="142" spans="9:10" x14ac:dyDescent="0.25">
      <c r="I142" s="39"/>
      <c r="J142" s="47"/>
    </row>
    <row r="143" spans="9:10" x14ac:dyDescent="0.25">
      <c r="I143" s="39"/>
      <c r="J143" s="47"/>
    </row>
    <row r="144" spans="9:10" x14ac:dyDescent="0.25">
      <c r="I144" s="39"/>
      <c r="J144" s="47"/>
    </row>
    <row r="145" spans="9:10" x14ac:dyDescent="0.25">
      <c r="I145" s="39"/>
      <c r="J145" s="47"/>
    </row>
    <row r="146" spans="9:10" x14ac:dyDescent="0.25">
      <c r="I146" s="39"/>
      <c r="J146" s="47"/>
    </row>
    <row r="147" spans="9:10" x14ac:dyDescent="0.25">
      <c r="I147" s="39"/>
      <c r="J147" s="47"/>
    </row>
    <row r="148" spans="9:10" x14ac:dyDescent="0.25">
      <c r="I148" s="39"/>
      <c r="J148" s="47"/>
    </row>
    <row r="149" spans="9:10" x14ac:dyDescent="0.25">
      <c r="I149" s="39"/>
      <c r="J149" s="47"/>
    </row>
    <row r="150" spans="9:10" x14ac:dyDescent="0.25">
      <c r="I150" s="39"/>
      <c r="J150" s="47"/>
    </row>
    <row r="151" spans="9:10" x14ac:dyDescent="0.25">
      <c r="I151" s="39"/>
      <c r="J151" s="47"/>
    </row>
    <row r="152" spans="9:10" x14ac:dyDescent="0.25">
      <c r="I152" s="39"/>
      <c r="J152" s="47"/>
    </row>
    <row r="153" spans="9:10" x14ac:dyDescent="0.25">
      <c r="I153" s="39"/>
      <c r="J153" s="47"/>
    </row>
    <row r="154" spans="9:10" x14ac:dyDescent="0.25">
      <c r="I154" s="39"/>
      <c r="J154" s="47"/>
    </row>
    <row r="155" spans="9:10" x14ac:dyDescent="0.25">
      <c r="I155" s="39"/>
      <c r="J155" s="47"/>
    </row>
    <row r="156" spans="9:10" x14ac:dyDescent="0.25">
      <c r="I156" s="39"/>
      <c r="J156" s="47"/>
    </row>
    <row r="157" spans="9:10" x14ac:dyDescent="0.25">
      <c r="I157" s="39"/>
      <c r="J157" s="47"/>
    </row>
    <row r="158" spans="9:10" x14ac:dyDescent="0.25">
      <c r="I158" s="39"/>
      <c r="J158" s="47"/>
    </row>
    <row r="159" spans="9:10" x14ac:dyDescent="0.25">
      <c r="I159" s="39"/>
      <c r="J159" s="47"/>
    </row>
    <row r="160" spans="9:10" x14ac:dyDescent="0.25">
      <c r="I160" s="39"/>
      <c r="J160" s="47"/>
    </row>
    <row r="161" spans="9:10" x14ac:dyDescent="0.25">
      <c r="I161" s="39"/>
      <c r="J161" s="47"/>
    </row>
    <row r="162" spans="9:10" x14ac:dyDescent="0.25">
      <c r="I162" s="39"/>
      <c r="J162" s="47"/>
    </row>
    <row r="163" spans="9:10" x14ac:dyDescent="0.25">
      <c r="I163" s="39"/>
      <c r="J163" s="47"/>
    </row>
    <row r="164" spans="9:10" x14ac:dyDescent="0.25">
      <c r="I164" s="39"/>
      <c r="J164" s="47"/>
    </row>
    <row r="165" spans="9:10" x14ac:dyDescent="0.25">
      <c r="I165" s="39"/>
      <c r="J165" s="47"/>
    </row>
    <row r="166" spans="9:10" x14ac:dyDescent="0.25">
      <c r="I166" s="39"/>
      <c r="J166" s="47"/>
    </row>
    <row r="167" spans="9:10" x14ac:dyDescent="0.25">
      <c r="I167" s="39"/>
      <c r="J167" s="47"/>
    </row>
    <row r="168" spans="9:10" x14ac:dyDescent="0.25">
      <c r="I168" s="39"/>
      <c r="J168" s="47"/>
    </row>
    <row r="169" spans="9:10" x14ac:dyDescent="0.25">
      <c r="I169" s="39"/>
      <c r="J169" s="47"/>
    </row>
    <row r="170" spans="9:10" x14ac:dyDescent="0.25">
      <c r="I170" s="39"/>
      <c r="J170" s="47"/>
    </row>
    <row r="171" spans="9:10" x14ac:dyDescent="0.25">
      <c r="I171" s="39"/>
      <c r="J171" s="47"/>
    </row>
    <row r="172" spans="9:10" x14ac:dyDescent="0.25">
      <c r="I172" s="39"/>
      <c r="J172" s="47"/>
    </row>
    <row r="173" spans="9:10" x14ac:dyDescent="0.25">
      <c r="I173" s="39"/>
      <c r="J173" s="47"/>
    </row>
    <row r="174" spans="9:10" x14ac:dyDescent="0.25">
      <c r="I174" s="39"/>
      <c r="J174" s="47"/>
    </row>
    <row r="175" spans="9:10" x14ac:dyDescent="0.25">
      <c r="I175" s="39"/>
      <c r="J175" s="47"/>
    </row>
    <row r="176" spans="9:10" x14ac:dyDescent="0.25">
      <c r="I176" s="39"/>
      <c r="J176" s="47"/>
    </row>
    <row r="177" spans="9:10" x14ac:dyDescent="0.25">
      <c r="I177" s="39"/>
      <c r="J177" s="47"/>
    </row>
    <row r="178" spans="9:10" x14ac:dyDescent="0.25">
      <c r="I178" s="39"/>
      <c r="J178" s="47"/>
    </row>
    <row r="179" spans="9:10" x14ac:dyDescent="0.25">
      <c r="I179" s="39"/>
      <c r="J179" s="47"/>
    </row>
    <row r="180" spans="9:10" x14ac:dyDescent="0.25">
      <c r="I180" s="39"/>
      <c r="J180" s="47"/>
    </row>
    <row r="181" spans="9:10" x14ac:dyDescent="0.25">
      <c r="I181" s="39"/>
      <c r="J181" s="47"/>
    </row>
    <row r="182" spans="9:10" x14ac:dyDescent="0.25">
      <c r="I182" s="39"/>
      <c r="J182" s="47"/>
    </row>
    <row r="183" spans="9:10" x14ac:dyDescent="0.25">
      <c r="I183" s="39"/>
      <c r="J183" s="47"/>
    </row>
    <row r="184" spans="9:10" x14ac:dyDescent="0.25">
      <c r="I184" s="39"/>
      <c r="J184" s="47"/>
    </row>
    <row r="185" spans="9:10" x14ac:dyDescent="0.25">
      <c r="I185" s="39"/>
      <c r="J185" s="47"/>
    </row>
    <row r="186" spans="9:10" x14ac:dyDescent="0.25">
      <c r="I186" s="39"/>
      <c r="J186" s="47"/>
    </row>
    <row r="187" spans="9:10" x14ac:dyDescent="0.25">
      <c r="I187" s="39"/>
      <c r="J187" s="47"/>
    </row>
    <row r="188" spans="9:10" x14ac:dyDescent="0.25">
      <c r="I188" s="39"/>
      <c r="J188" s="47"/>
    </row>
    <row r="189" spans="9:10" x14ac:dyDescent="0.25">
      <c r="I189" s="39"/>
      <c r="J189" s="47"/>
    </row>
    <row r="190" spans="9:10" x14ac:dyDescent="0.25">
      <c r="I190" s="39"/>
      <c r="J190" s="47"/>
    </row>
    <row r="191" spans="9:10" x14ac:dyDescent="0.25">
      <c r="I191" s="39"/>
      <c r="J191" s="47"/>
    </row>
    <row r="192" spans="9:10" x14ac:dyDescent="0.25">
      <c r="I192" s="39"/>
      <c r="J192" s="47"/>
    </row>
    <row r="193" spans="9:10" x14ac:dyDescent="0.25">
      <c r="I193" s="39"/>
      <c r="J193" s="47"/>
    </row>
    <row r="194" spans="9:10" x14ac:dyDescent="0.25">
      <c r="I194" s="39"/>
      <c r="J194" s="47"/>
    </row>
    <row r="195" spans="9:10" x14ac:dyDescent="0.25">
      <c r="I195" s="39"/>
      <c r="J195" s="47"/>
    </row>
    <row r="196" spans="9:10" x14ac:dyDescent="0.25">
      <c r="I196" s="39"/>
      <c r="J196" s="47"/>
    </row>
    <row r="197" spans="9:10" x14ac:dyDescent="0.25">
      <c r="I197" s="39"/>
      <c r="J197" s="47"/>
    </row>
    <row r="198" spans="9:10" x14ac:dyDescent="0.25">
      <c r="I198" s="39"/>
      <c r="J198" s="47"/>
    </row>
    <row r="199" spans="9:10" x14ac:dyDescent="0.25">
      <c r="I199" s="39"/>
      <c r="J199" s="47"/>
    </row>
    <row r="200" spans="9:10" x14ac:dyDescent="0.25">
      <c r="I200" s="39"/>
      <c r="J200" s="47"/>
    </row>
    <row r="201" spans="9:10" x14ac:dyDescent="0.25">
      <c r="I201" s="39"/>
      <c r="J201" s="47"/>
    </row>
    <row r="202" spans="9:10" x14ac:dyDescent="0.25">
      <c r="I202" s="39"/>
      <c r="J202" s="47"/>
    </row>
    <row r="203" spans="9:10" x14ac:dyDescent="0.25">
      <c r="I203" s="39"/>
      <c r="J203" s="47"/>
    </row>
    <row r="204" spans="9:10" x14ac:dyDescent="0.25">
      <c r="I204" s="39"/>
      <c r="J204" s="47"/>
    </row>
    <row r="205" spans="9:10" x14ac:dyDescent="0.25">
      <c r="I205" s="39"/>
      <c r="J205" s="47"/>
    </row>
    <row r="206" spans="9:10" x14ac:dyDescent="0.25">
      <c r="I206" s="39"/>
      <c r="J206" s="47"/>
    </row>
    <row r="207" spans="9:10" x14ac:dyDescent="0.25">
      <c r="I207" s="39"/>
      <c r="J207" s="47"/>
    </row>
    <row r="208" spans="9:10" x14ac:dyDescent="0.25">
      <c r="I208" s="39"/>
      <c r="J208" s="47"/>
    </row>
    <row r="209" spans="9:10" x14ac:dyDescent="0.25">
      <c r="I209" s="39"/>
      <c r="J209" s="47"/>
    </row>
    <row r="210" spans="9:10" x14ac:dyDescent="0.25">
      <c r="I210" s="39"/>
      <c r="J210" s="47"/>
    </row>
    <row r="211" spans="9:10" x14ac:dyDescent="0.25">
      <c r="I211" s="39"/>
      <c r="J211" s="47"/>
    </row>
    <row r="212" spans="9:10" x14ac:dyDescent="0.25">
      <c r="I212" s="39"/>
      <c r="J212" s="47"/>
    </row>
    <row r="213" spans="9:10" x14ac:dyDescent="0.25">
      <c r="I213" s="39"/>
      <c r="J213" s="47"/>
    </row>
    <row r="214" spans="9:10" x14ac:dyDescent="0.25">
      <c r="I214" s="39"/>
      <c r="J214" s="47"/>
    </row>
    <row r="215" spans="9:10" x14ac:dyDescent="0.25">
      <c r="I215" s="39"/>
      <c r="J215" s="47"/>
    </row>
    <row r="216" spans="9:10" x14ac:dyDescent="0.25">
      <c r="I216" s="39"/>
      <c r="J216" s="47"/>
    </row>
    <row r="217" spans="9:10" x14ac:dyDescent="0.25">
      <c r="I217" s="39"/>
      <c r="J217" s="47"/>
    </row>
    <row r="218" spans="9:10" x14ac:dyDescent="0.25">
      <c r="I218" s="39"/>
      <c r="J218" s="47"/>
    </row>
    <row r="219" spans="9:10" x14ac:dyDescent="0.25">
      <c r="I219" s="39"/>
      <c r="J219" s="47"/>
    </row>
    <row r="220" spans="9:10" x14ac:dyDescent="0.25">
      <c r="I220" s="39"/>
      <c r="J220" s="47"/>
    </row>
    <row r="221" spans="9:10" x14ac:dyDescent="0.25">
      <c r="I221" s="39"/>
      <c r="J221" s="47"/>
    </row>
    <row r="222" spans="9:10" x14ac:dyDescent="0.25">
      <c r="I222" s="39"/>
      <c r="J222" s="47"/>
    </row>
    <row r="223" spans="9:10" x14ac:dyDescent="0.25">
      <c r="I223" s="39"/>
      <c r="J223" s="47"/>
    </row>
    <row r="224" spans="9:10" x14ac:dyDescent="0.25">
      <c r="I224" s="39"/>
      <c r="J224" s="47"/>
    </row>
    <row r="225" spans="9:10" x14ac:dyDescent="0.25">
      <c r="I225" s="39"/>
      <c r="J225" s="47"/>
    </row>
    <row r="226" spans="9:10" x14ac:dyDescent="0.25">
      <c r="I226" s="39"/>
      <c r="J226" s="47"/>
    </row>
    <row r="227" spans="9:10" x14ac:dyDescent="0.25">
      <c r="I227" s="39"/>
      <c r="J227" s="47"/>
    </row>
    <row r="228" spans="9:10" x14ac:dyDescent="0.25">
      <c r="I228" s="39"/>
      <c r="J228" s="47"/>
    </row>
    <row r="229" spans="9:10" x14ac:dyDescent="0.25">
      <c r="I229" s="39"/>
      <c r="J229" s="47"/>
    </row>
    <row r="230" spans="9:10" x14ac:dyDescent="0.25">
      <c r="I230" s="39"/>
      <c r="J230" s="47"/>
    </row>
    <row r="231" spans="9:10" x14ac:dyDescent="0.25">
      <c r="I231" s="39"/>
      <c r="J231" s="47"/>
    </row>
    <row r="232" spans="9:10" x14ac:dyDescent="0.25">
      <c r="I232" s="39"/>
      <c r="J232" s="47"/>
    </row>
    <row r="233" spans="9:10" x14ac:dyDescent="0.25">
      <c r="I233" s="39"/>
      <c r="J233" s="47"/>
    </row>
    <row r="234" spans="9:10" x14ac:dyDescent="0.25">
      <c r="I234" s="39"/>
      <c r="J234" s="47"/>
    </row>
    <row r="235" spans="9:10" x14ac:dyDescent="0.25">
      <c r="I235" s="39"/>
      <c r="J235" s="47"/>
    </row>
    <row r="236" spans="9:10" x14ac:dyDescent="0.25">
      <c r="I236" s="39"/>
      <c r="J236" s="47"/>
    </row>
    <row r="237" spans="9:10" x14ac:dyDescent="0.25">
      <c r="I237" s="39"/>
      <c r="J237" s="47"/>
    </row>
    <row r="238" spans="9:10" x14ac:dyDescent="0.25">
      <c r="I238" s="39"/>
      <c r="J238" s="47"/>
    </row>
    <row r="239" spans="9:10" x14ac:dyDescent="0.25">
      <c r="I239" s="39"/>
      <c r="J239" s="47"/>
    </row>
    <row r="240" spans="9:10" x14ac:dyDescent="0.25">
      <c r="I240" s="39"/>
      <c r="J240" s="47"/>
    </row>
    <row r="241" spans="9:10" x14ac:dyDescent="0.25">
      <c r="I241" s="39"/>
      <c r="J241" s="47"/>
    </row>
    <row r="242" spans="9:10" x14ac:dyDescent="0.25">
      <c r="I242" s="39"/>
      <c r="J242" s="47"/>
    </row>
    <row r="243" spans="9:10" x14ac:dyDescent="0.25">
      <c r="I243" s="39"/>
      <c r="J243" s="47"/>
    </row>
    <row r="244" spans="9:10" x14ac:dyDescent="0.25">
      <c r="I244" s="39"/>
      <c r="J244" s="47"/>
    </row>
    <row r="245" spans="9:10" x14ac:dyDescent="0.25">
      <c r="I245" s="39"/>
      <c r="J245" s="47"/>
    </row>
    <row r="246" spans="9:10" x14ac:dyDescent="0.25">
      <c r="I246" s="39"/>
      <c r="J246" s="47"/>
    </row>
    <row r="247" spans="9:10" x14ac:dyDescent="0.25">
      <c r="I247" s="39"/>
      <c r="J247" s="47"/>
    </row>
    <row r="248" spans="9:10" x14ac:dyDescent="0.25">
      <c r="I248" s="39"/>
      <c r="J248" s="47"/>
    </row>
    <row r="249" spans="9:10" x14ac:dyDescent="0.25">
      <c r="I249" s="39"/>
      <c r="J249" s="47"/>
    </row>
    <row r="250" spans="9:10" x14ac:dyDescent="0.25">
      <c r="I250" s="39"/>
      <c r="J250" s="47"/>
    </row>
    <row r="251" spans="9:10" x14ac:dyDescent="0.25">
      <c r="I251" s="39"/>
      <c r="J251" s="47"/>
    </row>
    <row r="252" spans="9:10" x14ac:dyDescent="0.25">
      <c r="I252" s="39"/>
      <c r="J252" s="47"/>
    </row>
    <row r="253" spans="9:10" x14ac:dyDescent="0.25">
      <c r="I253" s="39"/>
      <c r="J253" s="47"/>
    </row>
    <row r="254" spans="9:10" x14ac:dyDescent="0.25">
      <c r="I254" s="39"/>
      <c r="J254" s="47"/>
    </row>
    <row r="255" spans="9:10" x14ac:dyDescent="0.25">
      <c r="I255" s="39"/>
      <c r="J255" s="47"/>
    </row>
    <row r="256" spans="9:10" x14ac:dyDescent="0.25">
      <c r="I256" s="39"/>
      <c r="J256" s="47"/>
    </row>
    <row r="257" spans="9:10" x14ac:dyDescent="0.25">
      <c r="I257" s="39"/>
      <c r="J257" s="47"/>
    </row>
    <row r="258" spans="9:10" x14ac:dyDescent="0.25">
      <c r="I258" s="39"/>
      <c r="J258" s="47"/>
    </row>
    <row r="259" spans="9:10" x14ac:dyDescent="0.25">
      <c r="I259" s="39"/>
      <c r="J259" s="47"/>
    </row>
    <row r="260" spans="9:10" x14ac:dyDescent="0.25">
      <c r="I260" s="39"/>
      <c r="J260" s="47"/>
    </row>
    <row r="261" spans="9:10" x14ac:dyDescent="0.25">
      <c r="I261" s="39"/>
      <c r="J261" s="47"/>
    </row>
    <row r="262" spans="9:10" x14ac:dyDescent="0.25">
      <c r="I262" s="39"/>
      <c r="J262" s="47"/>
    </row>
    <row r="263" spans="9:10" x14ac:dyDescent="0.25">
      <c r="I263" s="39"/>
      <c r="J263" s="47"/>
    </row>
    <row r="264" spans="9:10" x14ac:dyDescent="0.25">
      <c r="I264" s="39"/>
      <c r="J264" s="47"/>
    </row>
    <row r="265" spans="9:10" x14ac:dyDescent="0.25">
      <c r="I265" s="39"/>
      <c r="J265" s="47"/>
    </row>
    <row r="266" spans="9:10" x14ac:dyDescent="0.25">
      <c r="I266" s="39"/>
      <c r="J266" s="47"/>
    </row>
    <row r="267" spans="9:10" x14ac:dyDescent="0.25">
      <c r="I267" s="39"/>
      <c r="J267" s="47"/>
    </row>
    <row r="268" spans="9:10" x14ac:dyDescent="0.25">
      <c r="I268" s="39"/>
      <c r="J268" s="47"/>
    </row>
    <row r="269" spans="9:10" x14ac:dyDescent="0.25">
      <c r="I269" s="39"/>
      <c r="J269" s="47"/>
    </row>
    <row r="270" spans="9:10" x14ac:dyDescent="0.25">
      <c r="I270" s="39"/>
      <c r="J270" s="47"/>
    </row>
    <row r="271" spans="9:10" x14ac:dyDescent="0.25">
      <c r="I271" s="39"/>
      <c r="J271" s="47"/>
    </row>
    <row r="272" spans="9:10" x14ac:dyDescent="0.25">
      <c r="I272" s="39"/>
      <c r="J272" s="47"/>
    </row>
    <row r="273" spans="9:10" x14ac:dyDescent="0.25">
      <c r="I273" s="39"/>
      <c r="J273" s="47"/>
    </row>
    <row r="274" spans="9:10" x14ac:dyDescent="0.25">
      <c r="I274" s="39"/>
      <c r="J274" s="47"/>
    </row>
    <row r="275" spans="9:10" x14ac:dyDescent="0.25">
      <c r="I275" s="39"/>
      <c r="J275" s="47"/>
    </row>
    <row r="276" spans="9:10" x14ac:dyDescent="0.25">
      <c r="I276" s="39"/>
      <c r="J276" s="47"/>
    </row>
    <row r="277" spans="9:10" x14ac:dyDescent="0.25">
      <c r="I277" s="39"/>
      <c r="J277" s="47"/>
    </row>
    <row r="278" spans="9:10" x14ac:dyDescent="0.25">
      <c r="I278" s="39"/>
      <c r="J278" s="47"/>
    </row>
    <row r="279" spans="9:10" x14ac:dyDescent="0.25">
      <c r="I279" s="39"/>
      <c r="J279" s="47"/>
    </row>
    <row r="280" spans="9:10" x14ac:dyDescent="0.25">
      <c r="I280" s="39"/>
      <c r="J280" s="47"/>
    </row>
    <row r="281" spans="9:10" x14ac:dyDescent="0.25">
      <c r="I281" s="39"/>
      <c r="J281" s="47"/>
    </row>
    <row r="282" spans="9:10" x14ac:dyDescent="0.25">
      <c r="I282" s="39"/>
      <c r="J282" s="47"/>
    </row>
    <row r="283" spans="9:10" x14ac:dyDescent="0.25">
      <c r="I283" s="39"/>
      <c r="J283" s="47"/>
    </row>
    <row r="284" spans="9:10" x14ac:dyDescent="0.25">
      <c r="I284" s="39"/>
      <c r="J284" s="47"/>
    </row>
    <row r="285" spans="9:10" x14ac:dyDescent="0.25">
      <c r="I285" s="39"/>
      <c r="J285" s="47"/>
    </row>
    <row r="286" spans="9:10" x14ac:dyDescent="0.25">
      <c r="I286" s="39"/>
      <c r="J286" s="47"/>
    </row>
    <row r="287" spans="9:10" x14ac:dyDescent="0.25">
      <c r="I287" s="39"/>
      <c r="J287" s="47"/>
    </row>
    <row r="288" spans="9:10" x14ac:dyDescent="0.25">
      <c r="I288" s="39"/>
      <c r="J288" s="47"/>
    </row>
    <row r="289" spans="9:10" x14ac:dyDescent="0.25">
      <c r="I289" s="39"/>
      <c r="J289" s="47"/>
    </row>
    <row r="290" spans="9:10" x14ac:dyDescent="0.25">
      <c r="I290" s="39"/>
      <c r="J290" s="47"/>
    </row>
    <row r="291" spans="9:10" x14ac:dyDescent="0.25">
      <c r="I291" s="39"/>
      <c r="J291" s="47"/>
    </row>
    <row r="292" spans="9:10" x14ac:dyDescent="0.25">
      <c r="I292" s="39"/>
      <c r="J292" s="47"/>
    </row>
    <row r="293" spans="9:10" x14ac:dyDescent="0.25">
      <c r="I293" s="39"/>
      <c r="J293" s="47"/>
    </row>
    <row r="294" spans="9:10" x14ac:dyDescent="0.25">
      <c r="I294" s="39"/>
      <c r="J294" s="47"/>
    </row>
    <row r="295" spans="9:10" x14ac:dyDescent="0.25">
      <c r="I295" s="39"/>
      <c r="J295" s="47"/>
    </row>
    <row r="296" spans="9:10" x14ac:dyDescent="0.25">
      <c r="I296" s="39"/>
      <c r="J296" s="47"/>
    </row>
    <row r="297" spans="9:10" x14ac:dyDescent="0.25">
      <c r="I297" s="39"/>
      <c r="J297" s="47"/>
    </row>
    <row r="298" spans="9:10" x14ac:dyDescent="0.25">
      <c r="I298" s="39"/>
      <c r="J298" s="47"/>
    </row>
    <row r="299" spans="9:10" x14ac:dyDescent="0.25">
      <c r="I299" s="39"/>
      <c r="J299" s="47"/>
    </row>
    <row r="300" spans="9:10" x14ac:dyDescent="0.25">
      <c r="I300" s="39"/>
      <c r="J300" s="47"/>
    </row>
    <row r="301" spans="9:10" x14ac:dyDescent="0.25">
      <c r="I301" s="39"/>
      <c r="J301" s="47"/>
    </row>
    <row r="302" spans="9:10" x14ac:dyDescent="0.25">
      <c r="I302" s="39"/>
      <c r="J302" s="47"/>
    </row>
    <row r="303" spans="9:10" x14ac:dyDescent="0.25">
      <c r="I303" s="39"/>
      <c r="J303" s="47"/>
    </row>
    <row r="304" spans="9:10" x14ac:dyDescent="0.25">
      <c r="I304" s="39"/>
      <c r="J304" s="47"/>
    </row>
    <row r="305" spans="9:10" x14ac:dyDescent="0.25">
      <c r="I305" s="39"/>
      <c r="J305" s="47"/>
    </row>
    <row r="306" spans="9:10" x14ac:dyDescent="0.25">
      <c r="I306" s="39"/>
      <c r="J306" s="47"/>
    </row>
    <row r="307" spans="9:10" x14ac:dyDescent="0.25">
      <c r="I307" s="39"/>
      <c r="J307" s="47"/>
    </row>
    <row r="308" spans="9:10" x14ac:dyDescent="0.25">
      <c r="I308" s="39"/>
      <c r="J308" s="47"/>
    </row>
    <row r="309" spans="9:10" x14ac:dyDescent="0.25">
      <c r="I309" s="39"/>
      <c r="J309" s="47"/>
    </row>
    <row r="310" spans="9:10" x14ac:dyDescent="0.25">
      <c r="I310" s="39"/>
      <c r="J310" s="47"/>
    </row>
    <row r="311" spans="9:10" x14ac:dyDescent="0.25">
      <c r="I311" s="39"/>
      <c r="J311" s="47"/>
    </row>
    <row r="312" spans="9:10" x14ac:dyDescent="0.25">
      <c r="I312" s="39"/>
      <c r="J312" s="47"/>
    </row>
    <row r="313" spans="9:10" x14ac:dyDescent="0.25">
      <c r="I313" s="39"/>
      <c r="J313" s="47"/>
    </row>
    <row r="314" spans="9:10" x14ac:dyDescent="0.25">
      <c r="I314" s="39"/>
      <c r="J314" s="47"/>
    </row>
    <row r="315" spans="9:10" x14ac:dyDescent="0.25">
      <c r="I315" s="39"/>
      <c r="J315" s="47"/>
    </row>
    <row r="316" spans="9:10" x14ac:dyDescent="0.25">
      <c r="I316" s="39"/>
      <c r="J316" s="47"/>
    </row>
    <row r="317" spans="9:10" x14ac:dyDescent="0.25">
      <c r="I317" s="39"/>
      <c r="J317" s="47"/>
    </row>
    <row r="318" spans="9:10" x14ac:dyDescent="0.25">
      <c r="I318" s="39"/>
      <c r="J318" s="47"/>
    </row>
    <row r="319" spans="9:10" x14ac:dyDescent="0.25">
      <c r="I319" s="39"/>
      <c r="J319" s="47"/>
    </row>
    <row r="320" spans="9:10" x14ac:dyDescent="0.25">
      <c r="I320" s="39"/>
      <c r="J320" s="47"/>
    </row>
    <row r="321" spans="9:10" x14ac:dyDescent="0.25">
      <c r="I321" s="39"/>
      <c r="J321" s="47"/>
    </row>
    <row r="322" spans="9:10" x14ac:dyDescent="0.25">
      <c r="I322" s="39"/>
      <c r="J322" s="47"/>
    </row>
    <row r="323" spans="9:10" x14ac:dyDescent="0.25">
      <c r="I323" s="39"/>
      <c r="J323" s="47"/>
    </row>
    <row r="324" spans="9:10" x14ac:dyDescent="0.25">
      <c r="I324" s="39"/>
      <c r="J324" s="47"/>
    </row>
    <row r="325" spans="9:10" x14ac:dyDescent="0.25">
      <c r="I325" s="39"/>
      <c r="J325" s="47"/>
    </row>
    <row r="326" spans="9:10" x14ac:dyDescent="0.25">
      <c r="I326" s="39"/>
      <c r="J326" s="47"/>
    </row>
    <row r="327" spans="9:10" x14ac:dyDescent="0.25">
      <c r="I327" s="39"/>
      <c r="J327" s="47"/>
    </row>
    <row r="328" spans="9:10" x14ac:dyDescent="0.25">
      <c r="I328" s="39"/>
      <c r="J328" s="47"/>
    </row>
    <row r="329" spans="9:10" x14ac:dyDescent="0.25">
      <c r="I329" s="39"/>
      <c r="J329" s="47"/>
    </row>
    <row r="330" spans="9:10" x14ac:dyDescent="0.25">
      <c r="I330" s="39"/>
      <c r="J330" s="47"/>
    </row>
    <row r="331" spans="9:10" x14ac:dyDescent="0.25">
      <c r="I331" s="39"/>
      <c r="J331" s="47"/>
    </row>
    <row r="332" spans="9:10" x14ac:dyDescent="0.25">
      <c r="I332" s="39"/>
      <c r="J332" s="47"/>
    </row>
    <row r="333" spans="9:10" x14ac:dyDescent="0.25">
      <c r="I333" s="39"/>
      <c r="J333" s="47"/>
    </row>
    <row r="334" spans="9:10" x14ac:dyDescent="0.25">
      <c r="I334" s="39"/>
      <c r="J334" s="47"/>
    </row>
    <row r="335" spans="9:10" x14ac:dyDescent="0.25">
      <c r="I335" s="39"/>
      <c r="J335" s="47"/>
    </row>
    <row r="336" spans="9:10" x14ac:dyDescent="0.25">
      <c r="I336" s="39"/>
      <c r="J336" s="47"/>
    </row>
    <row r="337" spans="9:10" x14ac:dyDescent="0.25">
      <c r="I337" s="39"/>
      <c r="J337" s="47"/>
    </row>
    <row r="338" spans="9:10" x14ac:dyDescent="0.25">
      <c r="I338" s="39"/>
      <c r="J338" s="47"/>
    </row>
    <row r="339" spans="9:10" x14ac:dyDescent="0.25">
      <c r="I339" s="39"/>
      <c r="J339" s="47"/>
    </row>
    <row r="340" spans="9:10" x14ac:dyDescent="0.25">
      <c r="I340" s="39"/>
      <c r="J340" s="47"/>
    </row>
    <row r="341" spans="9:10" x14ac:dyDescent="0.25">
      <c r="I341" s="39"/>
      <c r="J341" s="47"/>
    </row>
    <row r="342" spans="9:10" x14ac:dyDescent="0.25">
      <c r="I342" s="39"/>
      <c r="J342" s="47"/>
    </row>
    <row r="343" spans="9:10" x14ac:dyDescent="0.25">
      <c r="I343" s="39"/>
      <c r="J343" s="47"/>
    </row>
    <row r="344" spans="9:10" x14ac:dyDescent="0.25">
      <c r="I344" s="39"/>
      <c r="J344" s="47"/>
    </row>
    <row r="345" spans="9:10" x14ac:dyDescent="0.25">
      <c r="I345" s="39"/>
      <c r="J345" s="47"/>
    </row>
    <row r="346" spans="9:10" x14ac:dyDescent="0.25">
      <c r="I346" s="39"/>
      <c r="J346" s="47"/>
    </row>
    <row r="347" spans="9:10" x14ac:dyDescent="0.25">
      <c r="I347" s="39"/>
      <c r="J347" s="47"/>
    </row>
    <row r="348" spans="9:10" x14ac:dyDescent="0.25">
      <c r="I348" s="39"/>
      <c r="J348" s="47"/>
    </row>
    <row r="349" spans="9:10" x14ac:dyDescent="0.25">
      <c r="I349" s="39"/>
      <c r="J349" s="47"/>
    </row>
    <row r="350" spans="9:10" x14ac:dyDescent="0.25">
      <c r="I350" s="39"/>
      <c r="J350" s="47"/>
    </row>
    <row r="351" spans="9:10" x14ac:dyDescent="0.25">
      <c r="I351" s="39"/>
      <c r="J351" s="47"/>
    </row>
    <row r="352" spans="9:10" x14ac:dyDescent="0.25">
      <c r="I352" s="39"/>
      <c r="J352" s="47"/>
    </row>
    <row r="353" spans="9:10" x14ac:dyDescent="0.25">
      <c r="I353" s="39"/>
      <c r="J353" s="47"/>
    </row>
    <row r="354" spans="9:10" x14ac:dyDescent="0.25">
      <c r="I354" s="39"/>
      <c r="J354" s="47"/>
    </row>
    <row r="355" spans="9:10" x14ac:dyDescent="0.25">
      <c r="I355" s="39"/>
      <c r="J355" s="47"/>
    </row>
    <row r="356" spans="9:10" x14ac:dyDescent="0.25">
      <c r="I356" s="39"/>
      <c r="J356" s="47"/>
    </row>
    <row r="357" spans="9:10" x14ac:dyDescent="0.25">
      <c r="I357" s="39"/>
      <c r="J357" s="47"/>
    </row>
    <row r="358" spans="9:10" x14ac:dyDescent="0.25">
      <c r="I358" s="39"/>
      <c r="J358" s="47"/>
    </row>
    <row r="359" spans="9:10" x14ac:dyDescent="0.25">
      <c r="I359" s="39"/>
      <c r="J359" s="47"/>
    </row>
    <row r="360" spans="9:10" x14ac:dyDescent="0.25">
      <c r="I360" s="39"/>
      <c r="J360" s="47"/>
    </row>
    <row r="361" spans="9:10" x14ac:dyDescent="0.25">
      <c r="I361" s="39"/>
      <c r="J361" s="47"/>
    </row>
    <row r="362" spans="9:10" x14ac:dyDescent="0.25">
      <c r="I362" s="39"/>
      <c r="J362" s="47"/>
    </row>
    <row r="363" spans="9:10" x14ac:dyDescent="0.25">
      <c r="I363" s="39"/>
      <c r="J363" s="47"/>
    </row>
    <row r="364" spans="9:10" x14ac:dyDescent="0.25">
      <c r="I364" s="39"/>
      <c r="J364" s="47"/>
    </row>
    <row r="365" spans="9:10" x14ac:dyDescent="0.25">
      <c r="I365" s="39"/>
      <c r="J365" s="47"/>
    </row>
    <row r="366" spans="9:10" x14ac:dyDescent="0.25">
      <c r="I366" s="39"/>
      <c r="J366" s="47"/>
    </row>
    <row r="367" spans="9:10" x14ac:dyDescent="0.25">
      <c r="I367" s="39"/>
      <c r="J367" s="47"/>
    </row>
    <row r="368" spans="9:10" x14ac:dyDescent="0.25">
      <c r="I368" s="39"/>
      <c r="J368" s="47"/>
    </row>
    <row r="369" spans="9:10" x14ac:dyDescent="0.25">
      <c r="I369" s="39"/>
      <c r="J369" s="47"/>
    </row>
    <row r="370" spans="9:10" x14ac:dyDescent="0.25">
      <c r="I370" s="39"/>
      <c r="J370" s="47"/>
    </row>
    <row r="371" spans="9:10" x14ac:dyDescent="0.25">
      <c r="I371" s="39"/>
      <c r="J371" s="47"/>
    </row>
    <row r="372" spans="9:10" x14ac:dyDescent="0.25">
      <c r="I372" s="39"/>
      <c r="J372" s="47"/>
    </row>
    <row r="373" spans="9:10" x14ac:dyDescent="0.25">
      <c r="I373" s="39"/>
      <c r="J373" s="47"/>
    </row>
    <row r="374" spans="9:10" x14ac:dyDescent="0.25">
      <c r="I374" s="39"/>
      <c r="J374" s="47"/>
    </row>
    <row r="375" spans="9:10" x14ac:dyDescent="0.25">
      <c r="I375" s="39"/>
      <c r="J375" s="47"/>
    </row>
    <row r="376" spans="9:10" x14ac:dyDescent="0.25">
      <c r="I376" s="39"/>
      <c r="J376" s="47"/>
    </row>
    <row r="377" spans="9:10" x14ac:dyDescent="0.25">
      <c r="I377" s="39"/>
      <c r="J377" s="47"/>
    </row>
    <row r="378" spans="9:10" x14ac:dyDescent="0.25">
      <c r="I378" s="39"/>
      <c r="J378" s="47"/>
    </row>
    <row r="379" spans="9:10" x14ac:dyDescent="0.25">
      <c r="I379" s="39"/>
      <c r="J379" s="47"/>
    </row>
    <row r="380" spans="9:10" x14ac:dyDescent="0.25">
      <c r="I380" s="39"/>
      <c r="J380" s="47"/>
    </row>
    <row r="381" spans="9:10" x14ac:dyDescent="0.25">
      <c r="I381" s="39"/>
      <c r="J381" s="47"/>
    </row>
    <row r="382" spans="9:10" x14ac:dyDescent="0.25">
      <c r="I382" s="39"/>
      <c r="J382" s="47"/>
    </row>
    <row r="383" spans="9:10" x14ac:dyDescent="0.25">
      <c r="I383" s="39"/>
      <c r="J383" s="47"/>
    </row>
    <row r="384" spans="9:10" x14ac:dyDescent="0.25">
      <c r="I384" s="39"/>
      <c r="J384" s="47"/>
    </row>
    <row r="385" spans="9:10" x14ac:dyDescent="0.25">
      <c r="I385" s="39"/>
      <c r="J385" s="47"/>
    </row>
    <row r="386" spans="9:10" x14ac:dyDescent="0.25">
      <c r="I386" s="39"/>
      <c r="J386" s="47"/>
    </row>
    <row r="387" spans="9:10" x14ac:dyDescent="0.25">
      <c r="I387" s="39"/>
      <c r="J387" s="47"/>
    </row>
    <row r="388" spans="9:10" x14ac:dyDescent="0.25">
      <c r="I388" s="39"/>
      <c r="J388" s="47"/>
    </row>
    <row r="389" spans="9:10" x14ac:dyDescent="0.25">
      <c r="I389" s="39"/>
      <c r="J389" s="47"/>
    </row>
    <row r="390" spans="9:10" x14ac:dyDescent="0.25">
      <c r="I390" s="39"/>
      <c r="J390" s="47"/>
    </row>
    <row r="391" spans="9:10" x14ac:dyDescent="0.25">
      <c r="I391" s="39"/>
      <c r="J391" s="47"/>
    </row>
    <row r="392" spans="9:10" x14ac:dyDescent="0.25">
      <c r="I392" s="39"/>
      <c r="J392" s="47"/>
    </row>
    <row r="393" spans="9:10" x14ac:dyDescent="0.25">
      <c r="I393" s="39"/>
      <c r="J393" s="47"/>
    </row>
    <row r="394" spans="9:10" x14ac:dyDescent="0.25">
      <c r="I394" s="39"/>
      <c r="J394" s="47"/>
    </row>
    <row r="395" spans="9:10" x14ac:dyDescent="0.25">
      <c r="I395" s="39"/>
      <c r="J395" s="47"/>
    </row>
    <row r="396" spans="9:10" x14ac:dyDescent="0.25">
      <c r="I396" s="39"/>
      <c r="J396" s="47"/>
    </row>
    <row r="397" spans="9:10" x14ac:dyDescent="0.25">
      <c r="I397" s="39"/>
      <c r="J397" s="47"/>
    </row>
    <row r="398" spans="9:10" x14ac:dyDescent="0.25">
      <c r="I398" s="39"/>
      <c r="J398" s="47"/>
    </row>
    <row r="399" spans="9:10" x14ac:dyDescent="0.25">
      <c r="I399" s="39"/>
      <c r="J399" s="47"/>
    </row>
    <row r="400" spans="9:10" x14ac:dyDescent="0.25">
      <c r="I400" s="39"/>
      <c r="J400" s="47"/>
    </row>
    <row r="401" spans="9:10" x14ac:dyDescent="0.25">
      <c r="I401" s="39"/>
      <c r="J401" s="47"/>
    </row>
    <row r="402" spans="9:10" x14ac:dyDescent="0.25">
      <c r="I402" s="39"/>
      <c r="J402" s="47"/>
    </row>
    <row r="403" spans="9:10" x14ac:dyDescent="0.25">
      <c r="I403" s="39"/>
      <c r="J403" s="47"/>
    </row>
    <row r="404" spans="9:10" x14ac:dyDescent="0.25">
      <c r="I404" s="39"/>
      <c r="J404" s="47"/>
    </row>
    <row r="405" spans="9:10" x14ac:dyDescent="0.25">
      <c r="I405" s="39"/>
      <c r="J405" s="47"/>
    </row>
    <row r="406" spans="9:10" x14ac:dyDescent="0.25">
      <c r="I406" s="39"/>
      <c r="J406" s="47"/>
    </row>
    <row r="407" spans="9:10" x14ac:dyDescent="0.25">
      <c r="I407" s="39"/>
      <c r="J407" s="47"/>
    </row>
    <row r="408" spans="9:10" x14ac:dyDescent="0.25">
      <c r="I408" s="39"/>
      <c r="J408" s="47"/>
    </row>
    <row r="409" spans="9:10" x14ac:dyDescent="0.25">
      <c r="I409" s="39"/>
      <c r="J409" s="47"/>
    </row>
    <row r="410" spans="9:10" x14ac:dyDescent="0.25">
      <c r="I410" s="39"/>
      <c r="J410" s="47"/>
    </row>
    <row r="411" spans="9:10" x14ac:dyDescent="0.25">
      <c r="I411" s="39"/>
      <c r="J411" s="47"/>
    </row>
    <row r="412" spans="9:10" x14ac:dyDescent="0.25">
      <c r="I412" s="39"/>
      <c r="J412" s="47"/>
    </row>
    <row r="413" spans="9:10" x14ac:dyDescent="0.25">
      <c r="I413" s="39"/>
      <c r="J413" s="47"/>
    </row>
    <row r="414" spans="9:10" x14ac:dyDescent="0.25">
      <c r="I414" s="39"/>
      <c r="J414" s="47"/>
    </row>
    <row r="415" spans="9:10" x14ac:dyDescent="0.25">
      <c r="I415" s="39"/>
      <c r="J415" s="47"/>
    </row>
    <row r="416" spans="9:10" x14ac:dyDescent="0.25">
      <c r="I416" s="39"/>
      <c r="J416" s="47"/>
    </row>
    <row r="417" spans="9:10" x14ac:dyDescent="0.25">
      <c r="I417" s="39"/>
      <c r="J417" s="47"/>
    </row>
    <row r="418" spans="9:10" x14ac:dyDescent="0.25">
      <c r="I418" s="39"/>
      <c r="J418" s="47"/>
    </row>
    <row r="419" spans="9:10" x14ac:dyDescent="0.25">
      <c r="I419" s="39"/>
      <c r="J419" s="47"/>
    </row>
    <row r="420" spans="9:10" x14ac:dyDescent="0.25">
      <c r="I420" s="39"/>
      <c r="J420" s="47"/>
    </row>
    <row r="421" spans="9:10" x14ac:dyDescent="0.25">
      <c r="I421" s="39"/>
      <c r="J421" s="47"/>
    </row>
    <row r="422" spans="9:10" x14ac:dyDescent="0.25">
      <c r="I422" s="39"/>
      <c r="J422" s="47"/>
    </row>
    <row r="423" spans="9:10" x14ac:dyDescent="0.25">
      <c r="I423" s="39"/>
      <c r="J423" s="47"/>
    </row>
    <row r="424" spans="9:10" x14ac:dyDescent="0.25">
      <c r="I424" s="39"/>
      <c r="J424" s="47"/>
    </row>
    <row r="425" spans="9:10" x14ac:dyDescent="0.25">
      <c r="I425" s="39"/>
      <c r="J425" s="47"/>
    </row>
    <row r="426" spans="9:10" x14ac:dyDescent="0.25">
      <c r="I426" s="39"/>
      <c r="J426" s="47"/>
    </row>
    <row r="427" spans="9:10" x14ac:dyDescent="0.25">
      <c r="I427" s="39"/>
      <c r="J427" s="47"/>
    </row>
    <row r="428" spans="9:10" x14ac:dyDescent="0.25">
      <c r="I428" s="39"/>
      <c r="J428" s="47"/>
    </row>
    <row r="429" spans="9:10" x14ac:dyDescent="0.25">
      <c r="I429" s="39"/>
      <c r="J429" s="47"/>
    </row>
    <row r="430" spans="9:10" x14ac:dyDescent="0.25">
      <c r="I430" s="39"/>
      <c r="J430" s="47"/>
    </row>
    <row r="431" spans="9:10" x14ac:dyDescent="0.25">
      <c r="I431" s="39"/>
      <c r="J431" s="47"/>
    </row>
    <row r="432" spans="9:10" x14ac:dyDescent="0.25">
      <c r="I432" s="39"/>
      <c r="J432" s="47"/>
    </row>
    <row r="433" spans="9:10" x14ac:dyDescent="0.25">
      <c r="I433" s="39"/>
      <c r="J433" s="47"/>
    </row>
    <row r="434" spans="9:10" x14ac:dyDescent="0.25">
      <c r="I434" s="39"/>
      <c r="J434" s="47"/>
    </row>
    <row r="435" spans="9:10" x14ac:dyDescent="0.25">
      <c r="I435" s="39"/>
      <c r="J435" s="47"/>
    </row>
    <row r="436" spans="9:10" x14ac:dyDescent="0.25">
      <c r="I436" s="39"/>
      <c r="J436" s="47"/>
    </row>
    <row r="437" spans="9:10" x14ac:dyDescent="0.25">
      <c r="I437" s="39"/>
      <c r="J437" s="47"/>
    </row>
    <row r="438" spans="9:10" x14ac:dyDescent="0.25">
      <c r="I438" s="39"/>
      <c r="J438" s="47"/>
    </row>
    <row r="439" spans="9:10" x14ac:dyDescent="0.25">
      <c r="I439" s="39"/>
      <c r="J439" s="47"/>
    </row>
    <row r="440" spans="9:10" x14ac:dyDescent="0.25">
      <c r="I440" s="39"/>
      <c r="J440" s="47"/>
    </row>
    <row r="441" spans="9:10" x14ac:dyDescent="0.25">
      <c r="I441" s="39"/>
      <c r="J441" s="47"/>
    </row>
    <row r="442" spans="9:10" x14ac:dyDescent="0.25">
      <c r="I442" s="39"/>
      <c r="J442" s="47"/>
    </row>
    <row r="443" spans="9:10" x14ac:dyDescent="0.25">
      <c r="I443" s="39"/>
      <c r="J443" s="47"/>
    </row>
    <row r="444" spans="9:10" x14ac:dyDescent="0.25">
      <c r="I444" s="39"/>
      <c r="J444" s="47"/>
    </row>
    <row r="445" spans="9:10" x14ac:dyDescent="0.25">
      <c r="I445" s="39"/>
      <c r="J445" s="47"/>
    </row>
    <row r="446" spans="9:10" x14ac:dyDescent="0.25">
      <c r="I446" s="39"/>
      <c r="J446" s="47"/>
    </row>
    <row r="447" spans="9:10" x14ac:dyDescent="0.25">
      <c r="I447" s="39"/>
      <c r="J447" s="47"/>
    </row>
    <row r="448" spans="9:10" x14ac:dyDescent="0.25">
      <c r="I448" s="39"/>
      <c r="J448" s="47"/>
    </row>
    <row r="449" spans="9:10" x14ac:dyDescent="0.25">
      <c r="I449" s="39"/>
      <c r="J449" s="47"/>
    </row>
    <row r="450" spans="9:10" x14ac:dyDescent="0.25">
      <c r="I450" s="39"/>
      <c r="J450" s="47"/>
    </row>
    <row r="451" spans="9:10" x14ac:dyDescent="0.25">
      <c r="I451" s="39"/>
      <c r="J451" s="47"/>
    </row>
    <row r="452" spans="9:10" x14ac:dyDescent="0.25">
      <c r="I452" s="39"/>
      <c r="J452" s="47"/>
    </row>
    <row r="453" spans="9:10" x14ac:dyDescent="0.25">
      <c r="I453" s="39"/>
      <c r="J453" s="47"/>
    </row>
    <row r="454" spans="9:10" x14ac:dyDescent="0.25">
      <c r="I454" s="39"/>
      <c r="J454" s="47"/>
    </row>
    <row r="455" spans="9:10" x14ac:dyDescent="0.25">
      <c r="I455" s="39"/>
      <c r="J455" s="47"/>
    </row>
    <row r="456" spans="9:10" x14ac:dyDescent="0.25">
      <c r="I456" s="39"/>
      <c r="J456" s="47"/>
    </row>
    <row r="457" spans="9:10" x14ac:dyDescent="0.25">
      <c r="I457" s="39"/>
      <c r="J457" s="47"/>
    </row>
    <row r="458" spans="9:10" x14ac:dyDescent="0.25">
      <c r="I458" s="39"/>
      <c r="J458" s="47"/>
    </row>
    <row r="459" spans="9:10" x14ac:dyDescent="0.25">
      <c r="I459" s="39"/>
      <c r="J459" s="47"/>
    </row>
    <row r="460" spans="9:10" x14ac:dyDescent="0.25">
      <c r="I460" s="39"/>
      <c r="J460" s="47"/>
    </row>
    <row r="461" spans="9:10" x14ac:dyDescent="0.25">
      <c r="I461" s="39"/>
      <c r="J461" s="47"/>
    </row>
    <row r="462" spans="9:10" x14ac:dyDescent="0.25">
      <c r="I462" s="39"/>
      <c r="J462" s="47"/>
    </row>
    <row r="463" spans="9:10" x14ac:dyDescent="0.25">
      <c r="I463" s="39"/>
      <c r="J463" s="47"/>
    </row>
    <row r="464" spans="9:10" x14ac:dyDescent="0.25">
      <c r="I464" s="39"/>
      <c r="J464" s="47"/>
    </row>
    <row r="465" spans="9:10" x14ac:dyDescent="0.25">
      <c r="I465" s="39"/>
      <c r="J465" s="47"/>
    </row>
    <row r="466" spans="9:10" x14ac:dyDescent="0.25">
      <c r="I466" s="39"/>
      <c r="J466" s="47"/>
    </row>
    <row r="467" spans="9:10" x14ac:dyDescent="0.25">
      <c r="I467" s="39"/>
      <c r="J467" s="47"/>
    </row>
    <row r="468" spans="9:10" x14ac:dyDescent="0.25">
      <c r="I468" s="39"/>
      <c r="J468" s="47"/>
    </row>
    <row r="469" spans="9:10" x14ac:dyDescent="0.25">
      <c r="I469" s="39"/>
      <c r="J469" s="47"/>
    </row>
    <row r="470" spans="9:10" x14ac:dyDescent="0.25">
      <c r="I470" s="39"/>
      <c r="J470" s="47"/>
    </row>
    <row r="471" spans="9:10" x14ac:dyDescent="0.25">
      <c r="I471" s="39"/>
      <c r="J471" s="47"/>
    </row>
    <row r="472" spans="9:10" x14ac:dyDescent="0.25">
      <c r="I472" s="39"/>
      <c r="J472" s="47"/>
    </row>
    <row r="473" spans="9:10" x14ac:dyDescent="0.25">
      <c r="I473" s="39"/>
      <c r="J473" s="47"/>
    </row>
    <row r="474" spans="9:10" x14ac:dyDescent="0.25">
      <c r="I474" s="39"/>
      <c r="J474" s="47"/>
    </row>
    <row r="475" spans="9:10" x14ac:dyDescent="0.25">
      <c r="I475" s="39"/>
      <c r="J475" s="47"/>
    </row>
    <row r="476" spans="9:10" x14ac:dyDescent="0.25">
      <c r="I476" s="39"/>
      <c r="J476" s="47"/>
    </row>
    <row r="477" spans="9:10" x14ac:dyDescent="0.25">
      <c r="I477" s="39"/>
      <c r="J477" s="47"/>
    </row>
    <row r="478" spans="9:10" x14ac:dyDescent="0.25">
      <c r="I478" s="39"/>
      <c r="J478" s="47"/>
    </row>
    <row r="479" spans="9:10" x14ac:dyDescent="0.25">
      <c r="I479" s="39"/>
      <c r="J479" s="47"/>
    </row>
    <row r="480" spans="9:10" x14ac:dyDescent="0.25">
      <c r="I480" s="39"/>
      <c r="J480" s="47"/>
    </row>
    <row r="481" spans="9:10" x14ac:dyDescent="0.25">
      <c r="I481" s="39"/>
      <c r="J481" s="47"/>
    </row>
    <row r="482" spans="9:10" x14ac:dyDescent="0.25">
      <c r="I482" s="39"/>
      <c r="J482" s="47"/>
    </row>
    <row r="483" spans="9:10" x14ac:dyDescent="0.25">
      <c r="I483" s="39"/>
      <c r="J483" s="47"/>
    </row>
    <row r="484" spans="9:10" x14ac:dyDescent="0.25">
      <c r="I484" s="39"/>
      <c r="J484" s="47"/>
    </row>
    <row r="485" spans="9:10" x14ac:dyDescent="0.25">
      <c r="I485" s="39"/>
      <c r="J485" s="47"/>
    </row>
    <row r="486" spans="9:10" x14ac:dyDescent="0.25">
      <c r="I486" s="39"/>
      <c r="J486" s="47"/>
    </row>
    <row r="487" spans="9:10" x14ac:dyDescent="0.25">
      <c r="I487" s="39"/>
      <c r="J487" s="47"/>
    </row>
    <row r="488" spans="9:10" x14ac:dyDescent="0.25">
      <c r="I488" s="39"/>
      <c r="J488" s="47"/>
    </row>
    <row r="489" spans="9:10" x14ac:dyDescent="0.25">
      <c r="I489" s="39"/>
      <c r="J489" s="47"/>
    </row>
    <row r="490" spans="9:10" x14ac:dyDescent="0.25">
      <c r="I490" s="39"/>
      <c r="J490" s="47"/>
    </row>
    <row r="491" spans="9:10" x14ac:dyDescent="0.25">
      <c r="I491" s="39"/>
      <c r="J491" s="47"/>
    </row>
    <row r="492" spans="9:10" x14ac:dyDescent="0.25">
      <c r="I492" s="39"/>
      <c r="J492" s="47"/>
    </row>
    <row r="493" spans="9:10" x14ac:dyDescent="0.25">
      <c r="I493" s="39"/>
      <c r="J493" s="47"/>
    </row>
    <row r="494" spans="9:10" x14ac:dyDescent="0.25">
      <c r="I494" s="39"/>
      <c r="J494" s="47"/>
    </row>
    <row r="495" spans="9:10" x14ac:dyDescent="0.25">
      <c r="I495" s="39"/>
      <c r="J495" s="47"/>
    </row>
    <row r="496" spans="9:10" x14ac:dyDescent="0.25">
      <c r="I496" s="39"/>
      <c r="J496" s="47"/>
    </row>
    <row r="497" spans="9:10" x14ac:dyDescent="0.25">
      <c r="I497" s="39"/>
      <c r="J497" s="47"/>
    </row>
    <row r="498" spans="9:10" x14ac:dyDescent="0.25">
      <c r="I498" s="39"/>
      <c r="J498" s="47"/>
    </row>
    <row r="499" spans="9:10" x14ac:dyDescent="0.25">
      <c r="I499" s="39"/>
      <c r="J499" s="47"/>
    </row>
    <row r="500" spans="9:10" x14ac:dyDescent="0.25">
      <c r="I500" s="39"/>
      <c r="J500" s="47"/>
    </row>
    <row r="501" spans="9:10" x14ac:dyDescent="0.25">
      <c r="I501" s="39"/>
      <c r="J501" s="47"/>
    </row>
    <row r="502" spans="9:10" x14ac:dyDescent="0.25">
      <c r="I502" s="39"/>
      <c r="J502" s="47"/>
    </row>
    <row r="503" spans="9:10" x14ac:dyDescent="0.25">
      <c r="I503" s="39"/>
      <c r="J503" s="47"/>
    </row>
    <row r="504" spans="9:10" x14ac:dyDescent="0.25">
      <c r="I504" s="39"/>
      <c r="J504" s="47"/>
    </row>
    <row r="505" spans="9:10" x14ac:dyDescent="0.25">
      <c r="I505" s="39"/>
      <c r="J505" s="47"/>
    </row>
    <row r="506" spans="9:10" x14ac:dyDescent="0.25">
      <c r="I506" s="39"/>
      <c r="J506" s="47"/>
    </row>
    <row r="507" spans="9:10" x14ac:dyDescent="0.25">
      <c r="I507" s="39"/>
      <c r="J507" s="47"/>
    </row>
    <row r="508" spans="9:10" x14ac:dyDescent="0.25">
      <c r="I508" s="39"/>
      <c r="J508" s="47"/>
    </row>
    <row r="509" spans="9:10" x14ac:dyDescent="0.25">
      <c r="I509" s="39"/>
      <c r="J509" s="47"/>
    </row>
    <row r="510" spans="9:10" x14ac:dyDescent="0.25">
      <c r="I510" s="39"/>
      <c r="J510" s="47"/>
    </row>
    <row r="511" spans="9:10" x14ac:dyDescent="0.25">
      <c r="I511" s="39"/>
      <c r="J511" s="47"/>
    </row>
    <row r="512" spans="9:10" x14ac:dyDescent="0.25">
      <c r="I512" s="39"/>
      <c r="J512" s="47"/>
    </row>
    <row r="513" spans="9:10" x14ac:dyDescent="0.25">
      <c r="I513" s="39"/>
      <c r="J513" s="47"/>
    </row>
    <row r="514" spans="9:10" x14ac:dyDescent="0.25">
      <c r="I514" s="39"/>
      <c r="J514" s="47"/>
    </row>
    <row r="515" spans="9:10" x14ac:dyDescent="0.25">
      <c r="I515" s="39"/>
      <c r="J515" s="47"/>
    </row>
    <row r="516" spans="9:10" x14ac:dyDescent="0.25">
      <c r="I516" s="39"/>
      <c r="J516" s="47"/>
    </row>
    <row r="517" spans="9:10" x14ac:dyDescent="0.25">
      <c r="I517" s="39"/>
      <c r="J517" s="47"/>
    </row>
    <row r="518" spans="9:10" x14ac:dyDescent="0.25">
      <c r="I518" s="39"/>
      <c r="J518" s="47"/>
    </row>
    <row r="519" spans="9:10" x14ac:dyDescent="0.25">
      <c r="I519" s="39"/>
      <c r="J519" s="47"/>
    </row>
    <row r="520" spans="9:10" x14ac:dyDescent="0.25">
      <c r="I520" s="39"/>
      <c r="J520" s="47"/>
    </row>
    <row r="521" spans="9:10" x14ac:dyDescent="0.25">
      <c r="I521" s="39"/>
      <c r="J521" s="47"/>
    </row>
    <row r="522" spans="9:10" x14ac:dyDescent="0.25">
      <c r="I522" s="39"/>
      <c r="J522" s="47"/>
    </row>
    <row r="523" spans="9:10" x14ac:dyDescent="0.25">
      <c r="I523" s="39"/>
      <c r="J523" s="47"/>
    </row>
    <row r="524" spans="9:10" x14ac:dyDescent="0.25">
      <c r="I524" s="39"/>
      <c r="J524" s="47"/>
    </row>
    <row r="525" spans="9:10" x14ac:dyDescent="0.25">
      <c r="I525" s="39"/>
      <c r="J525" s="47"/>
    </row>
    <row r="526" spans="9:10" x14ac:dyDescent="0.25">
      <c r="I526" s="39"/>
      <c r="J526" s="47"/>
    </row>
    <row r="527" spans="9:10" x14ac:dyDescent="0.25">
      <c r="I527" s="39"/>
      <c r="J527" s="47"/>
    </row>
    <row r="528" spans="9:10" x14ac:dyDescent="0.25">
      <c r="I528" s="39"/>
      <c r="J528" s="47"/>
    </row>
    <row r="529" spans="9:10" x14ac:dyDescent="0.25">
      <c r="I529" s="39"/>
      <c r="J529" s="47"/>
    </row>
    <row r="530" spans="9:10" x14ac:dyDescent="0.25">
      <c r="I530" s="39"/>
      <c r="J530" s="47"/>
    </row>
    <row r="531" spans="9:10" x14ac:dyDescent="0.25">
      <c r="I531" s="39"/>
      <c r="J531" s="47"/>
    </row>
    <row r="532" spans="9:10" x14ac:dyDescent="0.25">
      <c r="I532" s="39"/>
      <c r="J532" s="47"/>
    </row>
    <row r="533" spans="9:10" x14ac:dyDescent="0.25">
      <c r="I533" s="39"/>
      <c r="J533" s="47"/>
    </row>
    <row r="534" spans="9:10" x14ac:dyDescent="0.25">
      <c r="I534" s="39"/>
      <c r="J534" s="47"/>
    </row>
    <row r="535" spans="9:10" x14ac:dyDescent="0.25">
      <c r="I535" s="39"/>
      <c r="J535" s="47"/>
    </row>
    <row r="536" spans="9:10" x14ac:dyDescent="0.25">
      <c r="I536" s="39"/>
      <c r="J536" s="47"/>
    </row>
    <row r="537" spans="9:10" x14ac:dyDescent="0.25">
      <c r="I537" s="39"/>
      <c r="J537" s="47"/>
    </row>
    <row r="538" spans="9:10" x14ac:dyDescent="0.25">
      <c r="I538" s="39"/>
      <c r="J538" s="47"/>
    </row>
    <row r="539" spans="9:10" x14ac:dyDescent="0.25">
      <c r="I539" s="39"/>
      <c r="J539" s="47"/>
    </row>
    <row r="540" spans="9:10" x14ac:dyDescent="0.25">
      <c r="I540" s="39"/>
      <c r="J540" s="47"/>
    </row>
    <row r="541" spans="9:10" x14ac:dyDescent="0.25">
      <c r="I541" s="39"/>
      <c r="J541" s="47"/>
    </row>
    <row r="542" spans="9:10" x14ac:dyDescent="0.25">
      <c r="I542" s="39"/>
      <c r="J542" s="47"/>
    </row>
    <row r="543" spans="9:10" x14ac:dyDescent="0.25">
      <c r="I543" s="39"/>
      <c r="J543" s="47"/>
    </row>
    <row r="544" spans="9:10" x14ac:dyDescent="0.25">
      <c r="I544" s="39"/>
      <c r="J544" s="47"/>
    </row>
    <row r="545" spans="9:10" x14ac:dyDescent="0.25">
      <c r="I545" s="39"/>
      <c r="J545" s="47"/>
    </row>
    <row r="546" spans="9:10" x14ac:dyDescent="0.25">
      <c r="I546" s="39"/>
      <c r="J546" s="47"/>
    </row>
    <row r="547" spans="9:10" x14ac:dyDescent="0.25">
      <c r="I547" s="39"/>
      <c r="J547" s="47"/>
    </row>
    <row r="548" spans="9:10" x14ac:dyDescent="0.25">
      <c r="I548" s="39"/>
      <c r="J548" s="47"/>
    </row>
    <row r="549" spans="9:10" x14ac:dyDescent="0.25">
      <c r="I549" s="39"/>
      <c r="J549" s="47"/>
    </row>
    <row r="550" spans="9:10" x14ac:dyDescent="0.25">
      <c r="I550" s="39"/>
      <c r="J550" s="47"/>
    </row>
    <row r="551" spans="9:10" x14ac:dyDescent="0.25">
      <c r="I551" s="39"/>
      <c r="J551" s="47"/>
    </row>
    <row r="552" spans="9:10" x14ac:dyDescent="0.25">
      <c r="I552" s="39"/>
      <c r="J552" s="47"/>
    </row>
    <row r="553" spans="9:10" x14ac:dyDescent="0.25">
      <c r="I553" s="39"/>
      <c r="J553" s="47"/>
    </row>
    <row r="554" spans="9:10" x14ac:dyDescent="0.25">
      <c r="I554" s="39"/>
      <c r="J554" s="47"/>
    </row>
    <row r="555" spans="9:10" x14ac:dyDescent="0.25">
      <c r="I555" s="39"/>
      <c r="J555" s="47"/>
    </row>
    <row r="556" spans="9:10" x14ac:dyDescent="0.25">
      <c r="I556" s="39"/>
      <c r="J556" s="47"/>
    </row>
    <row r="557" spans="9:10" x14ac:dyDescent="0.25">
      <c r="I557" s="39"/>
      <c r="J557" s="47"/>
    </row>
    <row r="558" spans="9:10" x14ac:dyDescent="0.25">
      <c r="I558" s="39"/>
      <c r="J558" s="47"/>
    </row>
    <row r="559" spans="9:10" x14ac:dyDescent="0.25">
      <c r="I559" s="39"/>
      <c r="J559" s="47"/>
    </row>
    <row r="560" spans="9:10" x14ac:dyDescent="0.25">
      <c r="I560" s="39"/>
      <c r="J560" s="47"/>
    </row>
    <row r="561" spans="9:10" x14ac:dyDescent="0.25">
      <c r="I561" s="39"/>
      <c r="J561" s="47"/>
    </row>
    <row r="562" spans="9:10" x14ac:dyDescent="0.25">
      <c r="I562" s="39"/>
      <c r="J562" s="47"/>
    </row>
    <row r="563" spans="9:10" x14ac:dyDescent="0.25">
      <c r="I563" s="39"/>
      <c r="J563" s="47"/>
    </row>
    <row r="564" spans="9:10" x14ac:dyDescent="0.25">
      <c r="I564" s="39"/>
      <c r="J564" s="47"/>
    </row>
    <row r="565" spans="9:10" x14ac:dyDescent="0.25">
      <c r="I565" s="39"/>
      <c r="J565" s="47"/>
    </row>
    <row r="566" spans="9:10" x14ac:dyDescent="0.25">
      <c r="I566" s="39"/>
      <c r="J566" s="47"/>
    </row>
    <row r="567" spans="9:10" x14ac:dyDescent="0.25">
      <c r="I567" s="39"/>
      <c r="J567" s="47"/>
    </row>
    <row r="568" spans="9:10" x14ac:dyDescent="0.25">
      <c r="I568" s="39"/>
      <c r="J568" s="47"/>
    </row>
    <row r="569" spans="9:10" x14ac:dyDescent="0.25">
      <c r="I569" s="39"/>
      <c r="J569" s="47"/>
    </row>
    <row r="570" spans="9:10" x14ac:dyDescent="0.25">
      <c r="I570" s="39"/>
      <c r="J570" s="47"/>
    </row>
    <row r="571" spans="9:10" x14ac:dyDescent="0.25">
      <c r="I571" s="39"/>
      <c r="J571" s="47"/>
    </row>
    <row r="572" spans="9:10" x14ac:dyDescent="0.25">
      <c r="I572" s="39"/>
      <c r="J572" s="47"/>
    </row>
    <row r="573" spans="9:10" x14ac:dyDescent="0.25">
      <c r="I573" s="39"/>
      <c r="J573" s="47"/>
    </row>
    <row r="574" spans="9:10" x14ac:dyDescent="0.25">
      <c r="I574" s="39"/>
      <c r="J574" s="47"/>
    </row>
    <row r="575" spans="9:10" x14ac:dyDescent="0.25">
      <c r="I575" s="39"/>
      <c r="J575" s="47"/>
    </row>
    <row r="576" spans="9:10" x14ac:dyDescent="0.25">
      <c r="I576" s="39"/>
      <c r="J576" s="47"/>
    </row>
    <row r="577" spans="9:10" x14ac:dyDescent="0.25">
      <c r="I577" s="39"/>
      <c r="J577" s="47"/>
    </row>
    <row r="578" spans="9:10" x14ac:dyDescent="0.25">
      <c r="I578" s="39"/>
      <c r="J578" s="47"/>
    </row>
    <row r="579" spans="9:10" x14ac:dyDescent="0.25">
      <c r="I579" s="39"/>
      <c r="J579" s="47"/>
    </row>
    <row r="580" spans="9:10" x14ac:dyDescent="0.25">
      <c r="I580" s="39"/>
      <c r="J580" s="47"/>
    </row>
    <row r="581" spans="9:10" x14ac:dyDescent="0.25">
      <c r="I581" s="39"/>
      <c r="J581" s="47"/>
    </row>
    <row r="582" spans="9:10" x14ac:dyDescent="0.25">
      <c r="I582" s="39"/>
      <c r="J582" s="47"/>
    </row>
    <row r="583" spans="9:10" x14ac:dyDescent="0.25">
      <c r="I583" s="39"/>
      <c r="J583" s="47"/>
    </row>
    <row r="584" spans="9:10" x14ac:dyDescent="0.25">
      <c r="I584" s="39"/>
      <c r="J584" s="47"/>
    </row>
    <row r="585" spans="9:10" x14ac:dyDescent="0.25">
      <c r="I585" s="39"/>
      <c r="J585" s="47"/>
    </row>
    <row r="586" spans="9:10" x14ac:dyDescent="0.25">
      <c r="I586" s="39"/>
      <c r="J586" s="47"/>
    </row>
    <row r="587" spans="9:10" x14ac:dyDescent="0.25">
      <c r="I587" s="39"/>
      <c r="J587" s="47"/>
    </row>
    <row r="588" spans="9:10" x14ac:dyDescent="0.25">
      <c r="I588" s="39"/>
      <c r="J588" s="47"/>
    </row>
    <row r="589" spans="9:10" x14ac:dyDescent="0.25">
      <c r="I589" s="39"/>
      <c r="J589" s="47"/>
    </row>
    <row r="590" spans="9:10" x14ac:dyDescent="0.25">
      <c r="I590" s="39"/>
      <c r="J590" s="47"/>
    </row>
    <row r="591" spans="9:10" x14ac:dyDescent="0.25">
      <c r="I591" s="39"/>
      <c r="J591" s="47"/>
    </row>
    <row r="592" spans="9:10" x14ac:dyDescent="0.25">
      <c r="I592" s="39"/>
      <c r="J592" s="47"/>
    </row>
    <row r="593" spans="9:10" x14ac:dyDescent="0.25">
      <c r="I593" s="39"/>
      <c r="J593" s="47"/>
    </row>
    <row r="594" spans="9:10" x14ac:dyDescent="0.25">
      <c r="I594" s="39"/>
      <c r="J594" s="47"/>
    </row>
    <row r="595" spans="9:10" x14ac:dyDescent="0.25">
      <c r="I595" s="39"/>
      <c r="J595" s="47"/>
    </row>
    <row r="596" spans="9:10" x14ac:dyDescent="0.25">
      <c r="I596" s="39"/>
      <c r="J596" s="47"/>
    </row>
    <row r="597" spans="9:10" x14ac:dyDescent="0.25">
      <c r="I597" s="39"/>
      <c r="J597" s="47"/>
    </row>
    <row r="598" spans="9:10" x14ac:dyDescent="0.25">
      <c r="I598" s="39"/>
      <c r="J598" s="47"/>
    </row>
    <row r="599" spans="9:10" x14ac:dyDescent="0.25">
      <c r="I599" s="39"/>
      <c r="J599" s="47"/>
    </row>
    <row r="600" spans="9:10" x14ac:dyDescent="0.25">
      <c r="I600" s="39"/>
      <c r="J600" s="47"/>
    </row>
    <row r="601" spans="9:10" x14ac:dyDescent="0.25">
      <c r="I601" s="39"/>
      <c r="J601" s="47"/>
    </row>
    <row r="602" spans="9:10" x14ac:dyDescent="0.25">
      <c r="I602" s="39"/>
      <c r="J602" s="47"/>
    </row>
    <row r="603" spans="9:10" x14ac:dyDescent="0.25">
      <c r="I603" s="39"/>
      <c r="J603" s="47"/>
    </row>
    <row r="604" spans="9:10" x14ac:dyDescent="0.25">
      <c r="I604" s="39"/>
      <c r="J604" s="47"/>
    </row>
    <row r="605" spans="9:10" x14ac:dyDescent="0.25">
      <c r="I605" s="39"/>
      <c r="J605" s="47"/>
    </row>
    <row r="606" spans="9:10" x14ac:dyDescent="0.25">
      <c r="I606" s="39"/>
      <c r="J606" s="47"/>
    </row>
    <row r="607" spans="9:10" x14ac:dyDescent="0.25">
      <c r="I607" s="39"/>
      <c r="J607" s="47"/>
    </row>
    <row r="608" spans="9:10" x14ac:dyDescent="0.25">
      <c r="I608" s="39"/>
      <c r="J608" s="47"/>
    </row>
    <row r="609" spans="9:10" x14ac:dyDescent="0.25">
      <c r="I609" s="39"/>
      <c r="J609" s="47"/>
    </row>
    <row r="610" spans="9:10" x14ac:dyDescent="0.25">
      <c r="I610" s="39"/>
      <c r="J610" s="47"/>
    </row>
    <row r="611" spans="9:10" x14ac:dyDescent="0.25">
      <c r="I611" s="39"/>
      <c r="J611" s="47"/>
    </row>
    <row r="612" spans="9:10" x14ac:dyDescent="0.25">
      <c r="I612" s="39"/>
      <c r="J612" s="47"/>
    </row>
    <row r="613" spans="9:10" x14ac:dyDescent="0.25">
      <c r="I613" s="39"/>
      <c r="J613" s="47"/>
    </row>
    <row r="614" spans="9:10" x14ac:dyDescent="0.25">
      <c r="I614" s="39"/>
      <c r="J614" s="47"/>
    </row>
    <row r="615" spans="9:10" x14ac:dyDescent="0.25">
      <c r="I615" s="39"/>
      <c r="J615" s="47"/>
    </row>
    <row r="616" spans="9:10" x14ac:dyDescent="0.25">
      <c r="I616" s="39"/>
      <c r="J616" s="47"/>
    </row>
    <row r="617" spans="9:10" x14ac:dyDescent="0.25">
      <c r="I617" s="39"/>
      <c r="J617" s="47"/>
    </row>
    <row r="618" spans="9:10" x14ac:dyDescent="0.25">
      <c r="I618" s="39"/>
      <c r="J618" s="47"/>
    </row>
    <row r="619" spans="9:10" x14ac:dyDescent="0.25">
      <c r="I619" s="39"/>
      <c r="J619" s="47"/>
    </row>
    <row r="620" spans="9:10" x14ac:dyDescent="0.25">
      <c r="I620" s="39"/>
      <c r="J620" s="47"/>
    </row>
    <row r="621" spans="9:10" x14ac:dyDescent="0.25">
      <c r="I621" s="39"/>
      <c r="J621" s="47"/>
    </row>
    <row r="622" spans="9:10" x14ac:dyDescent="0.25">
      <c r="I622" s="39"/>
      <c r="J622" s="47"/>
    </row>
    <row r="623" spans="9:10" x14ac:dyDescent="0.25">
      <c r="I623" s="39"/>
      <c r="J623" s="47"/>
    </row>
    <row r="624" spans="9:10" x14ac:dyDescent="0.25">
      <c r="I624" s="39"/>
      <c r="J624" s="47"/>
    </row>
    <row r="625" spans="9:10" x14ac:dyDescent="0.25">
      <c r="I625" s="39"/>
      <c r="J625" s="47"/>
    </row>
    <row r="626" spans="9:10" x14ac:dyDescent="0.25">
      <c r="I626" s="39"/>
      <c r="J626" s="47"/>
    </row>
    <row r="627" spans="9:10" x14ac:dyDescent="0.25">
      <c r="I627" s="39"/>
      <c r="J627" s="47"/>
    </row>
    <row r="628" spans="9:10" x14ac:dyDescent="0.25">
      <c r="I628" s="39"/>
      <c r="J628" s="47"/>
    </row>
    <row r="629" spans="9:10" x14ac:dyDescent="0.25">
      <c r="I629" s="39"/>
      <c r="J629" s="47"/>
    </row>
    <row r="630" spans="9:10" x14ac:dyDescent="0.25">
      <c r="I630" s="39"/>
      <c r="J630" s="47"/>
    </row>
    <row r="631" spans="9:10" x14ac:dyDescent="0.25">
      <c r="I631" s="39"/>
      <c r="J631" s="47"/>
    </row>
    <row r="632" spans="9:10" x14ac:dyDescent="0.25">
      <c r="I632" s="39"/>
      <c r="J632" s="47"/>
    </row>
    <row r="633" spans="9:10" x14ac:dyDescent="0.25">
      <c r="I633" s="39"/>
      <c r="J633" s="47"/>
    </row>
    <row r="634" spans="9:10" x14ac:dyDescent="0.25">
      <c r="I634" s="39"/>
      <c r="J634" s="47"/>
    </row>
    <row r="635" spans="9:10" x14ac:dyDescent="0.25">
      <c r="I635" s="39"/>
      <c r="J635" s="47"/>
    </row>
    <row r="636" spans="9:10" x14ac:dyDescent="0.25">
      <c r="I636" s="39"/>
      <c r="J636" s="47"/>
    </row>
    <row r="637" spans="9:10" x14ac:dyDescent="0.25">
      <c r="I637" s="39"/>
      <c r="J637" s="47"/>
    </row>
    <row r="638" spans="9:10" x14ac:dyDescent="0.25">
      <c r="I638" s="39"/>
      <c r="J638" s="47"/>
    </row>
    <row r="639" spans="9:10" x14ac:dyDescent="0.25">
      <c r="I639" s="39"/>
      <c r="J639" s="47"/>
    </row>
    <row r="640" spans="9:10" x14ac:dyDescent="0.25">
      <c r="I640" s="39"/>
      <c r="J640" s="47"/>
    </row>
    <row r="641" spans="9:10" x14ac:dyDescent="0.25">
      <c r="I641" s="39"/>
      <c r="J641" s="47"/>
    </row>
    <row r="642" spans="9:10" x14ac:dyDescent="0.25">
      <c r="I642" s="39"/>
      <c r="J642" s="47"/>
    </row>
    <row r="643" spans="9:10" x14ac:dyDescent="0.25">
      <c r="I643" s="39"/>
      <c r="J643" s="47"/>
    </row>
    <row r="644" spans="9:10" x14ac:dyDescent="0.25">
      <c r="I644" s="39"/>
      <c r="J644" s="47"/>
    </row>
    <row r="645" spans="9:10" x14ac:dyDescent="0.25">
      <c r="I645" s="39"/>
      <c r="J645" s="47"/>
    </row>
    <row r="646" spans="9:10" x14ac:dyDescent="0.25">
      <c r="I646" s="39"/>
      <c r="J646" s="47"/>
    </row>
    <row r="647" spans="9:10" x14ac:dyDescent="0.25">
      <c r="I647" s="39"/>
      <c r="J647" s="47"/>
    </row>
    <row r="648" spans="9:10" x14ac:dyDescent="0.25">
      <c r="I648" s="39"/>
      <c r="J648" s="47"/>
    </row>
    <row r="649" spans="9:10" x14ac:dyDescent="0.25">
      <c r="I649" s="39"/>
      <c r="J649" s="47"/>
    </row>
    <row r="650" spans="9:10" x14ac:dyDescent="0.25">
      <c r="I650" s="39"/>
      <c r="J650" s="47"/>
    </row>
    <row r="651" spans="9:10" x14ac:dyDescent="0.25">
      <c r="I651" s="39"/>
      <c r="J651" s="47"/>
    </row>
    <row r="652" spans="9:10" x14ac:dyDescent="0.25">
      <c r="I652" s="39"/>
      <c r="J652" s="47"/>
    </row>
    <row r="653" spans="9:10" x14ac:dyDescent="0.25">
      <c r="I653" s="39"/>
      <c r="J653" s="47"/>
    </row>
    <row r="654" spans="9:10" x14ac:dyDescent="0.25">
      <c r="I654" s="39"/>
      <c r="J654" s="47"/>
    </row>
    <row r="655" spans="9:10" x14ac:dyDescent="0.25">
      <c r="I655" s="39"/>
      <c r="J655" s="47"/>
    </row>
    <row r="656" spans="9:10" x14ac:dyDescent="0.25">
      <c r="I656" s="39"/>
      <c r="J656" s="47"/>
    </row>
    <row r="657" spans="9:10" x14ac:dyDescent="0.25">
      <c r="I657" s="39"/>
      <c r="J657" s="47"/>
    </row>
    <row r="658" spans="9:10" x14ac:dyDescent="0.25">
      <c r="I658" s="39"/>
      <c r="J658" s="47"/>
    </row>
    <row r="659" spans="9:10" x14ac:dyDescent="0.25">
      <c r="I659" s="39"/>
      <c r="J659" s="47"/>
    </row>
    <row r="660" spans="9:10" x14ac:dyDescent="0.25">
      <c r="I660" s="39"/>
      <c r="J660" s="47"/>
    </row>
    <row r="661" spans="9:10" x14ac:dyDescent="0.25">
      <c r="I661" s="39"/>
      <c r="J661" s="47"/>
    </row>
    <row r="662" spans="9:10" x14ac:dyDescent="0.25">
      <c r="I662" s="39"/>
      <c r="J662" s="47"/>
    </row>
    <row r="663" spans="9:10" x14ac:dyDescent="0.25">
      <c r="I663" s="39"/>
      <c r="J663" s="47"/>
    </row>
    <row r="664" spans="9:10" x14ac:dyDescent="0.25">
      <c r="I664" s="39"/>
      <c r="J664" s="47"/>
    </row>
    <row r="665" spans="9:10" x14ac:dyDescent="0.25">
      <c r="I665" s="39"/>
      <c r="J665" s="47"/>
    </row>
    <row r="666" spans="9:10" x14ac:dyDescent="0.25">
      <c r="I666" s="39"/>
      <c r="J666" s="47"/>
    </row>
    <row r="667" spans="9:10" x14ac:dyDescent="0.25">
      <c r="I667" s="39"/>
      <c r="J667" s="47"/>
    </row>
    <row r="668" spans="9:10" x14ac:dyDescent="0.25">
      <c r="I668" s="39"/>
      <c r="J668" s="47"/>
    </row>
    <row r="669" spans="9:10" x14ac:dyDescent="0.25">
      <c r="I669" s="39"/>
      <c r="J669" s="47"/>
    </row>
    <row r="670" spans="9:10" x14ac:dyDescent="0.25">
      <c r="I670" s="39"/>
      <c r="J670" s="47"/>
    </row>
    <row r="671" spans="9:10" x14ac:dyDescent="0.25">
      <c r="I671" s="39"/>
      <c r="J671" s="47"/>
    </row>
    <row r="672" spans="9:10" x14ac:dyDescent="0.25">
      <c r="I672" s="39"/>
      <c r="J672" s="47"/>
    </row>
    <row r="673" spans="9:10" x14ac:dyDescent="0.25">
      <c r="I673" s="39"/>
      <c r="J673" s="47"/>
    </row>
    <row r="674" spans="9:10" x14ac:dyDescent="0.25">
      <c r="I674" s="39"/>
      <c r="J674" s="47"/>
    </row>
    <row r="675" spans="9:10" x14ac:dyDescent="0.25">
      <c r="I675" s="39"/>
      <c r="J675" s="47"/>
    </row>
    <row r="676" spans="9:10" x14ac:dyDescent="0.25">
      <c r="I676" s="39"/>
      <c r="J676" s="47"/>
    </row>
    <row r="677" spans="9:10" x14ac:dyDescent="0.25">
      <c r="I677" s="39"/>
      <c r="J677" s="47"/>
    </row>
    <row r="678" spans="9:10" x14ac:dyDescent="0.25">
      <c r="I678" s="39"/>
      <c r="J678" s="47"/>
    </row>
    <row r="679" spans="9:10" x14ac:dyDescent="0.25">
      <c r="I679" s="39"/>
      <c r="J679" s="47"/>
    </row>
    <row r="680" spans="9:10" x14ac:dyDescent="0.25">
      <c r="I680" s="39"/>
      <c r="J680" s="47"/>
    </row>
    <row r="681" spans="9:10" x14ac:dyDescent="0.25">
      <c r="I681" s="39"/>
      <c r="J681" s="47"/>
    </row>
    <row r="682" spans="9:10" x14ac:dyDescent="0.25">
      <c r="I682" s="39"/>
      <c r="J682" s="47"/>
    </row>
    <row r="683" spans="9:10" x14ac:dyDescent="0.25">
      <c r="I683" s="39"/>
      <c r="J683" s="47"/>
    </row>
    <row r="684" spans="9:10" x14ac:dyDescent="0.25">
      <c r="I684" s="39"/>
      <c r="J684" s="47"/>
    </row>
    <row r="685" spans="9:10" x14ac:dyDescent="0.25">
      <c r="I685" s="39"/>
      <c r="J685" s="47"/>
    </row>
    <row r="686" spans="9:10" x14ac:dyDescent="0.25">
      <c r="I686" s="39"/>
      <c r="J686" s="47"/>
    </row>
    <row r="687" spans="9:10" x14ac:dyDescent="0.25">
      <c r="I687" s="39"/>
      <c r="J687" s="47"/>
    </row>
    <row r="688" spans="9:10" x14ac:dyDescent="0.25">
      <c r="I688" s="39"/>
      <c r="J688" s="47"/>
    </row>
    <row r="689" spans="9:10" x14ac:dyDescent="0.25">
      <c r="I689" s="39"/>
      <c r="J689" s="47"/>
    </row>
    <row r="690" spans="9:10" x14ac:dyDescent="0.25">
      <c r="I690" s="39"/>
      <c r="J690" s="47"/>
    </row>
    <row r="691" spans="9:10" x14ac:dyDescent="0.25">
      <c r="I691" s="39"/>
      <c r="J691" s="47"/>
    </row>
    <row r="692" spans="9:10" x14ac:dyDescent="0.25">
      <c r="I692" s="39"/>
      <c r="J692" s="47"/>
    </row>
    <row r="693" spans="9:10" x14ac:dyDescent="0.25">
      <c r="I693" s="39"/>
      <c r="J693" s="47"/>
    </row>
    <row r="694" spans="9:10" x14ac:dyDescent="0.25">
      <c r="I694" s="39"/>
      <c r="J694" s="47"/>
    </row>
    <row r="695" spans="9:10" x14ac:dyDescent="0.25">
      <c r="I695" s="39"/>
      <c r="J695" s="47"/>
    </row>
    <row r="696" spans="9:10" x14ac:dyDescent="0.25">
      <c r="I696" s="39"/>
      <c r="J696" s="47"/>
    </row>
    <row r="697" spans="9:10" x14ac:dyDescent="0.25">
      <c r="I697" s="39"/>
      <c r="J697" s="47"/>
    </row>
    <row r="698" spans="9:10" x14ac:dyDescent="0.25">
      <c r="I698" s="39"/>
      <c r="J698" s="47"/>
    </row>
    <row r="699" spans="9:10" x14ac:dyDescent="0.25">
      <c r="I699" s="39"/>
      <c r="J699" s="47"/>
    </row>
    <row r="700" spans="9:10" x14ac:dyDescent="0.25">
      <c r="I700" s="39"/>
      <c r="J700" s="47"/>
    </row>
    <row r="701" spans="9:10" x14ac:dyDescent="0.25">
      <c r="I701" s="39"/>
      <c r="J701" s="47"/>
    </row>
    <row r="702" spans="9:10" x14ac:dyDescent="0.25">
      <c r="I702" s="39"/>
      <c r="J702" s="47"/>
    </row>
    <row r="703" spans="9:10" x14ac:dyDescent="0.25">
      <c r="I703" s="39"/>
      <c r="J703" s="47"/>
    </row>
    <row r="704" spans="9:10" x14ac:dyDescent="0.25">
      <c r="I704" s="39"/>
      <c r="J704" s="47"/>
    </row>
    <row r="705" spans="9:10" x14ac:dyDescent="0.25">
      <c r="I705" s="39"/>
      <c r="J705" s="47"/>
    </row>
    <row r="706" spans="9:10" x14ac:dyDescent="0.25">
      <c r="I706" s="39"/>
      <c r="J706" s="47"/>
    </row>
    <row r="707" spans="9:10" x14ac:dyDescent="0.25">
      <c r="I707" s="39"/>
      <c r="J707" s="47"/>
    </row>
    <row r="708" spans="9:10" x14ac:dyDescent="0.25">
      <c r="I708" s="39"/>
      <c r="J708" s="47"/>
    </row>
    <row r="709" spans="9:10" x14ac:dyDescent="0.25">
      <c r="I709" s="39"/>
      <c r="J709" s="47"/>
    </row>
    <row r="710" spans="9:10" x14ac:dyDescent="0.25">
      <c r="I710" s="39"/>
      <c r="J710" s="47"/>
    </row>
    <row r="711" spans="9:10" x14ac:dyDescent="0.25">
      <c r="I711" s="39"/>
      <c r="J711" s="47"/>
    </row>
    <row r="712" spans="9:10" x14ac:dyDescent="0.25">
      <c r="I712" s="39"/>
      <c r="J712" s="47"/>
    </row>
    <row r="713" spans="9:10" x14ac:dyDescent="0.25">
      <c r="I713" s="39"/>
      <c r="J713" s="47"/>
    </row>
    <row r="714" spans="9:10" x14ac:dyDescent="0.25">
      <c r="I714" s="39"/>
      <c r="J714" s="47"/>
    </row>
    <row r="715" spans="9:10" x14ac:dyDescent="0.25">
      <c r="I715" s="39"/>
      <c r="J715" s="47"/>
    </row>
    <row r="716" spans="9:10" x14ac:dyDescent="0.25">
      <c r="I716" s="39"/>
      <c r="J716" s="47"/>
    </row>
    <row r="717" spans="9:10" x14ac:dyDescent="0.25">
      <c r="I717" s="39"/>
      <c r="J717" s="47"/>
    </row>
    <row r="718" spans="9:10" x14ac:dyDescent="0.25">
      <c r="I718" s="39"/>
      <c r="J718" s="47"/>
    </row>
    <row r="719" spans="9:10" x14ac:dyDescent="0.25">
      <c r="I719" s="39"/>
      <c r="J719" s="47"/>
    </row>
    <row r="720" spans="9:10" x14ac:dyDescent="0.25">
      <c r="I720" s="39"/>
      <c r="J720" s="47"/>
    </row>
    <row r="721" spans="9:10" x14ac:dyDescent="0.25">
      <c r="I721" s="39"/>
      <c r="J721" s="47"/>
    </row>
    <row r="722" spans="9:10" x14ac:dyDescent="0.25">
      <c r="I722" s="39"/>
      <c r="J722" s="47"/>
    </row>
    <row r="723" spans="9:10" x14ac:dyDescent="0.25">
      <c r="I723" s="39"/>
      <c r="J723" s="47"/>
    </row>
    <row r="724" spans="9:10" x14ac:dyDescent="0.25">
      <c r="I724" s="39"/>
      <c r="J724" s="47"/>
    </row>
    <row r="725" spans="9:10" x14ac:dyDescent="0.25">
      <c r="I725" s="39"/>
      <c r="J725" s="47"/>
    </row>
    <row r="726" spans="9:10" x14ac:dyDescent="0.25">
      <c r="I726" s="39"/>
      <c r="J726" s="47"/>
    </row>
    <row r="727" spans="9:10" x14ac:dyDescent="0.25">
      <c r="I727" s="39"/>
      <c r="J727" s="47"/>
    </row>
    <row r="728" spans="9:10" x14ac:dyDescent="0.25">
      <c r="I728" s="39"/>
      <c r="J728" s="47"/>
    </row>
    <row r="729" spans="9:10" x14ac:dyDescent="0.25">
      <c r="I729" s="39"/>
      <c r="J729" s="47"/>
    </row>
    <row r="730" spans="9:10" x14ac:dyDescent="0.25">
      <c r="I730" s="39"/>
      <c r="J730" s="47"/>
    </row>
    <row r="731" spans="9:10" x14ac:dyDescent="0.25">
      <c r="I731" s="39"/>
      <c r="J731" s="47"/>
    </row>
    <row r="732" spans="9:10" x14ac:dyDescent="0.25">
      <c r="I732" s="39"/>
      <c r="J732" s="47"/>
    </row>
    <row r="733" spans="9:10" x14ac:dyDescent="0.25">
      <c r="I733" s="39"/>
      <c r="J733" s="47"/>
    </row>
    <row r="734" spans="9:10" x14ac:dyDescent="0.25">
      <c r="I734" s="39"/>
      <c r="J734" s="47"/>
    </row>
    <row r="735" spans="9:10" x14ac:dyDescent="0.25">
      <c r="I735" s="39"/>
      <c r="J735" s="47"/>
    </row>
    <row r="736" spans="9:10" x14ac:dyDescent="0.25">
      <c r="I736" s="39"/>
      <c r="J736" s="47"/>
    </row>
    <row r="737" spans="9:10" x14ac:dyDescent="0.25">
      <c r="I737" s="39"/>
      <c r="J737" s="47"/>
    </row>
    <row r="738" spans="9:10" x14ac:dyDescent="0.25">
      <c r="I738" s="39"/>
      <c r="J738" s="47"/>
    </row>
    <row r="739" spans="9:10" x14ac:dyDescent="0.25">
      <c r="I739" s="39"/>
      <c r="J739" s="47"/>
    </row>
    <row r="740" spans="9:10" x14ac:dyDescent="0.25">
      <c r="I740" s="39"/>
      <c r="J740" s="47"/>
    </row>
    <row r="741" spans="9:10" x14ac:dyDescent="0.25">
      <c r="I741" s="39"/>
      <c r="J741" s="47"/>
    </row>
    <row r="742" spans="9:10" x14ac:dyDescent="0.25">
      <c r="I742" s="39"/>
      <c r="J742" s="47"/>
    </row>
    <row r="743" spans="9:10" x14ac:dyDescent="0.25">
      <c r="I743" s="39"/>
      <c r="J743" s="47"/>
    </row>
    <row r="744" spans="9:10" x14ac:dyDescent="0.25">
      <c r="I744" s="39"/>
      <c r="J744" s="47"/>
    </row>
    <row r="745" spans="9:10" x14ac:dyDescent="0.25">
      <c r="I745" s="39"/>
      <c r="J745" s="47"/>
    </row>
    <row r="746" spans="9:10" x14ac:dyDescent="0.25">
      <c r="I746" s="39"/>
      <c r="J746" s="47"/>
    </row>
    <row r="747" spans="9:10" x14ac:dyDescent="0.25">
      <c r="I747" s="39"/>
      <c r="J747" s="47"/>
    </row>
    <row r="748" spans="9:10" x14ac:dyDescent="0.25">
      <c r="I748" s="39"/>
      <c r="J748" s="47"/>
    </row>
    <row r="749" spans="9:10" x14ac:dyDescent="0.25">
      <c r="I749" s="39"/>
      <c r="J749" s="47"/>
    </row>
    <row r="750" spans="9:10" x14ac:dyDescent="0.25">
      <c r="I750" s="39"/>
      <c r="J750" s="47"/>
    </row>
    <row r="751" spans="9:10" x14ac:dyDescent="0.25">
      <c r="I751" s="39"/>
      <c r="J751" s="47"/>
    </row>
    <row r="752" spans="9:10" x14ac:dyDescent="0.25">
      <c r="I752" s="39"/>
      <c r="J752" s="47"/>
    </row>
    <row r="753" spans="9:10" x14ac:dyDescent="0.25">
      <c r="I753" s="39"/>
      <c r="J753" s="47"/>
    </row>
    <row r="754" spans="9:10" x14ac:dyDescent="0.25">
      <c r="I754" s="39"/>
      <c r="J754" s="47"/>
    </row>
    <row r="755" spans="9:10" x14ac:dyDescent="0.25">
      <c r="I755" s="39"/>
      <c r="J755" s="47"/>
    </row>
    <row r="756" spans="9:10" x14ac:dyDescent="0.25">
      <c r="I756" s="39"/>
      <c r="J756" s="47"/>
    </row>
    <row r="757" spans="9:10" x14ac:dyDescent="0.25">
      <c r="I757" s="39"/>
      <c r="J757" s="47"/>
    </row>
    <row r="758" spans="9:10" x14ac:dyDescent="0.25">
      <c r="I758" s="39"/>
      <c r="J758" s="47"/>
    </row>
    <row r="759" spans="9:10" x14ac:dyDescent="0.25">
      <c r="I759" s="39"/>
      <c r="J759" s="47"/>
    </row>
    <row r="760" spans="9:10" x14ac:dyDescent="0.25">
      <c r="I760" s="39"/>
      <c r="J760" s="47"/>
    </row>
    <row r="761" spans="9:10" x14ac:dyDescent="0.25">
      <c r="I761" s="39"/>
      <c r="J761" s="47"/>
    </row>
    <row r="762" spans="9:10" x14ac:dyDescent="0.25">
      <c r="I762" s="39"/>
      <c r="J762" s="47"/>
    </row>
    <row r="763" spans="9:10" x14ac:dyDescent="0.25">
      <c r="I763" s="39"/>
      <c r="J763" s="47"/>
    </row>
    <row r="764" spans="9:10" x14ac:dyDescent="0.25">
      <c r="I764" s="39"/>
      <c r="J764" s="47"/>
    </row>
    <row r="765" spans="9:10" x14ac:dyDescent="0.25">
      <c r="I765" s="39"/>
      <c r="J765" s="47"/>
    </row>
    <row r="766" spans="9:10" x14ac:dyDescent="0.25">
      <c r="I766" s="39"/>
      <c r="J766" s="47"/>
    </row>
    <row r="767" spans="9:10" x14ac:dyDescent="0.25">
      <c r="I767" s="39"/>
      <c r="J767" s="47"/>
    </row>
    <row r="768" spans="9:10" x14ac:dyDescent="0.25">
      <c r="I768" s="39"/>
      <c r="J768" s="47"/>
    </row>
    <row r="769" spans="9:10" x14ac:dyDescent="0.25">
      <c r="I769" s="39"/>
      <c r="J769" s="47"/>
    </row>
    <row r="770" spans="9:10" x14ac:dyDescent="0.25">
      <c r="I770" s="39"/>
      <c r="J770" s="47"/>
    </row>
    <row r="771" spans="9:10" x14ac:dyDescent="0.25">
      <c r="I771" s="39"/>
      <c r="J771" s="47"/>
    </row>
    <row r="772" spans="9:10" x14ac:dyDescent="0.25">
      <c r="I772" s="39"/>
      <c r="J772" s="47"/>
    </row>
    <row r="773" spans="9:10" x14ac:dyDescent="0.25">
      <c r="I773" s="39"/>
      <c r="J773" s="47"/>
    </row>
    <row r="774" spans="9:10" x14ac:dyDescent="0.25">
      <c r="I774" s="39"/>
      <c r="J774" s="47"/>
    </row>
    <row r="775" spans="9:10" x14ac:dyDescent="0.25">
      <c r="I775" s="39"/>
      <c r="J775" s="47"/>
    </row>
    <row r="776" spans="9:10" x14ac:dyDescent="0.25">
      <c r="I776" s="39"/>
      <c r="J776" s="47"/>
    </row>
    <row r="777" spans="9:10" x14ac:dyDescent="0.25">
      <c r="I777" s="39"/>
      <c r="J777" s="47"/>
    </row>
    <row r="778" spans="9:10" x14ac:dyDescent="0.25">
      <c r="I778" s="39"/>
      <c r="J778" s="47"/>
    </row>
    <row r="779" spans="9:10" x14ac:dyDescent="0.25">
      <c r="I779" s="39"/>
      <c r="J779" s="47"/>
    </row>
    <row r="780" spans="9:10" x14ac:dyDescent="0.25">
      <c r="I780" s="39"/>
      <c r="J780" s="47"/>
    </row>
    <row r="781" spans="9:10" x14ac:dyDescent="0.25">
      <c r="I781" s="39"/>
      <c r="J781" s="47"/>
    </row>
    <row r="782" spans="9:10" x14ac:dyDescent="0.25">
      <c r="I782" s="39"/>
      <c r="J782" s="47"/>
    </row>
    <row r="783" spans="9:10" x14ac:dyDescent="0.25">
      <c r="I783" s="39"/>
      <c r="J783" s="47"/>
    </row>
    <row r="784" spans="9:10" x14ac:dyDescent="0.25">
      <c r="I784" s="39"/>
      <c r="J784" s="47"/>
    </row>
    <row r="785" spans="9:10" x14ac:dyDescent="0.25">
      <c r="I785" s="39"/>
      <c r="J785" s="47"/>
    </row>
    <row r="786" spans="9:10" x14ac:dyDescent="0.25">
      <c r="I786" s="39"/>
      <c r="J786" s="47"/>
    </row>
    <row r="787" spans="9:10" x14ac:dyDescent="0.25">
      <c r="I787" s="39"/>
      <c r="J787" s="47"/>
    </row>
    <row r="788" spans="9:10" x14ac:dyDescent="0.25">
      <c r="I788" s="39"/>
      <c r="J788" s="47"/>
    </row>
    <row r="789" spans="9:10" x14ac:dyDescent="0.25">
      <c r="I789" s="39"/>
      <c r="J789" s="47"/>
    </row>
    <row r="790" spans="9:10" x14ac:dyDescent="0.25">
      <c r="I790" s="39"/>
      <c r="J790" s="47"/>
    </row>
    <row r="791" spans="9:10" x14ac:dyDescent="0.25">
      <c r="I791" s="39"/>
      <c r="J791" s="47"/>
    </row>
    <row r="792" spans="9:10" x14ac:dyDescent="0.25">
      <c r="I792" s="39"/>
      <c r="J792" s="47"/>
    </row>
    <row r="793" spans="9:10" x14ac:dyDescent="0.25">
      <c r="I793" s="39"/>
      <c r="J793" s="47"/>
    </row>
    <row r="794" spans="9:10" x14ac:dyDescent="0.25">
      <c r="I794" s="39"/>
      <c r="J794" s="47"/>
    </row>
    <row r="795" spans="9:10" x14ac:dyDescent="0.25">
      <c r="I795" s="39"/>
      <c r="J795" s="47"/>
    </row>
    <row r="796" spans="9:10" x14ac:dyDescent="0.25">
      <c r="I796" s="39"/>
      <c r="J796" s="47"/>
    </row>
    <row r="797" spans="9:10" x14ac:dyDescent="0.25">
      <c r="I797" s="39"/>
      <c r="J797" s="47"/>
    </row>
    <row r="798" spans="9:10" x14ac:dyDescent="0.25">
      <c r="I798" s="39"/>
      <c r="J798" s="47"/>
    </row>
    <row r="799" spans="9:10" x14ac:dyDescent="0.25">
      <c r="I799" s="39"/>
      <c r="J799" s="47"/>
    </row>
    <row r="800" spans="9:10" x14ac:dyDescent="0.25">
      <c r="I800" s="39"/>
      <c r="J800" s="47"/>
    </row>
    <row r="801" spans="9:10" x14ac:dyDescent="0.25">
      <c r="I801" s="39"/>
      <c r="J801" s="47"/>
    </row>
    <row r="802" spans="9:10" x14ac:dyDescent="0.25">
      <c r="I802" s="39"/>
      <c r="J802" s="47"/>
    </row>
    <row r="803" spans="9:10" x14ac:dyDescent="0.25">
      <c r="I803" s="39"/>
      <c r="J803" s="47"/>
    </row>
    <row r="804" spans="9:10" x14ac:dyDescent="0.25">
      <c r="I804" s="39"/>
      <c r="J804" s="47"/>
    </row>
    <row r="805" spans="9:10" x14ac:dyDescent="0.25">
      <c r="I805" s="39"/>
      <c r="J805" s="47"/>
    </row>
    <row r="806" spans="9:10" x14ac:dyDescent="0.25">
      <c r="I806" s="39"/>
      <c r="J806" s="47"/>
    </row>
    <row r="807" spans="9:10" x14ac:dyDescent="0.25">
      <c r="I807" s="39"/>
      <c r="J807" s="47"/>
    </row>
    <row r="808" spans="9:10" x14ac:dyDescent="0.25">
      <c r="I808" s="39"/>
      <c r="J808" s="47"/>
    </row>
    <row r="809" spans="9:10" x14ac:dyDescent="0.25">
      <c r="I809" s="39"/>
      <c r="J809" s="47"/>
    </row>
    <row r="810" spans="9:10" x14ac:dyDescent="0.25">
      <c r="I810" s="39"/>
      <c r="J810" s="47"/>
    </row>
    <row r="811" spans="9:10" x14ac:dyDescent="0.25">
      <c r="I811" s="39"/>
      <c r="J811" s="47"/>
    </row>
    <row r="812" spans="9:10" x14ac:dyDescent="0.25">
      <c r="I812" s="39"/>
      <c r="J812" s="47"/>
    </row>
    <row r="813" spans="9:10" x14ac:dyDescent="0.25">
      <c r="I813" s="39"/>
      <c r="J813" s="47"/>
    </row>
    <row r="814" spans="9:10" x14ac:dyDescent="0.25">
      <c r="I814" s="39"/>
      <c r="J814" s="47"/>
    </row>
    <row r="815" spans="9:10" x14ac:dyDescent="0.25">
      <c r="I815" s="39"/>
      <c r="J815" s="47"/>
    </row>
    <row r="816" spans="9:10" x14ac:dyDescent="0.25">
      <c r="I816" s="39"/>
      <c r="J816" s="47"/>
    </row>
    <row r="817" spans="9:10" x14ac:dyDescent="0.25">
      <c r="I817" s="39"/>
      <c r="J817" s="47"/>
    </row>
    <row r="818" spans="9:10" x14ac:dyDescent="0.25">
      <c r="I818" s="39"/>
      <c r="J818" s="47"/>
    </row>
    <row r="819" spans="9:10" x14ac:dyDescent="0.25">
      <c r="I819" s="39"/>
      <c r="J819" s="47"/>
    </row>
    <row r="820" spans="9:10" x14ac:dyDescent="0.25">
      <c r="I820" s="39"/>
      <c r="J820" s="47"/>
    </row>
    <row r="821" spans="9:10" x14ac:dyDescent="0.25">
      <c r="I821" s="39"/>
      <c r="J821" s="47"/>
    </row>
    <row r="822" spans="9:10" x14ac:dyDescent="0.25">
      <c r="I822" s="39"/>
      <c r="J822" s="47"/>
    </row>
    <row r="823" spans="9:10" x14ac:dyDescent="0.25">
      <c r="I823" s="39"/>
      <c r="J823" s="47"/>
    </row>
    <row r="824" spans="9:10" x14ac:dyDescent="0.25">
      <c r="I824" s="39"/>
      <c r="J824" s="47"/>
    </row>
    <row r="825" spans="9:10" x14ac:dyDescent="0.25">
      <c r="I825" s="39"/>
      <c r="J825" s="47"/>
    </row>
    <row r="826" spans="9:10" x14ac:dyDescent="0.25">
      <c r="I826" s="39"/>
      <c r="J826" s="47"/>
    </row>
    <row r="827" spans="9:10" x14ac:dyDescent="0.25">
      <c r="I827" s="39"/>
      <c r="J827" s="47"/>
    </row>
    <row r="828" spans="9:10" x14ac:dyDescent="0.25">
      <c r="I828" s="39"/>
      <c r="J828" s="47"/>
    </row>
    <row r="829" spans="9:10" x14ac:dyDescent="0.25">
      <c r="I829" s="39"/>
      <c r="J829" s="47"/>
    </row>
    <row r="830" spans="9:10" x14ac:dyDescent="0.25">
      <c r="I830" s="39"/>
      <c r="J830" s="47"/>
    </row>
    <row r="831" spans="9:10" x14ac:dyDescent="0.25">
      <c r="I831" s="39"/>
      <c r="J831" s="47"/>
    </row>
    <row r="832" spans="9:10" x14ac:dyDescent="0.25">
      <c r="I832" s="39"/>
      <c r="J832" s="47"/>
    </row>
    <row r="833" spans="9:10" x14ac:dyDescent="0.25">
      <c r="I833" s="39"/>
      <c r="J833" s="47"/>
    </row>
    <row r="834" spans="9:10" x14ac:dyDescent="0.25">
      <c r="I834" s="39"/>
      <c r="J834" s="47"/>
    </row>
    <row r="835" spans="9:10" x14ac:dyDescent="0.25">
      <c r="I835" s="39"/>
      <c r="J835" s="47"/>
    </row>
    <row r="836" spans="9:10" x14ac:dyDescent="0.25">
      <c r="I836" s="39"/>
      <c r="J836" s="47"/>
    </row>
    <row r="837" spans="9:10" x14ac:dyDescent="0.25">
      <c r="I837" s="39"/>
      <c r="J837" s="47"/>
    </row>
    <row r="838" spans="9:10" x14ac:dyDescent="0.25">
      <c r="I838" s="39"/>
      <c r="J838" s="47"/>
    </row>
    <row r="839" spans="9:10" x14ac:dyDescent="0.25">
      <c r="I839" s="39"/>
      <c r="J839" s="47"/>
    </row>
    <row r="840" spans="9:10" x14ac:dyDescent="0.25">
      <c r="I840" s="39"/>
      <c r="J840" s="47"/>
    </row>
    <row r="841" spans="9:10" x14ac:dyDescent="0.25">
      <c r="I841" s="39"/>
      <c r="J841" s="47"/>
    </row>
    <row r="842" spans="9:10" x14ac:dyDescent="0.25">
      <c r="I842" s="39"/>
      <c r="J842" s="47"/>
    </row>
    <row r="843" spans="9:10" x14ac:dyDescent="0.25">
      <c r="I843" s="39"/>
      <c r="J843" s="47"/>
    </row>
    <row r="844" spans="9:10" x14ac:dyDescent="0.25">
      <c r="I844" s="39"/>
      <c r="J844" s="47"/>
    </row>
    <row r="845" spans="9:10" x14ac:dyDescent="0.25">
      <c r="I845" s="39"/>
      <c r="J845" s="47"/>
    </row>
    <row r="846" spans="9:10" x14ac:dyDescent="0.25">
      <c r="I846" s="39"/>
      <c r="J846" s="47"/>
    </row>
    <row r="847" spans="9:10" x14ac:dyDescent="0.25">
      <c r="I847" s="39"/>
      <c r="J847" s="47"/>
    </row>
    <row r="848" spans="9:10" x14ac:dyDescent="0.25">
      <c r="I848" s="39"/>
      <c r="J848" s="47"/>
    </row>
    <row r="849" spans="9:10" x14ac:dyDescent="0.25">
      <c r="I849" s="39"/>
      <c r="J849" s="47"/>
    </row>
    <row r="850" spans="9:10" x14ac:dyDescent="0.25">
      <c r="I850" s="39"/>
      <c r="J850" s="47"/>
    </row>
    <row r="851" spans="9:10" x14ac:dyDescent="0.25">
      <c r="I851" s="39"/>
      <c r="J851" s="47"/>
    </row>
    <row r="852" spans="9:10" x14ac:dyDescent="0.25">
      <c r="I852" s="39"/>
      <c r="J852" s="47"/>
    </row>
    <row r="853" spans="9:10" x14ac:dyDescent="0.25">
      <c r="I853" s="39"/>
      <c r="J853" s="47"/>
    </row>
    <row r="854" spans="9:10" x14ac:dyDescent="0.25">
      <c r="I854" s="39"/>
      <c r="J854" s="47"/>
    </row>
    <row r="855" spans="9:10" x14ac:dyDescent="0.25">
      <c r="I855" s="39"/>
      <c r="J855" s="47"/>
    </row>
    <row r="856" spans="9:10" x14ac:dyDescent="0.25">
      <c r="I856" s="39"/>
      <c r="J856" s="47"/>
    </row>
    <row r="857" spans="9:10" x14ac:dyDescent="0.25">
      <c r="I857" s="39"/>
      <c r="J857" s="47"/>
    </row>
    <row r="858" spans="9:10" x14ac:dyDescent="0.25">
      <c r="I858" s="39"/>
      <c r="J858" s="47"/>
    </row>
    <row r="859" spans="9:10" x14ac:dyDescent="0.25">
      <c r="I859" s="39"/>
      <c r="J859" s="47"/>
    </row>
    <row r="860" spans="9:10" x14ac:dyDescent="0.25">
      <c r="I860" s="39"/>
      <c r="J860" s="47"/>
    </row>
    <row r="861" spans="9:10" x14ac:dyDescent="0.25">
      <c r="I861" s="39"/>
      <c r="J861" s="47"/>
    </row>
    <row r="862" spans="9:10" x14ac:dyDescent="0.25">
      <c r="I862" s="39"/>
      <c r="J862" s="47"/>
    </row>
    <row r="863" spans="9:10" x14ac:dyDescent="0.25">
      <c r="I863" s="39"/>
      <c r="J863" s="47"/>
    </row>
    <row r="864" spans="9:10" x14ac:dyDescent="0.25">
      <c r="I864" s="39"/>
      <c r="J864" s="47"/>
    </row>
    <row r="865" spans="9:10" x14ac:dyDescent="0.25">
      <c r="I865" s="39"/>
      <c r="J865" s="47"/>
    </row>
    <row r="866" spans="9:10" x14ac:dyDescent="0.25">
      <c r="I866" s="39"/>
      <c r="J866" s="47"/>
    </row>
    <row r="867" spans="9:10" x14ac:dyDescent="0.25">
      <c r="I867" s="39"/>
      <c r="J867" s="47"/>
    </row>
    <row r="868" spans="9:10" x14ac:dyDescent="0.25">
      <c r="I868" s="39"/>
      <c r="J868" s="47"/>
    </row>
    <row r="869" spans="9:10" x14ac:dyDescent="0.25">
      <c r="I869" s="39"/>
      <c r="J869" s="47"/>
    </row>
    <row r="870" spans="9:10" x14ac:dyDescent="0.25">
      <c r="I870" s="39"/>
      <c r="J870" s="47"/>
    </row>
    <row r="871" spans="9:10" x14ac:dyDescent="0.25">
      <c r="I871" s="39"/>
      <c r="J871" s="47"/>
    </row>
    <row r="872" spans="9:10" x14ac:dyDescent="0.25">
      <c r="I872" s="39"/>
      <c r="J872" s="47"/>
    </row>
    <row r="873" spans="9:10" x14ac:dyDescent="0.25">
      <c r="I873" s="39"/>
      <c r="J873" s="47"/>
    </row>
    <row r="874" spans="9:10" x14ac:dyDescent="0.25">
      <c r="I874" s="39"/>
      <c r="J874" s="47"/>
    </row>
    <row r="875" spans="9:10" x14ac:dyDescent="0.25">
      <c r="I875" s="39"/>
      <c r="J875" s="47"/>
    </row>
    <row r="876" spans="9:10" x14ac:dyDescent="0.25">
      <c r="I876" s="39"/>
      <c r="J876" s="47"/>
    </row>
    <row r="877" spans="9:10" x14ac:dyDescent="0.25">
      <c r="I877" s="39"/>
      <c r="J877" s="47"/>
    </row>
    <row r="878" spans="9:10" x14ac:dyDescent="0.25">
      <c r="I878" s="39"/>
      <c r="J878" s="47"/>
    </row>
    <row r="879" spans="9:10" x14ac:dyDescent="0.25">
      <c r="I879" s="39"/>
      <c r="J879" s="47"/>
    </row>
    <row r="880" spans="9:10" x14ac:dyDescent="0.25">
      <c r="I880" s="39"/>
      <c r="J880" s="47"/>
    </row>
    <row r="881" spans="9:10" x14ac:dyDescent="0.25">
      <c r="I881" s="39"/>
      <c r="J881" s="47"/>
    </row>
    <row r="882" spans="9:10" x14ac:dyDescent="0.25">
      <c r="I882" s="39"/>
      <c r="J882" s="47"/>
    </row>
    <row r="883" spans="9:10" x14ac:dyDescent="0.25">
      <c r="I883" s="39"/>
      <c r="J883" s="47"/>
    </row>
    <row r="884" spans="9:10" x14ac:dyDescent="0.25">
      <c r="I884" s="39"/>
      <c r="J884" s="47"/>
    </row>
    <row r="885" spans="9:10" x14ac:dyDescent="0.25">
      <c r="I885" s="39"/>
      <c r="J885" s="47"/>
    </row>
    <row r="886" spans="9:10" x14ac:dyDescent="0.25">
      <c r="I886" s="39"/>
      <c r="J886" s="47"/>
    </row>
    <row r="887" spans="9:10" x14ac:dyDescent="0.25">
      <c r="I887" s="39"/>
      <c r="J887" s="47"/>
    </row>
    <row r="888" spans="9:10" x14ac:dyDescent="0.25">
      <c r="I888" s="39"/>
      <c r="J888" s="47"/>
    </row>
    <row r="889" spans="9:10" x14ac:dyDescent="0.25">
      <c r="I889" s="39"/>
      <c r="J889" s="47"/>
    </row>
    <row r="890" spans="9:10" x14ac:dyDescent="0.25">
      <c r="I890" s="39"/>
      <c r="J890" s="47"/>
    </row>
    <row r="891" spans="9:10" x14ac:dyDescent="0.25">
      <c r="I891" s="39"/>
      <c r="J891" s="47"/>
    </row>
    <row r="892" spans="9:10" x14ac:dyDescent="0.25">
      <c r="I892" s="39"/>
      <c r="J892" s="47"/>
    </row>
    <row r="893" spans="9:10" x14ac:dyDescent="0.25">
      <c r="I893" s="39"/>
      <c r="J893" s="47"/>
    </row>
    <row r="894" spans="9:10" x14ac:dyDescent="0.25">
      <c r="I894" s="39"/>
      <c r="J894" s="47"/>
    </row>
    <row r="895" spans="9:10" x14ac:dyDescent="0.25">
      <c r="I895" s="39"/>
      <c r="J895" s="47"/>
    </row>
    <row r="896" spans="9:10" x14ac:dyDescent="0.25">
      <c r="I896" s="39"/>
      <c r="J896" s="47"/>
    </row>
    <row r="897" spans="9:10" x14ac:dyDescent="0.25">
      <c r="I897" s="39"/>
      <c r="J897" s="47"/>
    </row>
    <row r="898" spans="9:10" x14ac:dyDescent="0.25">
      <c r="I898" s="39"/>
      <c r="J898" s="47"/>
    </row>
    <row r="899" spans="9:10" x14ac:dyDescent="0.25">
      <c r="I899" s="39"/>
      <c r="J899" s="47"/>
    </row>
    <row r="900" spans="9:10" x14ac:dyDescent="0.25">
      <c r="I900" s="39"/>
      <c r="J900" s="47"/>
    </row>
    <row r="901" spans="9:10" x14ac:dyDescent="0.25">
      <c r="I901" s="39"/>
      <c r="J901" s="47"/>
    </row>
    <row r="902" spans="9:10" x14ac:dyDescent="0.25">
      <c r="I902" s="39"/>
      <c r="J902" s="47"/>
    </row>
    <row r="903" spans="9:10" x14ac:dyDescent="0.25">
      <c r="I903" s="39"/>
      <c r="J903" s="47"/>
    </row>
    <row r="904" spans="9:10" x14ac:dyDescent="0.25">
      <c r="I904" s="39"/>
      <c r="J904" s="47"/>
    </row>
    <row r="905" spans="9:10" x14ac:dyDescent="0.25">
      <c r="I905" s="39"/>
      <c r="J905" s="47"/>
    </row>
    <row r="906" spans="9:10" x14ac:dyDescent="0.25">
      <c r="I906" s="39"/>
      <c r="J906" s="47"/>
    </row>
    <row r="907" spans="9:10" x14ac:dyDescent="0.25">
      <c r="I907" s="39"/>
      <c r="J907" s="47"/>
    </row>
    <row r="908" spans="9:10" x14ac:dyDescent="0.25">
      <c r="I908" s="39"/>
      <c r="J908" s="47"/>
    </row>
    <row r="909" spans="9:10" x14ac:dyDescent="0.25">
      <c r="I909" s="39"/>
      <c r="J909" s="47"/>
    </row>
    <row r="910" spans="9:10" x14ac:dyDescent="0.25">
      <c r="I910" s="39"/>
      <c r="J910" s="47"/>
    </row>
    <row r="911" spans="9:10" x14ac:dyDescent="0.25">
      <c r="I911" s="39"/>
      <c r="J911" s="47"/>
    </row>
    <row r="912" spans="9:10" x14ac:dyDescent="0.25">
      <c r="I912" s="39"/>
      <c r="J912" s="47"/>
    </row>
    <row r="913" spans="9:10" x14ac:dyDescent="0.25">
      <c r="I913" s="39"/>
      <c r="J913" s="47"/>
    </row>
    <row r="914" spans="9:10" x14ac:dyDescent="0.25">
      <c r="I914" s="39"/>
      <c r="J914" s="47"/>
    </row>
    <row r="915" spans="9:10" x14ac:dyDescent="0.25">
      <c r="I915" s="39"/>
      <c r="J915" s="47"/>
    </row>
    <row r="916" spans="9:10" x14ac:dyDescent="0.25">
      <c r="I916" s="39"/>
      <c r="J916" s="47"/>
    </row>
    <row r="917" spans="9:10" x14ac:dyDescent="0.25">
      <c r="I917" s="39"/>
      <c r="J917" s="47"/>
    </row>
    <row r="918" spans="9:10" x14ac:dyDescent="0.25">
      <c r="I918" s="39"/>
      <c r="J918" s="47"/>
    </row>
    <row r="919" spans="9:10" x14ac:dyDescent="0.25">
      <c r="I919" s="39"/>
      <c r="J919" s="47"/>
    </row>
    <row r="920" spans="9:10" x14ac:dyDescent="0.25">
      <c r="I920" s="39"/>
      <c r="J920" s="47"/>
    </row>
    <row r="921" spans="9:10" x14ac:dyDescent="0.25">
      <c r="I921" s="39"/>
      <c r="J921" s="47"/>
    </row>
    <row r="922" spans="9:10" x14ac:dyDescent="0.25">
      <c r="I922" s="39"/>
      <c r="J922" s="47"/>
    </row>
    <row r="923" spans="9:10" x14ac:dyDescent="0.25">
      <c r="I923" s="39"/>
      <c r="J923" s="47"/>
    </row>
    <row r="924" spans="9:10" x14ac:dyDescent="0.25">
      <c r="I924" s="39"/>
      <c r="J924" s="47"/>
    </row>
    <row r="925" spans="9:10" x14ac:dyDescent="0.25">
      <c r="I925" s="39"/>
      <c r="J925" s="47"/>
    </row>
    <row r="926" spans="9:10" x14ac:dyDescent="0.25">
      <c r="I926" s="39"/>
      <c r="J926" s="47"/>
    </row>
    <row r="927" spans="9:10" x14ac:dyDescent="0.25">
      <c r="I927" s="39"/>
      <c r="J927" s="47"/>
    </row>
    <row r="928" spans="9:10" x14ac:dyDescent="0.25">
      <c r="I928" s="39"/>
      <c r="J928" s="47"/>
    </row>
    <row r="929" spans="9:10" x14ac:dyDescent="0.25">
      <c r="I929" s="39"/>
      <c r="J929" s="47"/>
    </row>
    <row r="930" spans="9:10" x14ac:dyDescent="0.25">
      <c r="I930" s="39"/>
      <c r="J930" s="47"/>
    </row>
    <row r="931" spans="9:10" x14ac:dyDescent="0.25">
      <c r="I931" s="39"/>
      <c r="J931" s="47"/>
    </row>
    <row r="932" spans="9:10" x14ac:dyDescent="0.25">
      <c r="I932" s="39"/>
      <c r="J932" s="47"/>
    </row>
    <row r="933" spans="9:10" x14ac:dyDescent="0.25">
      <c r="I933" s="39"/>
      <c r="J933" s="47"/>
    </row>
    <row r="934" spans="9:10" x14ac:dyDescent="0.25">
      <c r="I934" s="39"/>
      <c r="J934" s="47"/>
    </row>
    <row r="935" spans="9:10" x14ac:dyDescent="0.25">
      <c r="I935" s="39"/>
      <c r="J935" s="47"/>
    </row>
    <row r="936" spans="9:10" x14ac:dyDescent="0.25">
      <c r="I936" s="39"/>
      <c r="J936" s="47"/>
    </row>
    <row r="937" spans="9:10" x14ac:dyDescent="0.25">
      <c r="I937" s="39"/>
      <c r="J937" s="47"/>
    </row>
    <row r="938" spans="9:10" x14ac:dyDescent="0.25">
      <c r="I938" s="39"/>
      <c r="J938" s="47"/>
    </row>
    <row r="939" spans="9:10" x14ac:dyDescent="0.25">
      <c r="I939" s="39"/>
      <c r="J939" s="47"/>
    </row>
    <row r="940" spans="9:10" x14ac:dyDescent="0.25">
      <c r="I940" s="39"/>
      <c r="J940" s="47"/>
    </row>
    <row r="941" spans="9:10" x14ac:dyDescent="0.25">
      <c r="I941" s="39"/>
      <c r="J941" s="47"/>
    </row>
    <row r="942" spans="9:10" x14ac:dyDescent="0.25">
      <c r="I942" s="39"/>
      <c r="J942" s="47"/>
    </row>
    <row r="943" spans="9:10" x14ac:dyDescent="0.25">
      <c r="I943" s="39"/>
      <c r="J943" s="47"/>
    </row>
    <row r="944" spans="9:10" x14ac:dyDescent="0.25">
      <c r="I944" s="39"/>
      <c r="J944" s="47"/>
    </row>
    <row r="945" spans="9:10" x14ac:dyDescent="0.25">
      <c r="I945" s="39"/>
      <c r="J945" s="47"/>
    </row>
    <row r="946" spans="9:10" x14ac:dyDescent="0.25">
      <c r="I946" s="39"/>
      <c r="J946" s="47"/>
    </row>
    <row r="947" spans="9:10" x14ac:dyDescent="0.25">
      <c r="I947" s="39"/>
      <c r="J947" s="47"/>
    </row>
    <row r="948" spans="9:10" x14ac:dyDescent="0.25">
      <c r="I948" s="39"/>
      <c r="J948" s="47"/>
    </row>
    <row r="949" spans="9:10" x14ac:dyDescent="0.25">
      <c r="I949" s="39"/>
      <c r="J949" s="47"/>
    </row>
    <row r="950" spans="9:10" x14ac:dyDescent="0.25">
      <c r="I950" s="39"/>
      <c r="J950" s="47"/>
    </row>
    <row r="951" spans="9:10" x14ac:dyDescent="0.25">
      <c r="I951" s="39"/>
      <c r="J951" s="47"/>
    </row>
    <row r="952" spans="9:10" x14ac:dyDescent="0.25">
      <c r="I952" s="39"/>
      <c r="J952" s="47"/>
    </row>
    <row r="953" spans="9:10" x14ac:dyDescent="0.25">
      <c r="I953" s="39"/>
      <c r="J953" s="47"/>
    </row>
    <row r="954" spans="9:10" x14ac:dyDescent="0.25">
      <c r="I954" s="39"/>
      <c r="J954" s="47"/>
    </row>
    <row r="955" spans="9:10" x14ac:dyDescent="0.25">
      <c r="I955" s="39"/>
      <c r="J955" s="47"/>
    </row>
    <row r="956" spans="9:10" x14ac:dyDescent="0.25">
      <c r="I956" s="39"/>
      <c r="J956" s="47"/>
    </row>
    <row r="957" spans="9:10" x14ac:dyDescent="0.25">
      <c r="I957" s="39"/>
      <c r="J957" s="47"/>
    </row>
    <row r="958" spans="9:10" x14ac:dyDescent="0.25">
      <c r="I958" s="39"/>
      <c r="J958" s="47"/>
    </row>
    <row r="959" spans="9:10" x14ac:dyDescent="0.25">
      <c r="I959" s="39"/>
      <c r="J959" s="47"/>
    </row>
    <row r="960" spans="9:10" x14ac:dyDescent="0.25">
      <c r="I960" s="39"/>
      <c r="J960" s="47"/>
    </row>
    <row r="961" spans="9:10" x14ac:dyDescent="0.25">
      <c r="I961" s="39"/>
      <c r="J961" s="47"/>
    </row>
    <row r="962" spans="9:10" x14ac:dyDescent="0.25">
      <c r="I962" s="39"/>
      <c r="J962" s="47"/>
    </row>
    <row r="963" spans="9:10" x14ac:dyDescent="0.25">
      <c r="I963" s="39"/>
      <c r="J963" s="47"/>
    </row>
    <row r="964" spans="9:10" x14ac:dyDescent="0.25">
      <c r="I964" s="39"/>
      <c r="J964" s="47"/>
    </row>
    <row r="965" spans="9:10" x14ac:dyDescent="0.25">
      <c r="I965" s="39"/>
      <c r="J965" s="47"/>
    </row>
    <row r="966" spans="9:10" x14ac:dyDescent="0.25">
      <c r="I966" s="39"/>
      <c r="J966" s="47"/>
    </row>
    <row r="967" spans="9:10" x14ac:dyDescent="0.25">
      <c r="I967" s="39"/>
      <c r="J967" s="47"/>
    </row>
    <row r="968" spans="9:10" x14ac:dyDescent="0.25">
      <c r="I968" s="39"/>
      <c r="J968" s="47"/>
    </row>
    <row r="969" spans="9:10" x14ac:dyDescent="0.25">
      <c r="I969" s="39"/>
      <c r="J969" s="47"/>
    </row>
    <row r="970" spans="9:10" x14ac:dyDescent="0.25">
      <c r="I970" s="39"/>
      <c r="J970" s="47"/>
    </row>
    <row r="971" spans="9:10" x14ac:dyDescent="0.25">
      <c r="I971" s="39"/>
      <c r="J971" s="47"/>
    </row>
    <row r="972" spans="9:10" x14ac:dyDescent="0.25">
      <c r="I972" s="39"/>
      <c r="J972" s="47"/>
    </row>
    <row r="973" spans="9:10" x14ac:dyDescent="0.25">
      <c r="I973" s="39"/>
      <c r="J973" s="47"/>
    </row>
    <row r="974" spans="9:10" x14ac:dyDescent="0.25">
      <c r="I974" s="39"/>
      <c r="J974" s="47"/>
    </row>
    <row r="975" spans="9:10" x14ac:dyDescent="0.25">
      <c r="I975" s="39"/>
      <c r="J975" s="47"/>
    </row>
    <row r="976" spans="9:10" x14ac:dyDescent="0.25">
      <c r="I976" s="39"/>
      <c r="J976" s="47"/>
    </row>
    <row r="977" spans="9:10" x14ac:dyDescent="0.25">
      <c r="I977" s="39"/>
      <c r="J977" s="47"/>
    </row>
    <row r="978" spans="9:10" x14ac:dyDescent="0.25">
      <c r="I978" s="39"/>
      <c r="J978" s="47"/>
    </row>
    <row r="979" spans="9:10" x14ac:dyDescent="0.25">
      <c r="I979" s="39"/>
      <c r="J979" s="47"/>
    </row>
    <row r="980" spans="9:10" x14ac:dyDescent="0.25">
      <c r="I980" s="39"/>
      <c r="J980" s="47"/>
    </row>
    <row r="981" spans="9:10" x14ac:dyDescent="0.25">
      <c r="I981" s="39"/>
      <c r="J981" s="47"/>
    </row>
    <row r="982" spans="9:10" x14ac:dyDescent="0.25">
      <c r="I982" s="39"/>
      <c r="J982" s="47"/>
    </row>
    <row r="983" spans="9:10" x14ac:dyDescent="0.25">
      <c r="I983" s="39"/>
      <c r="J983" s="47"/>
    </row>
    <row r="984" spans="9:10" x14ac:dyDescent="0.25">
      <c r="I984" s="39"/>
      <c r="J984" s="47"/>
    </row>
    <row r="985" spans="9:10" x14ac:dyDescent="0.25">
      <c r="I985" s="39"/>
      <c r="J985" s="47"/>
    </row>
    <row r="986" spans="9:10" x14ac:dyDescent="0.25">
      <c r="I986" s="39"/>
      <c r="J986" s="47"/>
    </row>
    <row r="987" spans="9:10" x14ac:dyDescent="0.25">
      <c r="I987" s="39"/>
      <c r="J987" s="47"/>
    </row>
    <row r="988" spans="9:10" x14ac:dyDescent="0.25">
      <c r="I988" s="39"/>
      <c r="J988" s="47"/>
    </row>
    <row r="989" spans="9:10" x14ac:dyDescent="0.25">
      <c r="I989" s="39"/>
      <c r="J989" s="47"/>
    </row>
    <row r="990" spans="9:10" x14ac:dyDescent="0.25">
      <c r="I990" s="39"/>
      <c r="J990" s="47"/>
    </row>
    <row r="991" spans="9:10" x14ac:dyDescent="0.25">
      <c r="I991" s="39"/>
      <c r="J991" s="47"/>
    </row>
    <row r="992" spans="9:10" x14ac:dyDescent="0.25">
      <c r="I992" s="39"/>
      <c r="J992" s="47"/>
    </row>
    <row r="993" spans="9:10" x14ac:dyDescent="0.25">
      <c r="I993" s="39"/>
      <c r="J993" s="47"/>
    </row>
    <row r="994" spans="9:10" x14ac:dyDescent="0.25">
      <c r="I994" s="39"/>
      <c r="J994" s="47"/>
    </row>
    <row r="995" spans="9:10" x14ac:dyDescent="0.25">
      <c r="I995" s="39"/>
      <c r="J995" s="47"/>
    </row>
    <row r="996" spans="9:10" x14ac:dyDescent="0.25">
      <c r="I996" s="39"/>
      <c r="J996" s="47"/>
    </row>
    <row r="997" spans="9:10" x14ac:dyDescent="0.25">
      <c r="I997" s="39"/>
      <c r="J997" s="47"/>
    </row>
    <row r="998" spans="9:10" x14ac:dyDescent="0.25">
      <c r="I998" s="39"/>
      <c r="J998" s="47"/>
    </row>
    <row r="999" spans="9:10" x14ac:dyDescent="0.25">
      <c r="I999" s="39"/>
      <c r="J999" s="47"/>
    </row>
    <row r="1000" spans="9:10" x14ac:dyDescent="0.25">
      <c r="I1000" s="39"/>
      <c r="J1000" s="47"/>
    </row>
    <row r="1001" spans="9:10" x14ac:dyDescent="0.25">
      <c r="I1001" s="39"/>
      <c r="J1001" s="47"/>
    </row>
    <row r="1002" spans="9:10" x14ac:dyDescent="0.25">
      <c r="I1002" s="39"/>
      <c r="J1002" s="47"/>
    </row>
    <row r="1003" spans="9:10" x14ac:dyDescent="0.25">
      <c r="I1003" s="39"/>
      <c r="J1003" s="47"/>
    </row>
    <row r="1004" spans="9:10" x14ac:dyDescent="0.25">
      <c r="I1004" s="39"/>
      <c r="J1004" s="47"/>
    </row>
    <row r="1005" spans="9:10" x14ac:dyDescent="0.25">
      <c r="I1005" s="39"/>
      <c r="J1005" s="47"/>
    </row>
    <row r="1006" spans="9:10" x14ac:dyDescent="0.25">
      <c r="I1006" s="39"/>
      <c r="J1006" s="47"/>
    </row>
    <row r="1007" spans="9:10" x14ac:dyDescent="0.25">
      <c r="I1007" s="39"/>
      <c r="J1007" s="47"/>
    </row>
    <row r="1008" spans="9:10" x14ac:dyDescent="0.25">
      <c r="I1008" s="39"/>
      <c r="J1008" s="47"/>
    </row>
    <row r="1009" spans="9:10" x14ac:dyDescent="0.25">
      <c r="I1009" s="39"/>
      <c r="J1009" s="47"/>
    </row>
    <row r="1010" spans="9:10" x14ac:dyDescent="0.25">
      <c r="I1010" s="39"/>
      <c r="J1010" s="47"/>
    </row>
    <row r="1011" spans="9:10" x14ac:dyDescent="0.25">
      <c r="I1011" s="39"/>
      <c r="J1011" s="47"/>
    </row>
    <row r="1012" spans="9:10" x14ac:dyDescent="0.25">
      <c r="I1012" s="39"/>
      <c r="J1012" s="47"/>
    </row>
    <row r="1013" spans="9:10" x14ac:dyDescent="0.25">
      <c r="I1013" s="39"/>
      <c r="J1013" s="47"/>
    </row>
    <row r="1014" spans="9:10" x14ac:dyDescent="0.25">
      <c r="I1014" s="39"/>
      <c r="J1014" s="47"/>
    </row>
    <row r="1015" spans="9:10" x14ac:dyDescent="0.25">
      <c r="I1015" s="39"/>
      <c r="J1015" s="47"/>
    </row>
    <row r="1016" spans="9:10" x14ac:dyDescent="0.25">
      <c r="I1016" s="39"/>
      <c r="J1016" s="47"/>
    </row>
    <row r="1017" spans="9:10" x14ac:dyDescent="0.25">
      <c r="I1017" s="39"/>
      <c r="J1017" s="47"/>
    </row>
    <row r="1018" spans="9:10" x14ac:dyDescent="0.25">
      <c r="I1018" s="39"/>
      <c r="J1018" s="47"/>
    </row>
    <row r="1019" spans="9:10" x14ac:dyDescent="0.25">
      <c r="I1019" s="39"/>
      <c r="J1019" s="47"/>
    </row>
    <row r="1020" spans="9:10" x14ac:dyDescent="0.25">
      <c r="I1020" s="39"/>
      <c r="J1020" s="47"/>
    </row>
    <row r="1021" spans="9:10" x14ac:dyDescent="0.25">
      <c r="I1021" s="39"/>
      <c r="J1021" s="47"/>
    </row>
    <row r="1022" spans="9:10" x14ac:dyDescent="0.25">
      <c r="I1022" s="39"/>
      <c r="J1022" s="47"/>
    </row>
    <row r="1023" spans="9:10" x14ac:dyDescent="0.25">
      <c r="I1023" s="39"/>
      <c r="J1023" s="47"/>
    </row>
    <row r="1024" spans="9:10" x14ac:dyDescent="0.25">
      <c r="I1024" s="39"/>
      <c r="J1024" s="47"/>
    </row>
    <row r="1025" spans="9:10" x14ac:dyDescent="0.25">
      <c r="I1025" s="39"/>
      <c r="J1025" s="47"/>
    </row>
    <row r="1026" spans="9:10" x14ac:dyDescent="0.25">
      <c r="I1026" s="39"/>
      <c r="J1026" s="47"/>
    </row>
    <row r="1027" spans="9:10" x14ac:dyDescent="0.25">
      <c r="I1027" s="39"/>
      <c r="J1027" s="47"/>
    </row>
    <row r="1028" spans="9:10" x14ac:dyDescent="0.25">
      <c r="I1028" s="39"/>
      <c r="J1028" s="47"/>
    </row>
    <row r="1029" spans="9:10" x14ac:dyDescent="0.25">
      <c r="I1029" s="39"/>
      <c r="J1029" s="47"/>
    </row>
    <row r="1030" spans="9:10" x14ac:dyDescent="0.25">
      <c r="I1030" s="39"/>
      <c r="J1030" s="47"/>
    </row>
    <row r="1031" spans="9:10" x14ac:dyDescent="0.25">
      <c r="I1031" s="39"/>
      <c r="J1031" s="47"/>
    </row>
    <row r="1032" spans="9:10" x14ac:dyDescent="0.25">
      <c r="I1032" s="39"/>
      <c r="J1032" s="47"/>
    </row>
    <row r="1033" spans="9:10" x14ac:dyDescent="0.25">
      <c r="I1033" s="39"/>
      <c r="J1033" s="47"/>
    </row>
    <row r="1034" spans="9:10" x14ac:dyDescent="0.25">
      <c r="I1034" s="39"/>
      <c r="J1034" s="47"/>
    </row>
    <row r="1035" spans="9:10" x14ac:dyDescent="0.25">
      <c r="I1035" s="39"/>
      <c r="J1035" s="47"/>
    </row>
    <row r="1036" spans="9:10" x14ac:dyDescent="0.25">
      <c r="I1036" s="39"/>
      <c r="J1036" s="47"/>
    </row>
    <row r="1037" spans="9:10" x14ac:dyDescent="0.25">
      <c r="I1037" s="39"/>
      <c r="J1037" s="47"/>
    </row>
    <row r="1038" spans="9:10" x14ac:dyDescent="0.25">
      <c r="I1038" s="39"/>
      <c r="J1038" s="47"/>
    </row>
    <row r="1039" spans="9:10" x14ac:dyDescent="0.25">
      <c r="I1039" s="39"/>
      <c r="J1039" s="47"/>
    </row>
    <row r="1040" spans="9:10" x14ac:dyDescent="0.25">
      <c r="I1040" s="39"/>
      <c r="J1040" s="47"/>
    </row>
    <row r="1041" spans="9:10" ht="15.75" thickBot="1" x14ac:dyDescent="0.3">
      <c r="I1041" s="40"/>
      <c r="J1041" s="48"/>
    </row>
  </sheetData>
  <mergeCells count="23">
    <mergeCell ref="D33:H35"/>
    <mergeCell ref="I33:S35"/>
    <mergeCell ref="K21:S21"/>
    <mergeCell ref="D37:H39"/>
    <mergeCell ref="D21:H23"/>
    <mergeCell ref="I21:J23"/>
    <mergeCell ref="K22:R23"/>
    <mergeCell ref="D41:H43"/>
    <mergeCell ref="I37:N39"/>
    <mergeCell ref="O37:S39"/>
    <mergeCell ref="A1:M3"/>
    <mergeCell ref="N1:S3"/>
    <mergeCell ref="A14:B14"/>
    <mergeCell ref="E14:G14"/>
    <mergeCell ref="D25:H27"/>
    <mergeCell ref="A15:S16"/>
    <mergeCell ref="A17:S17"/>
    <mergeCell ref="A21:B23"/>
    <mergeCell ref="A18:D18"/>
    <mergeCell ref="A4:S13"/>
    <mergeCell ref="D29:H31"/>
    <mergeCell ref="I25:S27"/>
    <mergeCell ref="I29:S31"/>
  </mergeCells>
  <conditionalFormatting sqref="A17:S17 A19:S19">
    <cfRule type="dataBar" priority="7">
      <dataBar>
        <cfvo type="num" val="0"/>
        <cfvo type="num" val="100"/>
        <color rgb="FF63C384"/>
      </dataBar>
      <extLst>
        <ext xmlns:x14="http://schemas.microsoft.com/office/spreadsheetml/2009/9/main" uri="{B025F937-C7B1-47D3-B67F-A62EFF666E3E}">
          <x14:id>{389083AF-5A30-4EC9-B180-ABF9D3158CE1}</x14:id>
        </ext>
      </extLst>
    </cfRule>
  </conditionalFormatting>
  <conditionalFormatting sqref="B24:B49">
    <cfRule type="dataBar" priority="6">
      <dataBar>
        <cfvo type="min"/>
        <cfvo type="max"/>
        <color rgb="FF638EC6"/>
      </dataBar>
      <extLst>
        <ext xmlns:x14="http://schemas.microsoft.com/office/spreadsheetml/2009/9/main" uri="{B025F937-C7B1-47D3-B67F-A62EFF666E3E}">
          <x14:id>{B78FF810-BB0B-4681-A824-A9F021096D60}</x14:id>
        </ext>
      </extLst>
    </cfRule>
  </conditionalFormatting>
  <conditionalFormatting sqref="O37 I37">
    <cfRule type="colorScale" priority="5">
      <colorScale>
        <cfvo type="num" val="0"/>
        <cfvo type="num" val="70"/>
        <cfvo type="num" val="100"/>
        <color rgb="FFF8696B"/>
        <color rgb="FFFFEB84"/>
        <color rgb="FF63BE7B"/>
      </colorScale>
    </cfRule>
  </conditionalFormatting>
  <conditionalFormatting sqref="J41:J1041">
    <cfRule type="dataBar" priority="4">
      <dataBar>
        <cfvo type="min"/>
        <cfvo type="max"/>
        <color rgb="FF638EC6"/>
      </dataBar>
      <extLst>
        <ext xmlns:x14="http://schemas.microsoft.com/office/spreadsheetml/2009/9/main" uri="{B025F937-C7B1-47D3-B67F-A62EFF666E3E}">
          <x14:id>{4105FDE1-E30F-41DE-A517-5AC5EA140FE9}</x14:id>
        </ext>
      </extLst>
    </cfRule>
  </conditionalFormatting>
  <conditionalFormatting sqref="S22 K22">
    <cfRule type="colorScale" priority="1">
      <colorScale>
        <cfvo type="num" val="40"/>
        <cfvo type="num" val="100"/>
        <color rgb="FF92D050"/>
        <color rgb="FFFF0000"/>
      </colorScale>
    </cfRule>
  </conditionalFormatting>
  <dataValidations count="2">
    <dataValidation type="whole" errorStyle="warning" operator="lessThan" allowBlank="1" showInputMessage="1" showErrorMessage="1" errorTitle="Nombre de clé trop élevé." error="Le maximum autorisé est 200 clés." prompt="Maximum 200 clés" sqref="H14" xr:uid="{69B5E9E6-4395-400A-B88F-020B9F360165}">
      <formula1>201</formula1>
    </dataValidation>
    <dataValidation type="whole" errorStyle="warning" allowBlank="1" showInputMessage="1" showErrorMessage="1" errorTitle="Nbr de clé à tester trop faible" error="Nbr de clé à tester trop faible, il doit être supérieur à 26 et inférieur au nombre de caractères du texte à analyser." promptTitle="Attention" prompt="Minimum 26 et maximum nombre de caractères du texte à analyser." sqref="I21:J23" xr:uid="{94EC636C-3018-4D2B-8031-5183633DDF5A}">
      <formula1>26</formula1>
      <formula2>C14</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Analyse_Des_Frequences">
                <anchor moveWithCells="1" sizeWithCells="1">
                  <from>
                    <xdr:col>10</xdr:col>
                    <xdr:colOff>390525</xdr:colOff>
                    <xdr:row>14</xdr:row>
                    <xdr:rowOff>57150</xdr:rowOff>
                  </from>
                  <to>
                    <xdr:col>13</xdr:col>
                    <xdr:colOff>66675</xdr:colOff>
                    <xdr:row>15</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89083AF-5A30-4EC9-B180-ABF9D3158CE1}">
            <x14:dataBar minLength="0" maxLength="100" gradient="0">
              <x14:cfvo type="num">
                <xm:f>0</xm:f>
              </x14:cfvo>
              <x14:cfvo type="num">
                <xm:f>100</xm:f>
              </x14:cfvo>
              <x14:negativeFillColor rgb="FFFF0000"/>
              <x14:axisColor rgb="FF000000"/>
            </x14:dataBar>
          </x14:cfRule>
          <xm:sqref>A17:S17 A19:S19</xm:sqref>
        </x14:conditionalFormatting>
        <x14:conditionalFormatting xmlns:xm="http://schemas.microsoft.com/office/excel/2006/main">
          <x14:cfRule type="dataBar" id="{B78FF810-BB0B-4681-A824-A9F021096D60}">
            <x14:dataBar minLength="0" maxLength="100" gradient="0">
              <x14:cfvo type="autoMin"/>
              <x14:cfvo type="autoMax"/>
              <x14:negativeFillColor rgb="FFFF0000"/>
              <x14:axisColor rgb="FF000000"/>
            </x14:dataBar>
          </x14:cfRule>
          <xm:sqref>B24:B49</xm:sqref>
        </x14:conditionalFormatting>
        <x14:conditionalFormatting xmlns:xm="http://schemas.microsoft.com/office/excel/2006/main">
          <x14:cfRule type="dataBar" id="{4105FDE1-E30F-41DE-A517-5AC5EA140FE9}">
            <x14:dataBar minLength="0" maxLength="100" gradient="0">
              <x14:cfvo type="autoMin"/>
              <x14:cfvo type="autoMax"/>
              <x14:negativeFillColor rgb="FFFF0000"/>
              <x14:axisColor rgb="FF000000"/>
            </x14:dataBar>
          </x14:cfRule>
          <xm:sqref>J41:J1041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41CC6-C8C1-43FA-9174-F57A4B98EAF7}">
  <sheetPr codeName="Feuil8"/>
  <dimension ref="A1:AA100"/>
  <sheetViews>
    <sheetView workbookViewId="0">
      <selection sqref="A1:S3"/>
    </sheetView>
  </sheetViews>
  <sheetFormatPr baseColWidth="10" defaultRowHeight="15" x14ac:dyDescent="0.25"/>
  <sheetData>
    <row r="1" spans="1:27" ht="15" customHeight="1" x14ac:dyDescent="0.25">
      <c r="A1" s="53" t="s">
        <v>43</v>
      </c>
      <c r="B1" s="54"/>
      <c r="C1" s="54"/>
      <c r="D1" s="54"/>
      <c r="E1" s="54"/>
      <c r="F1" s="54"/>
      <c r="G1" s="54"/>
      <c r="H1" s="54"/>
      <c r="I1" s="54"/>
      <c r="J1" s="54"/>
      <c r="K1" s="54"/>
      <c r="L1" s="54"/>
      <c r="M1" s="54"/>
      <c r="N1" s="54"/>
      <c r="O1" s="54"/>
      <c r="P1" s="54"/>
      <c r="Q1" s="54"/>
      <c r="R1" s="54"/>
      <c r="S1" s="55"/>
      <c r="Y1" s="15"/>
      <c r="Z1" s="22" t="s">
        <v>11</v>
      </c>
      <c r="AA1" s="15"/>
    </row>
    <row r="2" spans="1:27" ht="15" customHeight="1" x14ac:dyDescent="0.25">
      <c r="A2" s="56"/>
      <c r="B2" s="57"/>
      <c r="C2" s="57"/>
      <c r="D2" s="57"/>
      <c r="E2" s="57"/>
      <c r="F2" s="57"/>
      <c r="G2" s="57"/>
      <c r="H2" s="57"/>
      <c r="I2" s="57"/>
      <c r="J2" s="57"/>
      <c r="K2" s="57"/>
      <c r="L2" s="57"/>
      <c r="M2" s="57"/>
      <c r="N2" s="57"/>
      <c r="O2" s="57"/>
      <c r="P2" s="57"/>
      <c r="Q2" s="57"/>
      <c r="R2" s="57"/>
      <c r="S2" s="58"/>
      <c r="Y2" s="15"/>
      <c r="Z2" s="23" t="s">
        <v>12</v>
      </c>
      <c r="AA2" s="15"/>
    </row>
    <row r="3" spans="1:27" ht="15" customHeight="1" x14ac:dyDescent="0.25">
      <c r="A3" s="56"/>
      <c r="B3" s="57"/>
      <c r="C3" s="57"/>
      <c r="D3" s="57"/>
      <c r="E3" s="57"/>
      <c r="F3" s="57"/>
      <c r="G3" s="57"/>
      <c r="H3" s="57"/>
      <c r="I3" s="57"/>
      <c r="J3" s="57"/>
      <c r="K3" s="57"/>
      <c r="L3" s="57"/>
      <c r="M3" s="57"/>
      <c r="N3" s="57"/>
      <c r="O3" s="57"/>
      <c r="P3" s="57"/>
      <c r="Q3" s="57"/>
      <c r="R3" s="57"/>
      <c r="S3" s="58"/>
      <c r="Y3" s="15"/>
      <c r="Z3" s="23" t="s">
        <v>13</v>
      </c>
      <c r="AA3" s="15"/>
    </row>
    <row r="4" spans="1:27" ht="15" customHeight="1" x14ac:dyDescent="0.25">
      <c r="A4" s="86" t="s">
        <v>95</v>
      </c>
      <c r="B4" s="87"/>
      <c r="C4" s="87"/>
      <c r="D4" s="87"/>
      <c r="E4" s="87"/>
      <c r="F4" s="87"/>
      <c r="G4" s="87"/>
      <c r="H4" s="87"/>
      <c r="I4" s="87"/>
      <c r="J4" s="87"/>
      <c r="K4" s="87"/>
      <c r="L4" s="87"/>
      <c r="M4" s="87"/>
      <c r="N4" s="87"/>
      <c r="O4" s="87"/>
      <c r="P4" s="87"/>
      <c r="Q4" s="87"/>
      <c r="R4" s="87"/>
      <c r="S4" s="88"/>
      <c r="Y4" s="15"/>
      <c r="Z4" s="23" t="s">
        <v>14</v>
      </c>
      <c r="AA4" s="15"/>
    </row>
    <row r="5" spans="1:27" ht="15" customHeight="1" x14ac:dyDescent="0.25">
      <c r="A5" s="89"/>
      <c r="B5" s="87"/>
      <c r="C5" s="87"/>
      <c r="D5" s="87"/>
      <c r="E5" s="87"/>
      <c r="F5" s="87"/>
      <c r="G5" s="87"/>
      <c r="H5" s="87"/>
      <c r="I5" s="87"/>
      <c r="J5" s="87"/>
      <c r="K5" s="87"/>
      <c r="L5" s="87"/>
      <c r="M5" s="87"/>
      <c r="N5" s="87"/>
      <c r="O5" s="87"/>
      <c r="P5" s="87"/>
      <c r="Q5" s="87"/>
      <c r="R5" s="87"/>
      <c r="S5" s="88"/>
      <c r="Y5" s="15"/>
      <c r="Z5" s="23" t="s">
        <v>15</v>
      </c>
      <c r="AA5" s="15"/>
    </row>
    <row r="6" spans="1:27" ht="15" customHeight="1" x14ac:dyDescent="0.25">
      <c r="A6" s="89"/>
      <c r="B6" s="87"/>
      <c r="C6" s="87"/>
      <c r="D6" s="87"/>
      <c r="E6" s="87"/>
      <c r="F6" s="87"/>
      <c r="G6" s="87"/>
      <c r="H6" s="87"/>
      <c r="I6" s="87"/>
      <c r="J6" s="87"/>
      <c r="K6" s="87"/>
      <c r="L6" s="87"/>
      <c r="M6" s="87"/>
      <c r="N6" s="87"/>
      <c r="O6" s="87"/>
      <c r="P6" s="87"/>
      <c r="Q6" s="87"/>
      <c r="R6" s="87"/>
      <c r="S6" s="88"/>
      <c r="Y6" s="15"/>
      <c r="Z6" s="23" t="s">
        <v>16</v>
      </c>
      <c r="AA6" s="15"/>
    </row>
    <row r="7" spans="1:27" ht="15" customHeight="1" x14ac:dyDescent="0.25">
      <c r="A7" s="89"/>
      <c r="B7" s="87"/>
      <c r="C7" s="87"/>
      <c r="D7" s="87"/>
      <c r="E7" s="87"/>
      <c r="F7" s="87"/>
      <c r="G7" s="87"/>
      <c r="H7" s="87"/>
      <c r="I7" s="87"/>
      <c r="J7" s="87"/>
      <c r="K7" s="87"/>
      <c r="L7" s="87"/>
      <c r="M7" s="87"/>
      <c r="N7" s="87"/>
      <c r="O7" s="87"/>
      <c r="P7" s="87"/>
      <c r="Q7" s="87"/>
      <c r="R7" s="87"/>
      <c r="S7" s="88"/>
      <c r="Y7" s="15"/>
      <c r="Z7" s="23" t="s">
        <v>17</v>
      </c>
      <c r="AA7" s="15"/>
    </row>
    <row r="8" spans="1:27" ht="15" customHeight="1" x14ac:dyDescent="0.25">
      <c r="A8" s="89"/>
      <c r="B8" s="87"/>
      <c r="C8" s="87"/>
      <c r="D8" s="87"/>
      <c r="E8" s="87"/>
      <c r="F8" s="87"/>
      <c r="G8" s="87"/>
      <c r="H8" s="87"/>
      <c r="I8" s="87"/>
      <c r="J8" s="87"/>
      <c r="K8" s="87"/>
      <c r="L8" s="87"/>
      <c r="M8" s="87"/>
      <c r="N8" s="87"/>
      <c r="O8" s="87"/>
      <c r="P8" s="87"/>
      <c r="Q8" s="87"/>
      <c r="R8" s="87"/>
      <c r="S8" s="88"/>
      <c r="Y8" s="15"/>
      <c r="Z8" s="23" t="s">
        <v>18</v>
      </c>
      <c r="AA8" s="15"/>
    </row>
    <row r="9" spans="1:27" ht="15" customHeight="1" x14ac:dyDescent="0.25">
      <c r="A9" s="89"/>
      <c r="B9" s="87"/>
      <c r="C9" s="87"/>
      <c r="D9" s="87"/>
      <c r="E9" s="87"/>
      <c r="F9" s="87"/>
      <c r="G9" s="87"/>
      <c r="H9" s="87"/>
      <c r="I9" s="87"/>
      <c r="J9" s="87"/>
      <c r="K9" s="87"/>
      <c r="L9" s="87"/>
      <c r="M9" s="87"/>
      <c r="N9" s="87"/>
      <c r="O9" s="87"/>
      <c r="P9" s="87"/>
      <c r="Q9" s="87"/>
      <c r="R9" s="87"/>
      <c r="S9" s="88"/>
      <c r="Y9" s="15"/>
      <c r="Z9" s="23" t="s">
        <v>19</v>
      </c>
      <c r="AA9" s="15"/>
    </row>
    <row r="10" spans="1:27" ht="15" customHeight="1" x14ac:dyDescent="0.25">
      <c r="A10" s="89"/>
      <c r="B10" s="87"/>
      <c r="C10" s="87"/>
      <c r="D10" s="87"/>
      <c r="E10" s="87"/>
      <c r="F10" s="87"/>
      <c r="G10" s="87"/>
      <c r="H10" s="87"/>
      <c r="I10" s="87"/>
      <c r="J10" s="87"/>
      <c r="K10" s="87"/>
      <c r="L10" s="87"/>
      <c r="M10" s="87"/>
      <c r="N10" s="87"/>
      <c r="O10" s="87"/>
      <c r="P10" s="87"/>
      <c r="Q10" s="87"/>
      <c r="R10" s="87"/>
      <c r="S10" s="88"/>
      <c r="Y10" s="15"/>
      <c r="Z10" s="23" t="s">
        <v>20</v>
      </c>
      <c r="AA10" s="15"/>
    </row>
    <row r="11" spans="1:27" ht="15" customHeight="1" x14ac:dyDescent="0.25">
      <c r="A11" s="89"/>
      <c r="B11" s="87"/>
      <c r="C11" s="87"/>
      <c r="D11" s="87"/>
      <c r="E11" s="87"/>
      <c r="F11" s="87"/>
      <c r="G11" s="87"/>
      <c r="H11" s="87"/>
      <c r="I11" s="87"/>
      <c r="J11" s="87"/>
      <c r="K11" s="87"/>
      <c r="L11" s="87"/>
      <c r="M11" s="87"/>
      <c r="N11" s="87"/>
      <c r="O11" s="87"/>
      <c r="P11" s="87"/>
      <c r="Q11" s="87"/>
      <c r="R11" s="87"/>
      <c r="S11" s="88"/>
      <c r="Y11" s="15"/>
      <c r="Z11" s="23" t="s">
        <v>21</v>
      </c>
      <c r="AA11" s="15"/>
    </row>
    <row r="12" spans="1:27" ht="15.75" customHeight="1" x14ac:dyDescent="0.25">
      <c r="A12" s="89"/>
      <c r="B12" s="87"/>
      <c r="C12" s="87"/>
      <c r="D12" s="87"/>
      <c r="E12" s="87"/>
      <c r="F12" s="87"/>
      <c r="G12" s="87"/>
      <c r="H12" s="87"/>
      <c r="I12" s="87"/>
      <c r="J12" s="87"/>
      <c r="K12" s="87"/>
      <c r="L12" s="87"/>
      <c r="M12" s="87"/>
      <c r="N12" s="87"/>
      <c r="O12" s="87"/>
      <c r="P12" s="87"/>
      <c r="Q12" s="87"/>
      <c r="R12" s="87"/>
      <c r="S12" s="88"/>
      <c r="Y12" s="15"/>
      <c r="Z12" s="23" t="s">
        <v>22</v>
      </c>
      <c r="AA12" s="15"/>
    </row>
    <row r="13" spans="1:27" ht="15.75" customHeight="1" thickBot="1" x14ac:dyDescent="0.3">
      <c r="A13" s="90"/>
      <c r="B13" s="91"/>
      <c r="C13" s="91"/>
      <c r="D13" s="91"/>
      <c r="E13" s="91"/>
      <c r="F13" s="91"/>
      <c r="G13" s="91"/>
      <c r="H13" s="91"/>
      <c r="I13" s="91"/>
      <c r="J13" s="91"/>
      <c r="K13" s="91"/>
      <c r="L13" s="91"/>
      <c r="M13" s="91"/>
      <c r="N13" s="91"/>
      <c r="O13" s="91"/>
      <c r="P13" s="91"/>
      <c r="Q13" s="91"/>
      <c r="R13" s="91"/>
      <c r="S13" s="92"/>
      <c r="Y13" s="15"/>
      <c r="Z13" s="23" t="s">
        <v>23</v>
      </c>
      <c r="AA13" s="15"/>
    </row>
    <row r="14" spans="1:27" ht="15" customHeight="1" x14ac:dyDescent="0.25">
      <c r="A14" s="210" t="s">
        <v>44</v>
      </c>
      <c r="B14" s="211"/>
      <c r="C14" s="214" t="s">
        <v>99</v>
      </c>
      <c r="D14" s="214"/>
      <c r="E14" s="214"/>
      <c r="F14" s="214"/>
      <c r="G14" s="214"/>
      <c r="H14" s="215"/>
      <c r="I14" s="210" t="s">
        <v>45</v>
      </c>
      <c r="J14" s="211"/>
      <c r="K14" s="218">
        <f>LEN(A4)</f>
        <v>9310</v>
      </c>
      <c r="L14" s="219"/>
      <c r="M14" s="15"/>
      <c r="N14" s="15"/>
      <c r="O14" s="15"/>
      <c r="P14" s="15"/>
      <c r="Q14" s="15"/>
      <c r="R14" s="15"/>
      <c r="S14" s="19"/>
      <c r="Y14" s="15"/>
      <c r="Z14" s="23" t="s">
        <v>24</v>
      </c>
      <c r="AA14" s="15"/>
    </row>
    <row r="15" spans="1:27" ht="15.75" customHeight="1" thickBot="1" x14ac:dyDescent="0.3">
      <c r="A15" s="212"/>
      <c r="B15" s="213"/>
      <c r="C15" s="216"/>
      <c r="D15" s="216"/>
      <c r="E15" s="216"/>
      <c r="F15" s="216"/>
      <c r="G15" s="216"/>
      <c r="H15" s="217"/>
      <c r="I15" s="212"/>
      <c r="J15" s="213"/>
      <c r="K15" s="220"/>
      <c r="L15" s="221"/>
      <c r="M15" s="20"/>
      <c r="N15" s="20"/>
      <c r="O15" s="20"/>
      <c r="P15" s="20"/>
      <c r="Q15" s="20"/>
      <c r="R15" s="20"/>
      <c r="S15" s="21"/>
      <c r="Y15" s="15"/>
      <c r="Z15" s="23" t="s">
        <v>25</v>
      </c>
      <c r="AA15" s="15"/>
    </row>
    <row r="16" spans="1:27" ht="15.75" customHeight="1" thickBot="1" x14ac:dyDescent="0.3">
      <c r="A16" s="49" t="s">
        <v>96</v>
      </c>
      <c r="B16" s="50"/>
      <c r="C16" s="45"/>
      <c r="D16" s="51">
        <f>LEN(C14)</f>
        <v>21</v>
      </c>
      <c r="E16" s="16"/>
      <c r="F16" s="222" t="s">
        <v>97</v>
      </c>
      <c r="G16" s="222"/>
      <c r="H16" s="52">
        <f>D16/K14*100</f>
        <v>0.22556390977443611</v>
      </c>
      <c r="I16" s="223" t="s">
        <v>98</v>
      </c>
      <c r="J16" s="223"/>
      <c r="K16" s="17"/>
      <c r="L16" s="17"/>
      <c r="M16" s="18"/>
      <c r="N16" s="18"/>
      <c r="O16" s="18"/>
      <c r="P16" s="18"/>
      <c r="Q16" s="18"/>
      <c r="R16" s="18"/>
      <c r="Y16" s="15"/>
      <c r="Z16" s="23" t="s">
        <v>26</v>
      </c>
      <c r="AA16" s="15"/>
    </row>
    <row r="17" spans="1:27" ht="15.75" customHeight="1" x14ac:dyDescent="0.25">
      <c r="A17" s="53" t="s">
        <v>46</v>
      </c>
      <c r="B17" s="54"/>
      <c r="C17" s="54"/>
      <c r="D17" s="54"/>
      <c r="E17" s="54"/>
      <c r="F17" s="54"/>
      <c r="G17" s="54"/>
      <c r="H17" s="54"/>
      <c r="I17" s="54"/>
      <c r="J17" s="54"/>
      <c r="K17" s="54"/>
      <c r="L17" s="54"/>
      <c r="M17" s="54"/>
      <c r="N17" s="54"/>
      <c r="O17" s="54"/>
      <c r="P17" s="54"/>
      <c r="Q17" s="54"/>
      <c r="R17" s="54"/>
      <c r="S17" s="55"/>
      <c r="Y17" s="15"/>
      <c r="Z17" s="23" t="s">
        <v>27</v>
      </c>
      <c r="AA17" s="15"/>
    </row>
    <row r="18" spans="1:27" ht="15" customHeight="1" x14ac:dyDescent="0.25">
      <c r="A18" s="56"/>
      <c r="B18" s="57"/>
      <c r="C18" s="57"/>
      <c r="D18" s="57"/>
      <c r="E18" s="57"/>
      <c r="F18" s="57"/>
      <c r="G18" s="57"/>
      <c r="H18" s="57"/>
      <c r="I18" s="57"/>
      <c r="J18" s="57"/>
      <c r="K18" s="57"/>
      <c r="L18" s="57"/>
      <c r="M18" s="57"/>
      <c r="N18" s="57"/>
      <c r="O18" s="57"/>
      <c r="P18" s="57"/>
      <c r="Q18" s="57"/>
      <c r="R18" s="57"/>
      <c r="S18" s="58"/>
      <c r="Y18" s="15"/>
      <c r="Z18" s="23" t="s">
        <v>28</v>
      </c>
      <c r="AA18" s="15"/>
    </row>
    <row r="19" spans="1:27" ht="15" customHeight="1" x14ac:dyDescent="0.25">
      <c r="A19" s="56"/>
      <c r="B19" s="57"/>
      <c r="C19" s="57"/>
      <c r="D19" s="57"/>
      <c r="E19" s="57"/>
      <c r="F19" s="57"/>
      <c r="G19" s="57"/>
      <c r="H19" s="57"/>
      <c r="I19" s="57"/>
      <c r="J19" s="57"/>
      <c r="K19" s="57"/>
      <c r="L19" s="57"/>
      <c r="M19" s="57"/>
      <c r="N19" s="57"/>
      <c r="O19" s="57"/>
      <c r="P19" s="57"/>
      <c r="Q19" s="57"/>
      <c r="R19" s="57"/>
      <c r="S19" s="58"/>
      <c r="Y19" s="15"/>
      <c r="Z19" s="23" t="s">
        <v>29</v>
      </c>
      <c r="AA19" s="15"/>
    </row>
    <row r="20" spans="1:27" ht="15" customHeight="1" x14ac:dyDescent="0.25">
      <c r="A20" s="204" t="s">
        <v>100</v>
      </c>
      <c r="B20" s="205"/>
      <c r="C20" s="205"/>
      <c r="D20" s="205"/>
      <c r="E20" s="205"/>
      <c r="F20" s="205"/>
      <c r="G20" s="205"/>
      <c r="H20" s="205"/>
      <c r="I20" s="205"/>
      <c r="J20" s="205"/>
      <c r="K20" s="205"/>
      <c r="L20" s="205"/>
      <c r="M20" s="205"/>
      <c r="N20" s="205"/>
      <c r="O20" s="205"/>
      <c r="P20" s="205"/>
      <c r="Q20" s="205"/>
      <c r="R20" s="205"/>
      <c r="S20" s="206"/>
      <c r="Y20" s="15"/>
      <c r="Z20" s="23" t="s">
        <v>30</v>
      </c>
      <c r="AA20" s="15"/>
    </row>
    <row r="21" spans="1:27" ht="15" customHeight="1" x14ac:dyDescent="0.25">
      <c r="A21" s="204"/>
      <c r="B21" s="205"/>
      <c r="C21" s="205"/>
      <c r="D21" s="205"/>
      <c r="E21" s="205"/>
      <c r="F21" s="205"/>
      <c r="G21" s="205"/>
      <c r="H21" s="205"/>
      <c r="I21" s="205"/>
      <c r="J21" s="205"/>
      <c r="K21" s="205"/>
      <c r="L21" s="205"/>
      <c r="M21" s="205"/>
      <c r="N21" s="205"/>
      <c r="O21" s="205"/>
      <c r="P21" s="205"/>
      <c r="Q21" s="205"/>
      <c r="R21" s="205"/>
      <c r="S21" s="206"/>
      <c r="Y21" s="15"/>
      <c r="Z21" s="23" t="s">
        <v>31</v>
      </c>
      <c r="AA21" s="15"/>
    </row>
    <row r="22" spans="1:27" ht="15" customHeight="1" x14ac:dyDescent="0.25">
      <c r="A22" s="204"/>
      <c r="B22" s="205"/>
      <c r="C22" s="205"/>
      <c r="D22" s="205"/>
      <c r="E22" s="205"/>
      <c r="F22" s="205"/>
      <c r="G22" s="205"/>
      <c r="H22" s="205"/>
      <c r="I22" s="205"/>
      <c r="J22" s="205"/>
      <c r="K22" s="205"/>
      <c r="L22" s="205"/>
      <c r="M22" s="205"/>
      <c r="N22" s="205"/>
      <c r="O22" s="205"/>
      <c r="P22" s="205"/>
      <c r="Q22" s="205"/>
      <c r="R22" s="205"/>
      <c r="S22" s="206"/>
      <c r="Y22" s="15"/>
      <c r="Z22" s="23" t="s">
        <v>32</v>
      </c>
      <c r="AA22" s="15"/>
    </row>
    <row r="23" spans="1:27" ht="15" customHeight="1" x14ac:dyDescent="0.25">
      <c r="A23" s="204"/>
      <c r="B23" s="205"/>
      <c r="C23" s="205"/>
      <c r="D23" s="205"/>
      <c r="E23" s="205"/>
      <c r="F23" s="205"/>
      <c r="G23" s="205"/>
      <c r="H23" s="205"/>
      <c r="I23" s="205"/>
      <c r="J23" s="205"/>
      <c r="K23" s="205"/>
      <c r="L23" s="205"/>
      <c r="M23" s="205"/>
      <c r="N23" s="205"/>
      <c r="O23" s="205"/>
      <c r="P23" s="205"/>
      <c r="Q23" s="205"/>
      <c r="R23" s="205"/>
      <c r="S23" s="206"/>
      <c r="Y23" s="15"/>
      <c r="Z23" s="23" t="s">
        <v>33</v>
      </c>
      <c r="AA23" s="15"/>
    </row>
    <row r="24" spans="1:27" ht="15" customHeight="1" x14ac:dyDescent="0.25">
      <c r="A24" s="204"/>
      <c r="B24" s="205"/>
      <c r="C24" s="205"/>
      <c r="D24" s="205"/>
      <c r="E24" s="205"/>
      <c r="F24" s="205"/>
      <c r="G24" s="205"/>
      <c r="H24" s="205"/>
      <c r="I24" s="205"/>
      <c r="J24" s="205"/>
      <c r="K24" s="205"/>
      <c r="L24" s="205"/>
      <c r="M24" s="205"/>
      <c r="N24" s="205"/>
      <c r="O24" s="205"/>
      <c r="P24" s="205"/>
      <c r="Q24" s="205"/>
      <c r="R24" s="205"/>
      <c r="S24" s="206"/>
      <c r="Y24" s="15"/>
      <c r="Z24" s="23" t="s">
        <v>34</v>
      </c>
      <c r="AA24" s="15"/>
    </row>
    <row r="25" spans="1:27" ht="15" customHeight="1" x14ac:dyDescent="0.25">
      <c r="A25" s="204"/>
      <c r="B25" s="205"/>
      <c r="C25" s="205"/>
      <c r="D25" s="205"/>
      <c r="E25" s="205"/>
      <c r="F25" s="205"/>
      <c r="G25" s="205"/>
      <c r="H25" s="205"/>
      <c r="I25" s="205"/>
      <c r="J25" s="205"/>
      <c r="K25" s="205"/>
      <c r="L25" s="205"/>
      <c r="M25" s="205"/>
      <c r="N25" s="205"/>
      <c r="O25" s="205"/>
      <c r="P25" s="205"/>
      <c r="Q25" s="205"/>
      <c r="R25" s="205"/>
      <c r="S25" s="206"/>
      <c r="Y25" s="15"/>
      <c r="Z25" s="23" t="s">
        <v>35</v>
      </c>
      <c r="AA25" s="15"/>
    </row>
    <row r="26" spans="1:27" ht="15" customHeight="1" thickBot="1" x14ac:dyDescent="0.3">
      <c r="A26" s="204"/>
      <c r="B26" s="205"/>
      <c r="C26" s="205"/>
      <c r="D26" s="205"/>
      <c r="E26" s="205"/>
      <c r="F26" s="205"/>
      <c r="G26" s="205"/>
      <c r="H26" s="205"/>
      <c r="I26" s="205"/>
      <c r="J26" s="205"/>
      <c r="K26" s="205"/>
      <c r="L26" s="205"/>
      <c r="M26" s="205"/>
      <c r="N26" s="205"/>
      <c r="O26" s="205"/>
      <c r="P26" s="205"/>
      <c r="Q26" s="205"/>
      <c r="R26" s="205"/>
      <c r="S26" s="206"/>
      <c r="Y26" s="15"/>
      <c r="Z26" s="24" t="s">
        <v>36</v>
      </c>
      <c r="AA26" s="15"/>
    </row>
    <row r="27" spans="1:27" ht="15" customHeight="1" x14ac:dyDescent="0.25">
      <c r="A27" s="204"/>
      <c r="B27" s="205"/>
      <c r="C27" s="205"/>
      <c r="D27" s="205"/>
      <c r="E27" s="205"/>
      <c r="F27" s="205"/>
      <c r="G27" s="205"/>
      <c r="H27" s="205"/>
      <c r="I27" s="205"/>
      <c r="J27" s="205"/>
      <c r="K27" s="205"/>
      <c r="L27" s="205"/>
      <c r="M27" s="205"/>
      <c r="N27" s="205"/>
      <c r="O27" s="205"/>
      <c r="P27" s="205"/>
      <c r="Q27" s="205"/>
      <c r="R27" s="205"/>
      <c r="S27" s="206"/>
      <c r="Y27" s="15"/>
      <c r="Z27" s="15"/>
      <c r="AA27" s="15"/>
    </row>
    <row r="28" spans="1:27" ht="15" customHeight="1" x14ac:dyDescent="0.25">
      <c r="A28" s="204"/>
      <c r="B28" s="205"/>
      <c r="C28" s="205"/>
      <c r="D28" s="205"/>
      <c r="E28" s="205"/>
      <c r="F28" s="205"/>
      <c r="G28" s="205"/>
      <c r="H28" s="205"/>
      <c r="I28" s="205"/>
      <c r="J28" s="205"/>
      <c r="K28" s="205"/>
      <c r="L28" s="205"/>
      <c r="M28" s="205"/>
      <c r="N28" s="205"/>
      <c r="O28" s="205"/>
      <c r="P28" s="205"/>
      <c r="Q28" s="205"/>
      <c r="R28" s="205"/>
      <c r="S28" s="206"/>
      <c r="Y28" s="15"/>
      <c r="Z28" s="15"/>
      <c r="AA28" s="15"/>
    </row>
    <row r="29" spans="1:27" ht="15.75" customHeight="1" x14ac:dyDescent="0.25">
      <c r="A29" s="204"/>
      <c r="B29" s="205"/>
      <c r="C29" s="205"/>
      <c r="D29" s="205"/>
      <c r="E29" s="205"/>
      <c r="F29" s="205"/>
      <c r="G29" s="205"/>
      <c r="H29" s="205"/>
      <c r="I29" s="205"/>
      <c r="J29" s="205"/>
      <c r="K29" s="205"/>
      <c r="L29" s="205"/>
      <c r="M29" s="205"/>
      <c r="N29" s="205"/>
      <c r="O29" s="205"/>
      <c r="P29" s="205"/>
      <c r="Q29" s="205"/>
      <c r="R29" s="205"/>
      <c r="S29" s="206"/>
      <c r="Y29" s="15"/>
      <c r="Z29" s="15"/>
      <c r="AA29" s="15"/>
    </row>
    <row r="30" spans="1:27" ht="15" customHeight="1" x14ac:dyDescent="0.25">
      <c r="A30" s="204"/>
      <c r="B30" s="205"/>
      <c r="C30" s="205"/>
      <c r="D30" s="205"/>
      <c r="E30" s="205"/>
      <c r="F30" s="205"/>
      <c r="G30" s="205"/>
      <c r="H30" s="205"/>
      <c r="I30" s="205"/>
      <c r="J30" s="205"/>
      <c r="K30" s="205"/>
      <c r="L30" s="205"/>
      <c r="M30" s="205"/>
      <c r="N30" s="205"/>
      <c r="O30" s="205"/>
      <c r="P30" s="205"/>
      <c r="Q30" s="205"/>
      <c r="R30" s="205"/>
      <c r="S30" s="206"/>
      <c r="Y30" s="15"/>
      <c r="Z30" s="15"/>
      <c r="AA30" s="15"/>
    </row>
    <row r="31" spans="1:27" ht="15" customHeight="1" x14ac:dyDescent="0.25">
      <c r="A31" s="204"/>
      <c r="B31" s="205"/>
      <c r="C31" s="205"/>
      <c r="D31" s="205"/>
      <c r="E31" s="205"/>
      <c r="F31" s="205"/>
      <c r="G31" s="205"/>
      <c r="H31" s="205"/>
      <c r="I31" s="205"/>
      <c r="J31" s="205"/>
      <c r="K31" s="205"/>
      <c r="L31" s="205"/>
      <c r="M31" s="205"/>
      <c r="N31" s="205"/>
      <c r="O31" s="205"/>
      <c r="P31" s="205"/>
      <c r="Q31" s="205"/>
      <c r="R31" s="205"/>
      <c r="S31" s="206"/>
    </row>
    <row r="32" spans="1:27" ht="15" customHeight="1" x14ac:dyDescent="0.25">
      <c r="A32" s="204"/>
      <c r="B32" s="205"/>
      <c r="C32" s="205"/>
      <c r="D32" s="205"/>
      <c r="E32" s="205"/>
      <c r="F32" s="205"/>
      <c r="G32" s="205"/>
      <c r="H32" s="205"/>
      <c r="I32" s="205"/>
      <c r="J32" s="205"/>
      <c r="K32" s="205"/>
      <c r="L32" s="205"/>
      <c r="M32" s="205"/>
      <c r="N32" s="205"/>
      <c r="O32" s="205"/>
      <c r="P32" s="205"/>
      <c r="Q32" s="205"/>
      <c r="R32" s="205"/>
      <c r="S32" s="206"/>
    </row>
    <row r="33" spans="1:19" ht="15" customHeight="1" x14ac:dyDescent="0.25">
      <c r="A33" s="204"/>
      <c r="B33" s="205"/>
      <c r="C33" s="205"/>
      <c r="D33" s="205"/>
      <c r="E33" s="205"/>
      <c r="F33" s="205"/>
      <c r="G33" s="205"/>
      <c r="H33" s="205"/>
      <c r="I33" s="205"/>
      <c r="J33" s="205"/>
      <c r="K33" s="205"/>
      <c r="L33" s="205"/>
      <c r="M33" s="205"/>
      <c r="N33" s="205"/>
      <c r="O33" s="205"/>
      <c r="P33" s="205"/>
      <c r="Q33" s="205"/>
      <c r="R33" s="205"/>
      <c r="S33" s="206"/>
    </row>
    <row r="34" spans="1:19" ht="15" customHeight="1" x14ac:dyDescent="0.25">
      <c r="A34" s="204"/>
      <c r="B34" s="205"/>
      <c r="C34" s="205"/>
      <c r="D34" s="205"/>
      <c r="E34" s="205"/>
      <c r="F34" s="205"/>
      <c r="G34" s="205"/>
      <c r="H34" s="205"/>
      <c r="I34" s="205"/>
      <c r="J34" s="205"/>
      <c r="K34" s="205"/>
      <c r="L34" s="205"/>
      <c r="M34" s="205"/>
      <c r="N34" s="205"/>
      <c r="O34" s="205"/>
      <c r="P34" s="205"/>
      <c r="Q34" s="205"/>
      <c r="R34" s="205"/>
      <c r="S34" s="206"/>
    </row>
    <row r="35" spans="1:19" ht="15" customHeight="1" x14ac:dyDescent="0.25">
      <c r="A35" s="204"/>
      <c r="B35" s="205"/>
      <c r="C35" s="205"/>
      <c r="D35" s="205"/>
      <c r="E35" s="205"/>
      <c r="F35" s="205"/>
      <c r="G35" s="205"/>
      <c r="H35" s="205"/>
      <c r="I35" s="205"/>
      <c r="J35" s="205"/>
      <c r="K35" s="205"/>
      <c r="L35" s="205"/>
      <c r="M35" s="205"/>
      <c r="N35" s="205"/>
      <c r="O35" s="205"/>
      <c r="P35" s="205"/>
      <c r="Q35" s="205"/>
      <c r="R35" s="205"/>
      <c r="S35" s="206"/>
    </row>
    <row r="36" spans="1:19" ht="15" customHeight="1" x14ac:dyDescent="0.25">
      <c r="A36" s="204"/>
      <c r="B36" s="205"/>
      <c r="C36" s="205"/>
      <c r="D36" s="205"/>
      <c r="E36" s="205"/>
      <c r="F36" s="205"/>
      <c r="G36" s="205"/>
      <c r="H36" s="205"/>
      <c r="I36" s="205"/>
      <c r="J36" s="205"/>
      <c r="K36" s="205"/>
      <c r="L36" s="205"/>
      <c r="M36" s="205"/>
      <c r="N36" s="205"/>
      <c r="O36" s="205"/>
      <c r="P36" s="205"/>
      <c r="Q36" s="205"/>
      <c r="R36" s="205"/>
      <c r="S36" s="206"/>
    </row>
    <row r="37" spans="1:19" ht="15" customHeight="1" x14ac:dyDescent="0.25">
      <c r="A37" s="204"/>
      <c r="B37" s="205"/>
      <c r="C37" s="205"/>
      <c r="D37" s="205"/>
      <c r="E37" s="205"/>
      <c r="F37" s="205"/>
      <c r="G37" s="205"/>
      <c r="H37" s="205"/>
      <c r="I37" s="205"/>
      <c r="J37" s="205"/>
      <c r="K37" s="205"/>
      <c r="L37" s="205"/>
      <c r="M37" s="205"/>
      <c r="N37" s="205"/>
      <c r="O37" s="205"/>
      <c r="P37" s="205"/>
      <c r="Q37" s="205"/>
      <c r="R37" s="205"/>
      <c r="S37" s="206"/>
    </row>
    <row r="38" spans="1:19" ht="15" customHeight="1" x14ac:dyDescent="0.25">
      <c r="A38" s="204"/>
      <c r="B38" s="205"/>
      <c r="C38" s="205"/>
      <c r="D38" s="205"/>
      <c r="E38" s="205"/>
      <c r="F38" s="205"/>
      <c r="G38" s="205"/>
      <c r="H38" s="205"/>
      <c r="I38" s="205"/>
      <c r="J38" s="205"/>
      <c r="K38" s="205"/>
      <c r="L38" s="205"/>
      <c r="M38" s="205"/>
      <c r="N38" s="205"/>
      <c r="O38" s="205"/>
      <c r="P38" s="205"/>
      <c r="Q38" s="205"/>
      <c r="R38" s="205"/>
      <c r="S38" s="206"/>
    </row>
    <row r="39" spans="1:19" ht="15" customHeight="1" x14ac:dyDescent="0.25">
      <c r="A39" s="204"/>
      <c r="B39" s="205"/>
      <c r="C39" s="205"/>
      <c r="D39" s="205"/>
      <c r="E39" s="205"/>
      <c r="F39" s="205"/>
      <c r="G39" s="205"/>
      <c r="H39" s="205"/>
      <c r="I39" s="205"/>
      <c r="J39" s="205"/>
      <c r="K39" s="205"/>
      <c r="L39" s="205"/>
      <c r="M39" s="205"/>
      <c r="N39" s="205"/>
      <c r="O39" s="205"/>
      <c r="P39" s="205"/>
      <c r="Q39" s="205"/>
      <c r="R39" s="205"/>
      <c r="S39" s="206"/>
    </row>
    <row r="40" spans="1:19" ht="15" customHeight="1" x14ac:dyDescent="0.25">
      <c r="A40" s="204"/>
      <c r="B40" s="205"/>
      <c r="C40" s="205"/>
      <c r="D40" s="205"/>
      <c r="E40" s="205"/>
      <c r="F40" s="205"/>
      <c r="G40" s="205"/>
      <c r="H40" s="205"/>
      <c r="I40" s="205"/>
      <c r="J40" s="205"/>
      <c r="K40" s="205"/>
      <c r="L40" s="205"/>
      <c r="M40" s="205"/>
      <c r="N40" s="205"/>
      <c r="O40" s="205"/>
      <c r="P40" s="205"/>
      <c r="Q40" s="205"/>
      <c r="R40" s="205"/>
      <c r="S40" s="206"/>
    </row>
    <row r="41" spans="1:19" ht="15" customHeight="1" x14ac:dyDescent="0.25">
      <c r="A41" s="204"/>
      <c r="B41" s="205"/>
      <c r="C41" s="205"/>
      <c r="D41" s="205"/>
      <c r="E41" s="205"/>
      <c r="F41" s="205"/>
      <c r="G41" s="205"/>
      <c r="H41" s="205"/>
      <c r="I41" s="205"/>
      <c r="J41" s="205"/>
      <c r="K41" s="205"/>
      <c r="L41" s="205"/>
      <c r="M41" s="205"/>
      <c r="N41" s="205"/>
      <c r="O41" s="205"/>
      <c r="P41" s="205"/>
      <c r="Q41" s="205"/>
      <c r="R41" s="205"/>
      <c r="S41" s="206"/>
    </row>
    <row r="42" spans="1:19" ht="15" customHeight="1" x14ac:dyDescent="0.25">
      <c r="A42" s="204"/>
      <c r="B42" s="205"/>
      <c r="C42" s="205"/>
      <c r="D42" s="205"/>
      <c r="E42" s="205"/>
      <c r="F42" s="205"/>
      <c r="G42" s="205"/>
      <c r="H42" s="205"/>
      <c r="I42" s="205"/>
      <c r="J42" s="205"/>
      <c r="K42" s="205"/>
      <c r="L42" s="205"/>
      <c r="M42" s="205"/>
      <c r="N42" s="205"/>
      <c r="O42" s="205"/>
      <c r="P42" s="205"/>
      <c r="Q42" s="205"/>
      <c r="R42" s="205"/>
      <c r="S42" s="206"/>
    </row>
    <row r="43" spans="1:19" ht="15" customHeight="1" x14ac:dyDescent="0.25">
      <c r="A43" s="204"/>
      <c r="B43" s="205"/>
      <c r="C43" s="205"/>
      <c r="D43" s="205"/>
      <c r="E43" s="205"/>
      <c r="F43" s="205"/>
      <c r="G43" s="205"/>
      <c r="H43" s="205"/>
      <c r="I43" s="205"/>
      <c r="J43" s="205"/>
      <c r="K43" s="205"/>
      <c r="L43" s="205"/>
      <c r="M43" s="205"/>
      <c r="N43" s="205"/>
      <c r="O43" s="205"/>
      <c r="P43" s="205"/>
      <c r="Q43" s="205"/>
      <c r="R43" s="205"/>
      <c r="S43" s="206"/>
    </row>
    <row r="44" spans="1:19" ht="15" customHeight="1" x14ac:dyDescent="0.25">
      <c r="A44" s="204"/>
      <c r="B44" s="205"/>
      <c r="C44" s="205"/>
      <c r="D44" s="205"/>
      <c r="E44" s="205"/>
      <c r="F44" s="205"/>
      <c r="G44" s="205"/>
      <c r="H44" s="205"/>
      <c r="I44" s="205"/>
      <c r="J44" s="205"/>
      <c r="K44" s="205"/>
      <c r="L44" s="205"/>
      <c r="M44" s="205"/>
      <c r="N44" s="205"/>
      <c r="O44" s="205"/>
      <c r="P44" s="205"/>
      <c r="Q44" s="205"/>
      <c r="R44" s="205"/>
      <c r="S44" s="206"/>
    </row>
    <row r="45" spans="1:19" ht="15" customHeight="1" x14ac:dyDescent="0.25">
      <c r="A45" s="204"/>
      <c r="B45" s="205"/>
      <c r="C45" s="205"/>
      <c r="D45" s="205"/>
      <c r="E45" s="205"/>
      <c r="F45" s="205"/>
      <c r="G45" s="205"/>
      <c r="H45" s="205"/>
      <c r="I45" s="205"/>
      <c r="J45" s="205"/>
      <c r="K45" s="205"/>
      <c r="L45" s="205"/>
      <c r="M45" s="205"/>
      <c r="N45" s="205"/>
      <c r="O45" s="205"/>
      <c r="P45" s="205"/>
      <c r="Q45" s="205"/>
      <c r="R45" s="205"/>
      <c r="S45" s="206"/>
    </row>
    <row r="46" spans="1:19" ht="15" customHeight="1" x14ac:dyDescent="0.25">
      <c r="A46" s="204"/>
      <c r="B46" s="205"/>
      <c r="C46" s="205"/>
      <c r="D46" s="205"/>
      <c r="E46" s="205"/>
      <c r="F46" s="205"/>
      <c r="G46" s="205"/>
      <c r="H46" s="205"/>
      <c r="I46" s="205"/>
      <c r="J46" s="205"/>
      <c r="K46" s="205"/>
      <c r="L46" s="205"/>
      <c r="M46" s="205"/>
      <c r="N46" s="205"/>
      <c r="O46" s="205"/>
      <c r="P46" s="205"/>
      <c r="Q46" s="205"/>
      <c r="R46" s="205"/>
      <c r="S46" s="206"/>
    </row>
    <row r="47" spans="1:19" ht="15" customHeight="1" x14ac:dyDescent="0.25">
      <c r="A47" s="204"/>
      <c r="B47" s="205"/>
      <c r="C47" s="205"/>
      <c r="D47" s="205"/>
      <c r="E47" s="205"/>
      <c r="F47" s="205"/>
      <c r="G47" s="205"/>
      <c r="H47" s="205"/>
      <c r="I47" s="205"/>
      <c r="J47" s="205"/>
      <c r="K47" s="205"/>
      <c r="L47" s="205"/>
      <c r="M47" s="205"/>
      <c r="N47" s="205"/>
      <c r="O47" s="205"/>
      <c r="P47" s="205"/>
      <c r="Q47" s="205"/>
      <c r="R47" s="205"/>
      <c r="S47" s="206"/>
    </row>
    <row r="48" spans="1:19" ht="15" customHeight="1" x14ac:dyDescent="0.25">
      <c r="A48" s="204"/>
      <c r="B48" s="205"/>
      <c r="C48" s="205"/>
      <c r="D48" s="205"/>
      <c r="E48" s="205"/>
      <c r="F48" s="205"/>
      <c r="G48" s="205"/>
      <c r="H48" s="205"/>
      <c r="I48" s="205"/>
      <c r="J48" s="205"/>
      <c r="K48" s="205"/>
      <c r="L48" s="205"/>
      <c r="M48" s="205"/>
      <c r="N48" s="205"/>
      <c r="O48" s="205"/>
      <c r="P48" s="205"/>
      <c r="Q48" s="205"/>
      <c r="R48" s="205"/>
      <c r="S48" s="206"/>
    </row>
    <row r="49" spans="1:19" ht="15" customHeight="1" x14ac:dyDescent="0.25">
      <c r="A49" s="204"/>
      <c r="B49" s="205"/>
      <c r="C49" s="205"/>
      <c r="D49" s="205"/>
      <c r="E49" s="205"/>
      <c r="F49" s="205"/>
      <c r="G49" s="205"/>
      <c r="H49" s="205"/>
      <c r="I49" s="205"/>
      <c r="J49" s="205"/>
      <c r="K49" s="205"/>
      <c r="L49" s="205"/>
      <c r="M49" s="205"/>
      <c r="N49" s="205"/>
      <c r="O49" s="205"/>
      <c r="P49" s="205"/>
      <c r="Q49" s="205"/>
      <c r="R49" s="205"/>
      <c r="S49" s="206"/>
    </row>
    <row r="50" spans="1:19" ht="15.75" customHeight="1" x14ac:dyDescent="0.25">
      <c r="A50" s="204"/>
      <c r="B50" s="205"/>
      <c r="C50" s="205"/>
      <c r="D50" s="205"/>
      <c r="E50" s="205"/>
      <c r="F50" s="205"/>
      <c r="G50" s="205"/>
      <c r="H50" s="205"/>
      <c r="I50" s="205"/>
      <c r="J50" s="205"/>
      <c r="K50" s="205"/>
      <c r="L50" s="205"/>
      <c r="M50" s="205"/>
      <c r="N50" s="205"/>
      <c r="O50" s="205"/>
      <c r="P50" s="205"/>
      <c r="Q50" s="205"/>
      <c r="R50" s="205"/>
      <c r="S50" s="206"/>
    </row>
    <row r="51" spans="1:19" x14ac:dyDescent="0.25">
      <c r="A51" s="204"/>
      <c r="B51" s="205"/>
      <c r="C51" s="205"/>
      <c r="D51" s="205"/>
      <c r="E51" s="205"/>
      <c r="F51" s="205"/>
      <c r="G51" s="205"/>
      <c r="H51" s="205"/>
      <c r="I51" s="205"/>
      <c r="J51" s="205"/>
      <c r="K51" s="205"/>
      <c r="L51" s="205"/>
      <c r="M51" s="205"/>
      <c r="N51" s="205"/>
      <c r="O51" s="205"/>
      <c r="P51" s="205"/>
      <c r="Q51" s="205"/>
      <c r="R51" s="205"/>
      <c r="S51" s="206"/>
    </row>
    <row r="52" spans="1:19" x14ac:dyDescent="0.25">
      <c r="A52" s="204"/>
      <c r="B52" s="205"/>
      <c r="C52" s="205"/>
      <c r="D52" s="205"/>
      <c r="E52" s="205"/>
      <c r="F52" s="205"/>
      <c r="G52" s="205"/>
      <c r="H52" s="205"/>
      <c r="I52" s="205"/>
      <c r="J52" s="205"/>
      <c r="K52" s="205"/>
      <c r="L52" s="205"/>
      <c r="M52" s="205"/>
      <c r="N52" s="205"/>
      <c r="O52" s="205"/>
      <c r="P52" s="205"/>
      <c r="Q52" s="205"/>
      <c r="R52" s="205"/>
      <c r="S52" s="206"/>
    </row>
    <row r="53" spans="1:19" x14ac:dyDescent="0.25">
      <c r="A53" s="204"/>
      <c r="B53" s="205"/>
      <c r="C53" s="205"/>
      <c r="D53" s="205"/>
      <c r="E53" s="205"/>
      <c r="F53" s="205"/>
      <c r="G53" s="205"/>
      <c r="H53" s="205"/>
      <c r="I53" s="205"/>
      <c r="J53" s="205"/>
      <c r="K53" s="205"/>
      <c r="L53" s="205"/>
      <c r="M53" s="205"/>
      <c r="N53" s="205"/>
      <c r="O53" s="205"/>
      <c r="P53" s="205"/>
      <c r="Q53" s="205"/>
      <c r="R53" s="205"/>
      <c r="S53" s="206"/>
    </row>
    <row r="54" spans="1:19" x14ac:dyDescent="0.25">
      <c r="A54" s="204"/>
      <c r="B54" s="205"/>
      <c r="C54" s="205"/>
      <c r="D54" s="205"/>
      <c r="E54" s="205"/>
      <c r="F54" s="205"/>
      <c r="G54" s="205"/>
      <c r="H54" s="205"/>
      <c r="I54" s="205"/>
      <c r="J54" s="205"/>
      <c r="K54" s="205"/>
      <c r="L54" s="205"/>
      <c r="M54" s="205"/>
      <c r="N54" s="205"/>
      <c r="O54" s="205"/>
      <c r="P54" s="205"/>
      <c r="Q54" s="205"/>
      <c r="R54" s="205"/>
      <c r="S54" s="206"/>
    </row>
    <row r="55" spans="1:19" x14ac:dyDescent="0.25">
      <c r="A55" s="204"/>
      <c r="B55" s="205"/>
      <c r="C55" s="205"/>
      <c r="D55" s="205"/>
      <c r="E55" s="205"/>
      <c r="F55" s="205"/>
      <c r="G55" s="205"/>
      <c r="H55" s="205"/>
      <c r="I55" s="205"/>
      <c r="J55" s="205"/>
      <c r="K55" s="205"/>
      <c r="L55" s="205"/>
      <c r="M55" s="205"/>
      <c r="N55" s="205"/>
      <c r="O55" s="205"/>
      <c r="P55" s="205"/>
      <c r="Q55" s="205"/>
      <c r="R55" s="205"/>
      <c r="S55" s="206"/>
    </row>
    <row r="56" spans="1:19" x14ac:dyDescent="0.25">
      <c r="A56" s="204"/>
      <c r="B56" s="205"/>
      <c r="C56" s="205"/>
      <c r="D56" s="205"/>
      <c r="E56" s="205"/>
      <c r="F56" s="205"/>
      <c r="G56" s="205"/>
      <c r="H56" s="205"/>
      <c r="I56" s="205"/>
      <c r="J56" s="205"/>
      <c r="K56" s="205"/>
      <c r="L56" s="205"/>
      <c r="M56" s="205"/>
      <c r="N56" s="205"/>
      <c r="O56" s="205"/>
      <c r="P56" s="205"/>
      <c r="Q56" s="205"/>
      <c r="R56" s="205"/>
      <c r="S56" s="206"/>
    </row>
    <row r="57" spans="1:19" x14ac:dyDescent="0.25">
      <c r="A57" s="204"/>
      <c r="B57" s="205"/>
      <c r="C57" s="205"/>
      <c r="D57" s="205"/>
      <c r="E57" s="205"/>
      <c r="F57" s="205"/>
      <c r="G57" s="205"/>
      <c r="H57" s="205"/>
      <c r="I57" s="205"/>
      <c r="J57" s="205"/>
      <c r="K57" s="205"/>
      <c r="L57" s="205"/>
      <c r="M57" s="205"/>
      <c r="N57" s="205"/>
      <c r="O57" s="205"/>
      <c r="P57" s="205"/>
      <c r="Q57" s="205"/>
      <c r="R57" s="205"/>
      <c r="S57" s="206"/>
    </row>
    <row r="58" spans="1:19" x14ac:dyDescent="0.25">
      <c r="A58" s="204"/>
      <c r="B58" s="205"/>
      <c r="C58" s="205"/>
      <c r="D58" s="205"/>
      <c r="E58" s="205"/>
      <c r="F58" s="205"/>
      <c r="G58" s="205"/>
      <c r="H58" s="205"/>
      <c r="I58" s="205"/>
      <c r="J58" s="205"/>
      <c r="K58" s="205"/>
      <c r="L58" s="205"/>
      <c r="M58" s="205"/>
      <c r="N58" s="205"/>
      <c r="O58" s="205"/>
      <c r="P58" s="205"/>
      <c r="Q58" s="205"/>
      <c r="R58" s="205"/>
      <c r="S58" s="206"/>
    </row>
    <row r="59" spans="1:19" x14ac:dyDescent="0.25">
      <c r="A59" s="204"/>
      <c r="B59" s="205"/>
      <c r="C59" s="205"/>
      <c r="D59" s="205"/>
      <c r="E59" s="205"/>
      <c r="F59" s="205"/>
      <c r="G59" s="205"/>
      <c r="H59" s="205"/>
      <c r="I59" s="205"/>
      <c r="J59" s="205"/>
      <c r="K59" s="205"/>
      <c r="L59" s="205"/>
      <c r="M59" s="205"/>
      <c r="N59" s="205"/>
      <c r="O59" s="205"/>
      <c r="P59" s="205"/>
      <c r="Q59" s="205"/>
      <c r="R59" s="205"/>
      <c r="S59" s="206"/>
    </row>
    <row r="60" spans="1:19" x14ac:dyDescent="0.25">
      <c r="A60" s="204"/>
      <c r="B60" s="205"/>
      <c r="C60" s="205"/>
      <c r="D60" s="205"/>
      <c r="E60" s="205"/>
      <c r="F60" s="205"/>
      <c r="G60" s="205"/>
      <c r="H60" s="205"/>
      <c r="I60" s="205"/>
      <c r="J60" s="205"/>
      <c r="K60" s="205"/>
      <c r="L60" s="205"/>
      <c r="M60" s="205"/>
      <c r="N60" s="205"/>
      <c r="O60" s="205"/>
      <c r="P60" s="205"/>
      <c r="Q60" s="205"/>
      <c r="R60" s="205"/>
      <c r="S60" s="206"/>
    </row>
    <row r="61" spans="1:19" x14ac:dyDescent="0.25">
      <c r="A61" s="204"/>
      <c r="B61" s="205"/>
      <c r="C61" s="205"/>
      <c r="D61" s="205"/>
      <c r="E61" s="205"/>
      <c r="F61" s="205"/>
      <c r="G61" s="205"/>
      <c r="H61" s="205"/>
      <c r="I61" s="205"/>
      <c r="J61" s="205"/>
      <c r="K61" s="205"/>
      <c r="L61" s="205"/>
      <c r="M61" s="205"/>
      <c r="N61" s="205"/>
      <c r="O61" s="205"/>
      <c r="P61" s="205"/>
      <c r="Q61" s="205"/>
      <c r="R61" s="205"/>
      <c r="S61" s="206"/>
    </row>
    <row r="62" spans="1:19" x14ac:dyDescent="0.25">
      <c r="A62" s="204"/>
      <c r="B62" s="205"/>
      <c r="C62" s="205"/>
      <c r="D62" s="205"/>
      <c r="E62" s="205"/>
      <c r="F62" s="205"/>
      <c r="G62" s="205"/>
      <c r="H62" s="205"/>
      <c r="I62" s="205"/>
      <c r="J62" s="205"/>
      <c r="K62" s="205"/>
      <c r="L62" s="205"/>
      <c r="M62" s="205"/>
      <c r="N62" s="205"/>
      <c r="O62" s="205"/>
      <c r="P62" s="205"/>
      <c r="Q62" s="205"/>
      <c r="R62" s="205"/>
      <c r="S62" s="206"/>
    </row>
    <row r="63" spans="1:19" x14ac:dyDescent="0.25">
      <c r="A63" s="204"/>
      <c r="B63" s="205"/>
      <c r="C63" s="205"/>
      <c r="D63" s="205"/>
      <c r="E63" s="205"/>
      <c r="F63" s="205"/>
      <c r="G63" s="205"/>
      <c r="H63" s="205"/>
      <c r="I63" s="205"/>
      <c r="J63" s="205"/>
      <c r="K63" s="205"/>
      <c r="L63" s="205"/>
      <c r="M63" s="205"/>
      <c r="N63" s="205"/>
      <c r="O63" s="205"/>
      <c r="P63" s="205"/>
      <c r="Q63" s="205"/>
      <c r="R63" s="205"/>
      <c r="S63" s="206"/>
    </row>
    <row r="64" spans="1:19" x14ac:dyDescent="0.25">
      <c r="A64" s="204"/>
      <c r="B64" s="205"/>
      <c r="C64" s="205"/>
      <c r="D64" s="205"/>
      <c r="E64" s="205"/>
      <c r="F64" s="205"/>
      <c r="G64" s="205"/>
      <c r="H64" s="205"/>
      <c r="I64" s="205"/>
      <c r="J64" s="205"/>
      <c r="K64" s="205"/>
      <c r="L64" s="205"/>
      <c r="M64" s="205"/>
      <c r="N64" s="205"/>
      <c r="O64" s="205"/>
      <c r="P64" s="205"/>
      <c r="Q64" s="205"/>
      <c r="R64" s="205"/>
      <c r="S64" s="206"/>
    </row>
    <row r="65" spans="1:19" x14ac:dyDescent="0.25">
      <c r="A65" s="204"/>
      <c r="B65" s="205"/>
      <c r="C65" s="205"/>
      <c r="D65" s="205"/>
      <c r="E65" s="205"/>
      <c r="F65" s="205"/>
      <c r="G65" s="205"/>
      <c r="H65" s="205"/>
      <c r="I65" s="205"/>
      <c r="J65" s="205"/>
      <c r="K65" s="205"/>
      <c r="L65" s="205"/>
      <c r="M65" s="205"/>
      <c r="N65" s="205"/>
      <c r="O65" s="205"/>
      <c r="P65" s="205"/>
      <c r="Q65" s="205"/>
      <c r="R65" s="205"/>
      <c r="S65" s="206"/>
    </row>
    <row r="66" spans="1:19" x14ac:dyDescent="0.25">
      <c r="A66" s="204"/>
      <c r="B66" s="205"/>
      <c r="C66" s="205"/>
      <c r="D66" s="205"/>
      <c r="E66" s="205"/>
      <c r="F66" s="205"/>
      <c r="G66" s="205"/>
      <c r="H66" s="205"/>
      <c r="I66" s="205"/>
      <c r="J66" s="205"/>
      <c r="K66" s="205"/>
      <c r="L66" s="205"/>
      <c r="M66" s="205"/>
      <c r="N66" s="205"/>
      <c r="O66" s="205"/>
      <c r="P66" s="205"/>
      <c r="Q66" s="205"/>
      <c r="R66" s="205"/>
      <c r="S66" s="206"/>
    </row>
    <row r="67" spans="1:19" x14ac:dyDescent="0.25">
      <c r="A67" s="204"/>
      <c r="B67" s="205"/>
      <c r="C67" s="205"/>
      <c r="D67" s="205"/>
      <c r="E67" s="205"/>
      <c r="F67" s="205"/>
      <c r="G67" s="205"/>
      <c r="H67" s="205"/>
      <c r="I67" s="205"/>
      <c r="J67" s="205"/>
      <c r="K67" s="205"/>
      <c r="L67" s="205"/>
      <c r="M67" s="205"/>
      <c r="N67" s="205"/>
      <c r="O67" s="205"/>
      <c r="P67" s="205"/>
      <c r="Q67" s="205"/>
      <c r="R67" s="205"/>
      <c r="S67" s="206"/>
    </row>
    <row r="68" spans="1:19" x14ac:dyDescent="0.25">
      <c r="A68" s="204"/>
      <c r="B68" s="205"/>
      <c r="C68" s="205"/>
      <c r="D68" s="205"/>
      <c r="E68" s="205"/>
      <c r="F68" s="205"/>
      <c r="G68" s="205"/>
      <c r="H68" s="205"/>
      <c r="I68" s="205"/>
      <c r="J68" s="205"/>
      <c r="K68" s="205"/>
      <c r="L68" s="205"/>
      <c r="M68" s="205"/>
      <c r="N68" s="205"/>
      <c r="O68" s="205"/>
      <c r="P68" s="205"/>
      <c r="Q68" s="205"/>
      <c r="R68" s="205"/>
      <c r="S68" s="206"/>
    </row>
    <row r="69" spans="1:19" x14ac:dyDescent="0.25">
      <c r="A69" s="204"/>
      <c r="B69" s="205"/>
      <c r="C69" s="205"/>
      <c r="D69" s="205"/>
      <c r="E69" s="205"/>
      <c r="F69" s="205"/>
      <c r="G69" s="205"/>
      <c r="H69" s="205"/>
      <c r="I69" s="205"/>
      <c r="J69" s="205"/>
      <c r="K69" s="205"/>
      <c r="L69" s="205"/>
      <c r="M69" s="205"/>
      <c r="N69" s="205"/>
      <c r="O69" s="205"/>
      <c r="P69" s="205"/>
      <c r="Q69" s="205"/>
      <c r="R69" s="205"/>
      <c r="S69" s="206"/>
    </row>
    <row r="70" spans="1:19" x14ac:dyDescent="0.25">
      <c r="A70" s="204"/>
      <c r="B70" s="205"/>
      <c r="C70" s="205"/>
      <c r="D70" s="205"/>
      <c r="E70" s="205"/>
      <c r="F70" s="205"/>
      <c r="G70" s="205"/>
      <c r="H70" s="205"/>
      <c r="I70" s="205"/>
      <c r="J70" s="205"/>
      <c r="K70" s="205"/>
      <c r="L70" s="205"/>
      <c r="M70" s="205"/>
      <c r="N70" s="205"/>
      <c r="O70" s="205"/>
      <c r="P70" s="205"/>
      <c r="Q70" s="205"/>
      <c r="R70" s="205"/>
      <c r="S70" s="206"/>
    </row>
    <row r="71" spans="1:19" x14ac:dyDescent="0.25">
      <c r="A71" s="204"/>
      <c r="B71" s="205"/>
      <c r="C71" s="205"/>
      <c r="D71" s="205"/>
      <c r="E71" s="205"/>
      <c r="F71" s="205"/>
      <c r="G71" s="205"/>
      <c r="H71" s="205"/>
      <c r="I71" s="205"/>
      <c r="J71" s="205"/>
      <c r="K71" s="205"/>
      <c r="L71" s="205"/>
      <c r="M71" s="205"/>
      <c r="N71" s="205"/>
      <c r="O71" s="205"/>
      <c r="P71" s="205"/>
      <c r="Q71" s="205"/>
      <c r="R71" s="205"/>
      <c r="S71" s="206"/>
    </row>
    <row r="72" spans="1:19" x14ac:dyDescent="0.25">
      <c r="A72" s="204"/>
      <c r="B72" s="205"/>
      <c r="C72" s="205"/>
      <c r="D72" s="205"/>
      <c r="E72" s="205"/>
      <c r="F72" s="205"/>
      <c r="G72" s="205"/>
      <c r="H72" s="205"/>
      <c r="I72" s="205"/>
      <c r="J72" s="205"/>
      <c r="K72" s="205"/>
      <c r="L72" s="205"/>
      <c r="M72" s="205"/>
      <c r="N72" s="205"/>
      <c r="O72" s="205"/>
      <c r="P72" s="205"/>
      <c r="Q72" s="205"/>
      <c r="R72" s="205"/>
      <c r="S72" s="206"/>
    </row>
    <row r="73" spans="1:19" x14ac:dyDescent="0.25">
      <c r="A73" s="204"/>
      <c r="B73" s="205"/>
      <c r="C73" s="205"/>
      <c r="D73" s="205"/>
      <c r="E73" s="205"/>
      <c r="F73" s="205"/>
      <c r="G73" s="205"/>
      <c r="H73" s="205"/>
      <c r="I73" s="205"/>
      <c r="J73" s="205"/>
      <c r="K73" s="205"/>
      <c r="L73" s="205"/>
      <c r="M73" s="205"/>
      <c r="N73" s="205"/>
      <c r="O73" s="205"/>
      <c r="P73" s="205"/>
      <c r="Q73" s="205"/>
      <c r="R73" s="205"/>
      <c r="S73" s="206"/>
    </row>
    <row r="74" spans="1:19" x14ac:dyDescent="0.25">
      <c r="A74" s="204"/>
      <c r="B74" s="205"/>
      <c r="C74" s="205"/>
      <c r="D74" s="205"/>
      <c r="E74" s="205"/>
      <c r="F74" s="205"/>
      <c r="G74" s="205"/>
      <c r="H74" s="205"/>
      <c r="I74" s="205"/>
      <c r="J74" s="205"/>
      <c r="K74" s="205"/>
      <c r="L74" s="205"/>
      <c r="M74" s="205"/>
      <c r="N74" s="205"/>
      <c r="O74" s="205"/>
      <c r="P74" s="205"/>
      <c r="Q74" s="205"/>
      <c r="R74" s="205"/>
      <c r="S74" s="206"/>
    </row>
    <row r="75" spans="1:19" x14ac:dyDescent="0.25">
      <c r="A75" s="204"/>
      <c r="B75" s="205"/>
      <c r="C75" s="205"/>
      <c r="D75" s="205"/>
      <c r="E75" s="205"/>
      <c r="F75" s="205"/>
      <c r="G75" s="205"/>
      <c r="H75" s="205"/>
      <c r="I75" s="205"/>
      <c r="J75" s="205"/>
      <c r="K75" s="205"/>
      <c r="L75" s="205"/>
      <c r="M75" s="205"/>
      <c r="N75" s="205"/>
      <c r="O75" s="205"/>
      <c r="P75" s="205"/>
      <c r="Q75" s="205"/>
      <c r="R75" s="205"/>
      <c r="S75" s="206"/>
    </row>
    <row r="76" spans="1:19" x14ac:dyDescent="0.25">
      <c r="A76" s="204"/>
      <c r="B76" s="205"/>
      <c r="C76" s="205"/>
      <c r="D76" s="205"/>
      <c r="E76" s="205"/>
      <c r="F76" s="205"/>
      <c r="G76" s="205"/>
      <c r="H76" s="205"/>
      <c r="I76" s="205"/>
      <c r="J76" s="205"/>
      <c r="K76" s="205"/>
      <c r="L76" s="205"/>
      <c r="M76" s="205"/>
      <c r="N76" s="205"/>
      <c r="O76" s="205"/>
      <c r="P76" s="205"/>
      <c r="Q76" s="205"/>
      <c r="R76" s="205"/>
      <c r="S76" s="206"/>
    </row>
    <row r="77" spans="1:19" x14ac:dyDescent="0.25">
      <c r="A77" s="204"/>
      <c r="B77" s="205"/>
      <c r="C77" s="205"/>
      <c r="D77" s="205"/>
      <c r="E77" s="205"/>
      <c r="F77" s="205"/>
      <c r="G77" s="205"/>
      <c r="H77" s="205"/>
      <c r="I77" s="205"/>
      <c r="J77" s="205"/>
      <c r="K77" s="205"/>
      <c r="L77" s="205"/>
      <c r="M77" s="205"/>
      <c r="N77" s="205"/>
      <c r="O77" s="205"/>
      <c r="P77" s="205"/>
      <c r="Q77" s="205"/>
      <c r="R77" s="205"/>
      <c r="S77" s="206"/>
    </row>
    <row r="78" spans="1:19" x14ac:dyDescent="0.25">
      <c r="A78" s="204"/>
      <c r="B78" s="205"/>
      <c r="C78" s="205"/>
      <c r="D78" s="205"/>
      <c r="E78" s="205"/>
      <c r="F78" s="205"/>
      <c r="G78" s="205"/>
      <c r="H78" s="205"/>
      <c r="I78" s="205"/>
      <c r="J78" s="205"/>
      <c r="K78" s="205"/>
      <c r="L78" s="205"/>
      <c r="M78" s="205"/>
      <c r="N78" s="205"/>
      <c r="O78" s="205"/>
      <c r="P78" s="205"/>
      <c r="Q78" s="205"/>
      <c r="R78" s="205"/>
      <c r="S78" s="206"/>
    </row>
    <row r="79" spans="1:19" x14ac:dyDescent="0.25">
      <c r="A79" s="204"/>
      <c r="B79" s="205"/>
      <c r="C79" s="205"/>
      <c r="D79" s="205"/>
      <c r="E79" s="205"/>
      <c r="F79" s="205"/>
      <c r="G79" s="205"/>
      <c r="H79" s="205"/>
      <c r="I79" s="205"/>
      <c r="J79" s="205"/>
      <c r="K79" s="205"/>
      <c r="L79" s="205"/>
      <c r="M79" s="205"/>
      <c r="N79" s="205"/>
      <c r="O79" s="205"/>
      <c r="P79" s="205"/>
      <c r="Q79" s="205"/>
      <c r="R79" s="205"/>
      <c r="S79" s="206"/>
    </row>
    <row r="80" spans="1:19" x14ac:dyDescent="0.25">
      <c r="A80" s="204"/>
      <c r="B80" s="205"/>
      <c r="C80" s="205"/>
      <c r="D80" s="205"/>
      <c r="E80" s="205"/>
      <c r="F80" s="205"/>
      <c r="G80" s="205"/>
      <c r="H80" s="205"/>
      <c r="I80" s="205"/>
      <c r="J80" s="205"/>
      <c r="K80" s="205"/>
      <c r="L80" s="205"/>
      <c r="M80" s="205"/>
      <c r="N80" s="205"/>
      <c r="O80" s="205"/>
      <c r="P80" s="205"/>
      <c r="Q80" s="205"/>
      <c r="R80" s="205"/>
      <c r="S80" s="206"/>
    </row>
    <row r="81" spans="1:19" x14ac:dyDescent="0.25">
      <c r="A81" s="204"/>
      <c r="B81" s="205"/>
      <c r="C81" s="205"/>
      <c r="D81" s="205"/>
      <c r="E81" s="205"/>
      <c r="F81" s="205"/>
      <c r="G81" s="205"/>
      <c r="H81" s="205"/>
      <c r="I81" s="205"/>
      <c r="J81" s="205"/>
      <c r="K81" s="205"/>
      <c r="L81" s="205"/>
      <c r="M81" s="205"/>
      <c r="N81" s="205"/>
      <c r="O81" s="205"/>
      <c r="P81" s="205"/>
      <c r="Q81" s="205"/>
      <c r="R81" s="205"/>
      <c r="S81" s="206"/>
    </row>
    <row r="82" spans="1:19" x14ac:dyDescent="0.25">
      <c r="A82" s="204"/>
      <c r="B82" s="205"/>
      <c r="C82" s="205"/>
      <c r="D82" s="205"/>
      <c r="E82" s="205"/>
      <c r="F82" s="205"/>
      <c r="G82" s="205"/>
      <c r="H82" s="205"/>
      <c r="I82" s="205"/>
      <c r="J82" s="205"/>
      <c r="K82" s="205"/>
      <c r="L82" s="205"/>
      <c r="M82" s="205"/>
      <c r="N82" s="205"/>
      <c r="O82" s="205"/>
      <c r="P82" s="205"/>
      <c r="Q82" s="205"/>
      <c r="R82" s="205"/>
      <c r="S82" s="206"/>
    </row>
    <row r="83" spans="1:19" x14ac:dyDescent="0.25">
      <c r="A83" s="204"/>
      <c r="B83" s="205"/>
      <c r="C83" s="205"/>
      <c r="D83" s="205"/>
      <c r="E83" s="205"/>
      <c r="F83" s="205"/>
      <c r="G83" s="205"/>
      <c r="H83" s="205"/>
      <c r="I83" s="205"/>
      <c r="J83" s="205"/>
      <c r="K83" s="205"/>
      <c r="L83" s="205"/>
      <c r="M83" s="205"/>
      <c r="N83" s="205"/>
      <c r="O83" s="205"/>
      <c r="P83" s="205"/>
      <c r="Q83" s="205"/>
      <c r="R83" s="205"/>
      <c r="S83" s="206"/>
    </row>
    <row r="84" spans="1:19" x14ac:dyDescent="0.25">
      <c r="A84" s="204"/>
      <c r="B84" s="205"/>
      <c r="C84" s="205"/>
      <c r="D84" s="205"/>
      <c r="E84" s="205"/>
      <c r="F84" s="205"/>
      <c r="G84" s="205"/>
      <c r="H84" s="205"/>
      <c r="I84" s="205"/>
      <c r="J84" s="205"/>
      <c r="K84" s="205"/>
      <c r="L84" s="205"/>
      <c r="M84" s="205"/>
      <c r="N84" s="205"/>
      <c r="O84" s="205"/>
      <c r="P84" s="205"/>
      <c r="Q84" s="205"/>
      <c r="R84" s="205"/>
      <c r="S84" s="206"/>
    </row>
    <row r="85" spans="1:19" x14ac:dyDescent="0.25">
      <c r="A85" s="204"/>
      <c r="B85" s="205"/>
      <c r="C85" s="205"/>
      <c r="D85" s="205"/>
      <c r="E85" s="205"/>
      <c r="F85" s="205"/>
      <c r="G85" s="205"/>
      <c r="H85" s="205"/>
      <c r="I85" s="205"/>
      <c r="J85" s="205"/>
      <c r="K85" s="205"/>
      <c r="L85" s="205"/>
      <c r="M85" s="205"/>
      <c r="N85" s="205"/>
      <c r="O85" s="205"/>
      <c r="P85" s="205"/>
      <c r="Q85" s="205"/>
      <c r="R85" s="205"/>
      <c r="S85" s="206"/>
    </row>
    <row r="86" spans="1:19" x14ac:dyDescent="0.25">
      <c r="A86" s="204"/>
      <c r="B86" s="205"/>
      <c r="C86" s="205"/>
      <c r="D86" s="205"/>
      <c r="E86" s="205"/>
      <c r="F86" s="205"/>
      <c r="G86" s="205"/>
      <c r="H86" s="205"/>
      <c r="I86" s="205"/>
      <c r="J86" s="205"/>
      <c r="K86" s="205"/>
      <c r="L86" s="205"/>
      <c r="M86" s="205"/>
      <c r="N86" s="205"/>
      <c r="O86" s="205"/>
      <c r="P86" s="205"/>
      <c r="Q86" s="205"/>
      <c r="R86" s="205"/>
      <c r="S86" s="206"/>
    </row>
    <row r="87" spans="1:19" x14ac:dyDescent="0.25">
      <c r="A87" s="204"/>
      <c r="B87" s="205"/>
      <c r="C87" s="205"/>
      <c r="D87" s="205"/>
      <c r="E87" s="205"/>
      <c r="F87" s="205"/>
      <c r="G87" s="205"/>
      <c r="H87" s="205"/>
      <c r="I87" s="205"/>
      <c r="J87" s="205"/>
      <c r="K87" s="205"/>
      <c r="L87" s="205"/>
      <c r="M87" s="205"/>
      <c r="N87" s="205"/>
      <c r="O87" s="205"/>
      <c r="P87" s="205"/>
      <c r="Q87" s="205"/>
      <c r="R87" s="205"/>
      <c r="S87" s="206"/>
    </row>
    <row r="88" spans="1:19" x14ac:dyDescent="0.25">
      <c r="A88" s="204"/>
      <c r="B88" s="205"/>
      <c r="C88" s="205"/>
      <c r="D88" s="205"/>
      <c r="E88" s="205"/>
      <c r="F88" s="205"/>
      <c r="G88" s="205"/>
      <c r="H88" s="205"/>
      <c r="I88" s="205"/>
      <c r="J88" s="205"/>
      <c r="K88" s="205"/>
      <c r="L88" s="205"/>
      <c r="M88" s="205"/>
      <c r="N88" s="205"/>
      <c r="O88" s="205"/>
      <c r="P88" s="205"/>
      <c r="Q88" s="205"/>
      <c r="R88" s="205"/>
      <c r="S88" s="206"/>
    </row>
    <row r="89" spans="1:19" x14ac:dyDescent="0.25">
      <c r="A89" s="204"/>
      <c r="B89" s="205"/>
      <c r="C89" s="205"/>
      <c r="D89" s="205"/>
      <c r="E89" s="205"/>
      <c r="F89" s="205"/>
      <c r="G89" s="205"/>
      <c r="H89" s="205"/>
      <c r="I89" s="205"/>
      <c r="J89" s="205"/>
      <c r="K89" s="205"/>
      <c r="L89" s="205"/>
      <c r="M89" s="205"/>
      <c r="N89" s="205"/>
      <c r="O89" s="205"/>
      <c r="P89" s="205"/>
      <c r="Q89" s="205"/>
      <c r="R89" s="205"/>
      <c r="S89" s="206"/>
    </row>
    <row r="90" spans="1:19" x14ac:dyDescent="0.25">
      <c r="A90" s="204"/>
      <c r="B90" s="205"/>
      <c r="C90" s="205"/>
      <c r="D90" s="205"/>
      <c r="E90" s="205"/>
      <c r="F90" s="205"/>
      <c r="G90" s="205"/>
      <c r="H90" s="205"/>
      <c r="I90" s="205"/>
      <c r="J90" s="205"/>
      <c r="K90" s="205"/>
      <c r="L90" s="205"/>
      <c r="M90" s="205"/>
      <c r="N90" s="205"/>
      <c r="O90" s="205"/>
      <c r="P90" s="205"/>
      <c r="Q90" s="205"/>
      <c r="R90" s="205"/>
      <c r="S90" s="206"/>
    </row>
    <row r="91" spans="1:19" x14ac:dyDescent="0.25">
      <c r="A91" s="204"/>
      <c r="B91" s="205"/>
      <c r="C91" s="205"/>
      <c r="D91" s="205"/>
      <c r="E91" s="205"/>
      <c r="F91" s="205"/>
      <c r="G91" s="205"/>
      <c r="H91" s="205"/>
      <c r="I91" s="205"/>
      <c r="J91" s="205"/>
      <c r="K91" s="205"/>
      <c r="L91" s="205"/>
      <c r="M91" s="205"/>
      <c r="N91" s="205"/>
      <c r="O91" s="205"/>
      <c r="P91" s="205"/>
      <c r="Q91" s="205"/>
      <c r="R91" s="205"/>
      <c r="S91" s="206"/>
    </row>
    <row r="92" spans="1:19" x14ac:dyDescent="0.25">
      <c r="A92" s="204"/>
      <c r="B92" s="205"/>
      <c r="C92" s="205"/>
      <c r="D92" s="205"/>
      <c r="E92" s="205"/>
      <c r="F92" s="205"/>
      <c r="G92" s="205"/>
      <c r="H92" s="205"/>
      <c r="I92" s="205"/>
      <c r="J92" s="205"/>
      <c r="K92" s="205"/>
      <c r="L92" s="205"/>
      <c r="M92" s="205"/>
      <c r="N92" s="205"/>
      <c r="O92" s="205"/>
      <c r="P92" s="205"/>
      <c r="Q92" s="205"/>
      <c r="R92" s="205"/>
      <c r="S92" s="206"/>
    </row>
    <row r="93" spans="1:19" x14ac:dyDescent="0.25">
      <c r="A93" s="204"/>
      <c r="B93" s="205"/>
      <c r="C93" s="205"/>
      <c r="D93" s="205"/>
      <c r="E93" s="205"/>
      <c r="F93" s="205"/>
      <c r="G93" s="205"/>
      <c r="H93" s="205"/>
      <c r="I93" s="205"/>
      <c r="J93" s="205"/>
      <c r="K93" s="205"/>
      <c r="L93" s="205"/>
      <c r="M93" s="205"/>
      <c r="N93" s="205"/>
      <c r="O93" s="205"/>
      <c r="P93" s="205"/>
      <c r="Q93" s="205"/>
      <c r="R93" s="205"/>
      <c r="S93" s="206"/>
    </row>
    <row r="94" spans="1:19" x14ac:dyDescent="0.25">
      <c r="A94" s="204"/>
      <c r="B94" s="205"/>
      <c r="C94" s="205"/>
      <c r="D94" s="205"/>
      <c r="E94" s="205"/>
      <c r="F94" s="205"/>
      <c r="G94" s="205"/>
      <c r="H94" s="205"/>
      <c r="I94" s="205"/>
      <c r="J94" s="205"/>
      <c r="K94" s="205"/>
      <c r="L94" s="205"/>
      <c r="M94" s="205"/>
      <c r="N94" s="205"/>
      <c r="O94" s="205"/>
      <c r="P94" s="205"/>
      <c r="Q94" s="205"/>
      <c r="R94" s="205"/>
      <c r="S94" s="206"/>
    </row>
    <row r="95" spans="1:19" x14ac:dyDescent="0.25">
      <c r="A95" s="204"/>
      <c r="B95" s="205"/>
      <c r="C95" s="205"/>
      <c r="D95" s="205"/>
      <c r="E95" s="205"/>
      <c r="F95" s="205"/>
      <c r="G95" s="205"/>
      <c r="H95" s="205"/>
      <c r="I95" s="205"/>
      <c r="J95" s="205"/>
      <c r="K95" s="205"/>
      <c r="L95" s="205"/>
      <c r="M95" s="205"/>
      <c r="N95" s="205"/>
      <c r="O95" s="205"/>
      <c r="P95" s="205"/>
      <c r="Q95" s="205"/>
      <c r="R95" s="205"/>
      <c r="S95" s="206"/>
    </row>
    <row r="96" spans="1:19" x14ac:dyDescent="0.25">
      <c r="A96" s="204"/>
      <c r="B96" s="205"/>
      <c r="C96" s="205"/>
      <c r="D96" s="205"/>
      <c r="E96" s="205"/>
      <c r="F96" s="205"/>
      <c r="G96" s="205"/>
      <c r="H96" s="205"/>
      <c r="I96" s="205"/>
      <c r="J96" s="205"/>
      <c r="K96" s="205"/>
      <c r="L96" s="205"/>
      <c r="M96" s="205"/>
      <c r="N96" s="205"/>
      <c r="O96" s="205"/>
      <c r="P96" s="205"/>
      <c r="Q96" s="205"/>
      <c r="R96" s="205"/>
      <c r="S96" s="206"/>
    </row>
    <row r="97" spans="1:19" x14ac:dyDescent="0.25">
      <c r="A97" s="204"/>
      <c r="B97" s="205"/>
      <c r="C97" s="205"/>
      <c r="D97" s="205"/>
      <c r="E97" s="205"/>
      <c r="F97" s="205"/>
      <c r="G97" s="205"/>
      <c r="H97" s="205"/>
      <c r="I97" s="205"/>
      <c r="J97" s="205"/>
      <c r="K97" s="205"/>
      <c r="L97" s="205"/>
      <c r="M97" s="205"/>
      <c r="N97" s="205"/>
      <c r="O97" s="205"/>
      <c r="P97" s="205"/>
      <c r="Q97" s="205"/>
      <c r="R97" s="205"/>
      <c r="S97" s="206"/>
    </row>
    <row r="98" spans="1:19" x14ac:dyDescent="0.25">
      <c r="A98" s="204"/>
      <c r="B98" s="205"/>
      <c r="C98" s="205"/>
      <c r="D98" s="205"/>
      <c r="E98" s="205"/>
      <c r="F98" s="205"/>
      <c r="G98" s="205"/>
      <c r="H98" s="205"/>
      <c r="I98" s="205"/>
      <c r="J98" s="205"/>
      <c r="K98" s="205"/>
      <c r="L98" s="205"/>
      <c r="M98" s="205"/>
      <c r="N98" s="205"/>
      <c r="O98" s="205"/>
      <c r="P98" s="205"/>
      <c r="Q98" s="205"/>
      <c r="R98" s="205"/>
      <c r="S98" s="206"/>
    </row>
    <row r="99" spans="1:19" x14ac:dyDescent="0.25">
      <c r="A99" s="204"/>
      <c r="B99" s="205"/>
      <c r="C99" s="205"/>
      <c r="D99" s="205"/>
      <c r="E99" s="205"/>
      <c r="F99" s="205"/>
      <c r="G99" s="205"/>
      <c r="H99" s="205"/>
      <c r="I99" s="205"/>
      <c r="J99" s="205"/>
      <c r="K99" s="205"/>
      <c r="L99" s="205"/>
      <c r="M99" s="205"/>
      <c r="N99" s="205"/>
      <c r="O99" s="205"/>
      <c r="P99" s="205"/>
      <c r="Q99" s="205"/>
      <c r="R99" s="205"/>
      <c r="S99" s="206"/>
    </row>
    <row r="100" spans="1:19" ht="15.75" thickBot="1" x14ac:dyDescent="0.3">
      <c r="A100" s="207"/>
      <c r="B100" s="208"/>
      <c r="C100" s="208"/>
      <c r="D100" s="208"/>
      <c r="E100" s="208"/>
      <c r="F100" s="208"/>
      <c r="G100" s="208"/>
      <c r="H100" s="208"/>
      <c r="I100" s="208"/>
      <c r="J100" s="208"/>
      <c r="K100" s="208"/>
      <c r="L100" s="208"/>
      <c r="M100" s="208"/>
      <c r="N100" s="208"/>
      <c r="O100" s="208"/>
      <c r="P100" s="208"/>
      <c r="Q100" s="208"/>
      <c r="R100" s="208"/>
      <c r="S100" s="209"/>
    </row>
  </sheetData>
  <mergeCells count="10">
    <mergeCell ref="A4:S13"/>
    <mergeCell ref="A1:S3"/>
    <mergeCell ref="A17:S19"/>
    <mergeCell ref="A20:S100"/>
    <mergeCell ref="A14:B15"/>
    <mergeCell ref="C14:H15"/>
    <mergeCell ref="I14:J15"/>
    <mergeCell ref="K14:L15"/>
    <mergeCell ref="F16:G16"/>
    <mergeCell ref="I16:J1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rypteClef">
                <anchor moveWithCells="1" sizeWithCells="1">
                  <from>
                    <xdr:col>12</xdr:col>
                    <xdr:colOff>28575</xdr:colOff>
                    <xdr:row>13</xdr:row>
                    <xdr:rowOff>9525</xdr:rowOff>
                  </from>
                  <to>
                    <xdr:col>15</xdr:col>
                    <xdr:colOff>9525</xdr:colOff>
                    <xdr:row>15</xdr:row>
                    <xdr:rowOff>0</xdr:rowOff>
                  </to>
                </anchor>
              </controlPr>
            </control>
          </mc:Choice>
        </mc:AlternateContent>
        <mc:AlternateContent xmlns:mc="http://schemas.openxmlformats.org/markup-compatibility/2006">
          <mc:Choice Requires="x14">
            <control shapeId="5122" r:id="rId5" name="Button 2">
              <controlPr defaultSize="0" print="0" autoFill="0" autoPict="0" macro="[0]!DecrypteClef">
                <anchor moveWithCells="1" sizeWithCells="1">
                  <from>
                    <xdr:col>15</xdr:col>
                    <xdr:colOff>47625</xdr:colOff>
                    <xdr:row>13</xdr:row>
                    <xdr:rowOff>9525</xdr:rowOff>
                  </from>
                  <to>
                    <xdr:col>18</xdr:col>
                    <xdr:colOff>47625</xdr:colOff>
                    <xdr:row>15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767EF-34F9-4DB5-A692-07FE819168F0}">
  <sheetPr codeName="Feuil5"/>
  <dimension ref="A1:AB28"/>
  <sheetViews>
    <sheetView workbookViewId="0"/>
  </sheetViews>
  <sheetFormatPr baseColWidth="10" defaultRowHeight="15" x14ac:dyDescent="0.25"/>
  <cols>
    <col min="1" max="1" width="3" bestFit="1" customWidth="1"/>
    <col min="2" max="11" width="2.85546875" bestFit="1" customWidth="1"/>
    <col min="12" max="28" width="3" bestFit="1" customWidth="1"/>
  </cols>
  <sheetData>
    <row r="1" spans="1:28" x14ac:dyDescent="0.25">
      <c r="A1" s="6"/>
      <c r="B1" s="7" t="s">
        <v>11</v>
      </c>
      <c r="C1" s="7" t="s">
        <v>12</v>
      </c>
      <c r="D1" s="7" t="s">
        <v>13</v>
      </c>
      <c r="E1" s="7" t="s">
        <v>14</v>
      </c>
      <c r="F1" s="7" t="s">
        <v>15</v>
      </c>
      <c r="G1" s="7" t="s">
        <v>16</v>
      </c>
      <c r="H1" s="7" t="s">
        <v>17</v>
      </c>
      <c r="I1" s="7" t="s">
        <v>18</v>
      </c>
      <c r="J1" s="7" t="s">
        <v>19</v>
      </c>
      <c r="K1" s="7" t="s">
        <v>20</v>
      </c>
      <c r="L1" s="7" t="s">
        <v>21</v>
      </c>
      <c r="M1" s="7" t="s">
        <v>22</v>
      </c>
      <c r="N1" s="7" t="s">
        <v>23</v>
      </c>
      <c r="O1" s="7" t="s">
        <v>24</v>
      </c>
      <c r="P1" s="7" t="s">
        <v>25</v>
      </c>
      <c r="Q1" s="7" t="s">
        <v>26</v>
      </c>
      <c r="R1" s="7" t="s">
        <v>27</v>
      </c>
      <c r="S1" s="7" t="s">
        <v>28</v>
      </c>
      <c r="T1" s="7" t="s">
        <v>29</v>
      </c>
      <c r="U1" s="7" t="s">
        <v>30</v>
      </c>
      <c r="V1" s="7" t="s">
        <v>31</v>
      </c>
      <c r="W1" s="7" t="s">
        <v>32</v>
      </c>
      <c r="X1" s="7" t="s">
        <v>33</v>
      </c>
      <c r="Y1" s="7" t="s">
        <v>34</v>
      </c>
      <c r="Z1" s="7" t="s">
        <v>35</v>
      </c>
      <c r="AA1" s="7" t="s">
        <v>36</v>
      </c>
    </row>
    <row r="2" spans="1:28" x14ac:dyDescent="0.25">
      <c r="A2" s="8" t="s">
        <v>11</v>
      </c>
      <c r="B2" s="9" t="str">
        <f>B1</f>
        <v>A</v>
      </c>
      <c r="C2" s="9" t="str">
        <f t="shared" ref="C2:AA2" si="0">C1</f>
        <v>B</v>
      </c>
      <c r="D2" s="9" t="str">
        <f t="shared" si="0"/>
        <v>C</v>
      </c>
      <c r="E2" s="9" t="str">
        <f t="shared" si="0"/>
        <v>D</v>
      </c>
      <c r="F2" s="9" t="str">
        <f t="shared" si="0"/>
        <v>E</v>
      </c>
      <c r="G2" s="9" t="str">
        <f t="shared" si="0"/>
        <v>F</v>
      </c>
      <c r="H2" s="9" t="str">
        <f t="shared" si="0"/>
        <v>G</v>
      </c>
      <c r="I2" s="9" t="str">
        <f t="shared" si="0"/>
        <v>H</v>
      </c>
      <c r="J2" s="9" t="str">
        <f t="shared" si="0"/>
        <v>I</v>
      </c>
      <c r="K2" s="9" t="str">
        <f t="shared" si="0"/>
        <v>J</v>
      </c>
      <c r="L2" s="9" t="str">
        <f t="shared" si="0"/>
        <v>K</v>
      </c>
      <c r="M2" s="9" t="str">
        <f t="shared" si="0"/>
        <v>L</v>
      </c>
      <c r="N2" s="9" t="str">
        <f t="shared" si="0"/>
        <v>M</v>
      </c>
      <c r="O2" s="9" t="str">
        <f t="shared" si="0"/>
        <v>N</v>
      </c>
      <c r="P2" s="9" t="str">
        <f t="shared" si="0"/>
        <v>O</v>
      </c>
      <c r="Q2" s="9" t="str">
        <f t="shared" si="0"/>
        <v>P</v>
      </c>
      <c r="R2" s="9" t="str">
        <f t="shared" si="0"/>
        <v>Q</v>
      </c>
      <c r="S2" s="9" t="str">
        <f t="shared" si="0"/>
        <v>R</v>
      </c>
      <c r="T2" s="9" t="str">
        <f t="shared" si="0"/>
        <v>S</v>
      </c>
      <c r="U2" s="9" t="str">
        <f t="shared" si="0"/>
        <v>T</v>
      </c>
      <c r="V2" s="9" t="str">
        <f t="shared" si="0"/>
        <v>U</v>
      </c>
      <c r="W2" s="9" t="str">
        <f t="shared" si="0"/>
        <v>V</v>
      </c>
      <c r="X2" s="9" t="str">
        <f t="shared" si="0"/>
        <v>W</v>
      </c>
      <c r="Y2" s="9" t="str">
        <f t="shared" si="0"/>
        <v>X</v>
      </c>
      <c r="Z2" s="9" t="str">
        <f t="shared" si="0"/>
        <v>Y</v>
      </c>
      <c r="AA2" s="9" t="str">
        <f t="shared" si="0"/>
        <v>Z</v>
      </c>
      <c r="AB2" s="10">
        <v>0</v>
      </c>
    </row>
    <row r="3" spans="1:28" x14ac:dyDescent="0.25">
      <c r="A3" s="8" t="s">
        <v>12</v>
      </c>
      <c r="B3" s="9" t="str">
        <f>C2</f>
        <v>B</v>
      </c>
      <c r="C3" s="9" t="str">
        <f t="shared" ref="C3:R13" si="1">D2</f>
        <v>C</v>
      </c>
      <c r="D3" s="9" t="str">
        <f t="shared" si="1"/>
        <v>D</v>
      </c>
      <c r="E3" s="9" t="str">
        <f t="shared" si="1"/>
        <v>E</v>
      </c>
      <c r="F3" s="9" t="str">
        <f t="shared" si="1"/>
        <v>F</v>
      </c>
      <c r="G3" s="9" t="str">
        <f t="shared" si="1"/>
        <v>G</v>
      </c>
      <c r="H3" s="9" t="str">
        <f t="shared" si="1"/>
        <v>H</v>
      </c>
      <c r="I3" s="9" t="str">
        <f t="shared" si="1"/>
        <v>I</v>
      </c>
      <c r="J3" s="9" t="str">
        <f t="shared" si="1"/>
        <v>J</v>
      </c>
      <c r="K3" s="9" t="str">
        <f t="shared" si="1"/>
        <v>K</v>
      </c>
      <c r="L3" s="9" t="str">
        <f t="shared" si="1"/>
        <v>L</v>
      </c>
      <c r="M3" s="9" t="str">
        <f t="shared" si="1"/>
        <v>M</v>
      </c>
      <c r="N3" s="9" t="str">
        <f t="shared" si="1"/>
        <v>N</v>
      </c>
      <c r="O3" s="9" t="str">
        <f t="shared" si="1"/>
        <v>O</v>
      </c>
      <c r="P3" s="9" t="str">
        <f t="shared" si="1"/>
        <v>P</v>
      </c>
      <c r="Q3" s="9" t="str">
        <f t="shared" si="1"/>
        <v>Q</v>
      </c>
      <c r="R3" s="9" t="str">
        <f t="shared" si="1"/>
        <v>R</v>
      </c>
      <c r="S3" s="9" t="str">
        <f t="shared" ref="R3:Z18" si="2">T2</f>
        <v>S</v>
      </c>
      <c r="T3" s="9" t="str">
        <f t="shared" si="2"/>
        <v>T</v>
      </c>
      <c r="U3" s="9" t="str">
        <f t="shared" si="2"/>
        <v>U</v>
      </c>
      <c r="V3" s="9" t="str">
        <f t="shared" si="2"/>
        <v>V</v>
      </c>
      <c r="W3" s="9" t="str">
        <f t="shared" si="2"/>
        <v>W</v>
      </c>
      <c r="X3" s="9" t="str">
        <f t="shared" si="2"/>
        <v>X</v>
      </c>
      <c r="Y3" s="9" t="str">
        <f t="shared" si="2"/>
        <v>Y</v>
      </c>
      <c r="Z3" s="9" t="str">
        <f t="shared" si="2"/>
        <v>Z</v>
      </c>
      <c r="AA3" s="9" t="str">
        <f>B2</f>
        <v>A</v>
      </c>
      <c r="AB3" s="10">
        <v>1</v>
      </c>
    </row>
    <row r="4" spans="1:28" x14ac:dyDescent="0.25">
      <c r="A4" s="8" t="s">
        <v>13</v>
      </c>
      <c r="B4" s="9" t="str">
        <f t="shared" ref="B4:Q27" si="3">C3</f>
        <v>C</v>
      </c>
      <c r="C4" s="9" t="str">
        <f t="shared" si="1"/>
        <v>D</v>
      </c>
      <c r="D4" s="9" t="str">
        <f t="shared" si="1"/>
        <v>E</v>
      </c>
      <c r="E4" s="9" t="str">
        <f t="shared" si="1"/>
        <v>F</v>
      </c>
      <c r="F4" s="9" t="str">
        <f t="shared" si="1"/>
        <v>G</v>
      </c>
      <c r="G4" s="9" t="str">
        <f t="shared" si="1"/>
        <v>H</v>
      </c>
      <c r="H4" s="9" t="str">
        <f t="shared" si="1"/>
        <v>I</v>
      </c>
      <c r="I4" s="9" t="str">
        <f t="shared" si="1"/>
        <v>J</v>
      </c>
      <c r="J4" s="9" t="str">
        <f t="shared" si="1"/>
        <v>K</v>
      </c>
      <c r="K4" s="9" t="str">
        <f t="shared" si="1"/>
        <v>L</v>
      </c>
      <c r="L4" s="9" t="str">
        <f t="shared" si="1"/>
        <v>M</v>
      </c>
      <c r="M4" s="9" t="str">
        <f t="shared" si="1"/>
        <v>N</v>
      </c>
      <c r="N4" s="9" t="str">
        <f t="shared" si="1"/>
        <v>O</v>
      </c>
      <c r="O4" s="9" t="str">
        <f t="shared" si="1"/>
        <v>P</v>
      </c>
      <c r="P4" s="9" t="str">
        <f t="shared" si="1"/>
        <v>Q</v>
      </c>
      <c r="Q4" s="9" t="str">
        <f t="shared" si="1"/>
        <v>R</v>
      </c>
      <c r="R4" s="9" t="str">
        <f t="shared" si="1"/>
        <v>S</v>
      </c>
      <c r="S4" s="9" t="str">
        <f t="shared" si="2"/>
        <v>T</v>
      </c>
      <c r="T4" s="9" t="str">
        <f t="shared" si="2"/>
        <v>U</v>
      </c>
      <c r="U4" s="9" t="str">
        <f t="shared" si="2"/>
        <v>V</v>
      </c>
      <c r="V4" s="9" t="str">
        <f t="shared" si="2"/>
        <v>W</v>
      </c>
      <c r="W4" s="9" t="str">
        <f t="shared" si="2"/>
        <v>X</v>
      </c>
      <c r="X4" s="9" t="str">
        <f t="shared" si="2"/>
        <v>Y</v>
      </c>
      <c r="Y4" s="9" t="str">
        <f t="shared" si="2"/>
        <v>Z</v>
      </c>
      <c r="Z4" s="9" t="str">
        <f t="shared" si="2"/>
        <v>A</v>
      </c>
      <c r="AA4" s="9" t="str">
        <f t="shared" ref="AA4:AA27" si="4">B3</f>
        <v>B</v>
      </c>
      <c r="AB4" s="10">
        <v>2</v>
      </c>
    </row>
    <row r="5" spans="1:28" x14ac:dyDescent="0.25">
      <c r="A5" s="8" t="s">
        <v>14</v>
      </c>
      <c r="B5" s="9" t="str">
        <f t="shared" si="3"/>
        <v>D</v>
      </c>
      <c r="C5" s="9" t="str">
        <f t="shared" si="1"/>
        <v>E</v>
      </c>
      <c r="D5" s="9" t="str">
        <f t="shared" si="1"/>
        <v>F</v>
      </c>
      <c r="E5" s="9" t="str">
        <f t="shared" si="1"/>
        <v>G</v>
      </c>
      <c r="F5" s="9" t="str">
        <f t="shared" si="1"/>
        <v>H</v>
      </c>
      <c r="G5" s="9" t="str">
        <f t="shared" si="1"/>
        <v>I</v>
      </c>
      <c r="H5" s="9" t="str">
        <f t="shared" si="1"/>
        <v>J</v>
      </c>
      <c r="I5" s="9" t="str">
        <f t="shared" si="1"/>
        <v>K</v>
      </c>
      <c r="J5" s="9" t="str">
        <f t="shared" si="1"/>
        <v>L</v>
      </c>
      <c r="K5" s="9" t="str">
        <f t="shared" si="1"/>
        <v>M</v>
      </c>
      <c r="L5" s="9" t="str">
        <f t="shared" si="1"/>
        <v>N</v>
      </c>
      <c r="M5" s="9" t="str">
        <f t="shared" si="1"/>
        <v>O</v>
      </c>
      <c r="N5" s="9" t="str">
        <f t="shared" si="1"/>
        <v>P</v>
      </c>
      <c r="O5" s="9" t="str">
        <f t="shared" si="1"/>
        <v>Q</v>
      </c>
      <c r="P5" s="9" t="str">
        <f t="shared" si="1"/>
        <v>R</v>
      </c>
      <c r="Q5" s="9" t="str">
        <f t="shared" si="1"/>
        <v>S</v>
      </c>
      <c r="R5" s="9" t="str">
        <f t="shared" si="1"/>
        <v>T</v>
      </c>
      <c r="S5" s="9" t="str">
        <f t="shared" si="2"/>
        <v>U</v>
      </c>
      <c r="T5" s="9" t="str">
        <f t="shared" si="2"/>
        <v>V</v>
      </c>
      <c r="U5" s="9" t="str">
        <f t="shared" si="2"/>
        <v>W</v>
      </c>
      <c r="V5" s="9" t="str">
        <f t="shared" si="2"/>
        <v>X</v>
      </c>
      <c r="W5" s="9" t="str">
        <f t="shared" si="2"/>
        <v>Y</v>
      </c>
      <c r="X5" s="9" t="str">
        <f t="shared" si="2"/>
        <v>Z</v>
      </c>
      <c r="Y5" s="9" t="str">
        <f t="shared" si="2"/>
        <v>A</v>
      </c>
      <c r="Z5" s="9" t="str">
        <f t="shared" si="2"/>
        <v>B</v>
      </c>
      <c r="AA5" s="9" t="str">
        <f t="shared" si="4"/>
        <v>C</v>
      </c>
      <c r="AB5" s="10">
        <v>3</v>
      </c>
    </row>
    <row r="6" spans="1:28" x14ac:dyDescent="0.25">
      <c r="A6" s="8" t="s">
        <v>15</v>
      </c>
      <c r="B6" s="9" t="str">
        <f t="shared" si="3"/>
        <v>E</v>
      </c>
      <c r="C6" s="9" t="str">
        <f t="shared" si="1"/>
        <v>F</v>
      </c>
      <c r="D6" s="9" t="str">
        <f t="shared" si="1"/>
        <v>G</v>
      </c>
      <c r="E6" s="9" t="str">
        <f t="shared" si="1"/>
        <v>H</v>
      </c>
      <c r="F6" s="9" t="str">
        <f t="shared" si="1"/>
        <v>I</v>
      </c>
      <c r="G6" s="9" t="str">
        <f t="shared" si="1"/>
        <v>J</v>
      </c>
      <c r="H6" s="9" t="str">
        <f t="shared" si="1"/>
        <v>K</v>
      </c>
      <c r="I6" s="9" t="str">
        <f t="shared" si="1"/>
        <v>L</v>
      </c>
      <c r="J6" s="9" t="str">
        <f t="shared" si="1"/>
        <v>M</v>
      </c>
      <c r="K6" s="9" t="str">
        <f t="shared" si="1"/>
        <v>N</v>
      </c>
      <c r="L6" s="9" t="str">
        <f t="shared" si="1"/>
        <v>O</v>
      </c>
      <c r="M6" s="9" t="str">
        <f t="shared" si="1"/>
        <v>P</v>
      </c>
      <c r="N6" s="9" t="str">
        <f t="shared" si="1"/>
        <v>Q</v>
      </c>
      <c r="O6" s="9" t="str">
        <f t="shared" si="1"/>
        <v>R</v>
      </c>
      <c r="P6" s="9" t="str">
        <f t="shared" si="1"/>
        <v>S</v>
      </c>
      <c r="Q6" s="9" t="str">
        <f t="shared" si="1"/>
        <v>T</v>
      </c>
      <c r="R6" s="9" t="str">
        <f t="shared" si="1"/>
        <v>U</v>
      </c>
      <c r="S6" s="9" t="str">
        <f t="shared" si="2"/>
        <v>V</v>
      </c>
      <c r="T6" s="9" t="str">
        <f t="shared" si="2"/>
        <v>W</v>
      </c>
      <c r="U6" s="9" t="str">
        <f t="shared" si="2"/>
        <v>X</v>
      </c>
      <c r="V6" s="9" t="str">
        <f t="shared" si="2"/>
        <v>Y</v>
      </c>
      <c r="W6" s="9" t="str">
        <f t="shared" si="2"/>
        <v>Z</v>
      </c>
      <c r="X6" s="9" t="str">
        <f t="shared" si="2"/>
        <v>A</v>
      </c>
      <c r="Y6" s="9" t="str">
        <f t="shared" si="2"/>
        <v>B</v>
      </c>
      <c r="Z6" s="9" t="str">
        <f t="shared" si="2"/>
        <v>C</v>
      </c>
      <c r="AA6" s="9" t="str">
        <f t="shared" si="4"/>
        <v>D</v>
      </c>
      <c r="AB6" s="10">
        <v>4</v>
      </c>
    </row>
    <row r="7" spans="1:28" x14ac:dyDescent="0.25">
      <c r="A7" s="8" t="s">
        <v>16</v>
      </c>
      <c r="B7" s="9" t="str">
        <f t="shared" si="3"/>
        <v>F</v>
      </c>
      <c r="C7" s="9" t="str">
        <f t="shared" si="1"/>
        <v>G</v>
      </c>
      <c r="D7" s="9" t="str">
        <f t="shared" si="1"/>
        <v>H</v>
      </c>
      <c r="E7" s="9" t="str">
        <f t="shared" si="1"/>
        <v>I</v>
      </c>
      <c r="F7" s="9" t="str">
        <f t="shared" si="1"/>
        <v>J</v>
      </c>
      <c r="G7" s="9" t="str">
        <f t="shared" si="1"/>
        <v>K</v>
      </c>
      <c r="H7" s="9" t="str">
        <f t="shared" si="1"/>
        <v>L</v>
      </c>
      <c r="I7" s="9" t="str">
        <f t="shared" si="1"/>
        <v>M</v>
      </c>
      <c r="J7" s="9" t="str">
        <f t="shared" si="1"/>
        <v>N</v>
      </c>
      <c r="K7" s="9" t="str">
        <f t="shared" si="1"/>
        <v>O</v>
      </c>
      <c r="L7" s="9" t="str">
        <f t="shared" si="1"/>
        <v>P</v>
      </c>
      <c r="M7" s="9" t="str">
        <f t="shared" si="1"/>
        <v>Q</v>
      </c>
      <c r="N7" s="9" t="str">
        <f t="shared" si="1"/>
        <v>R</v>
      </c>
      <c r="O7" s="9" t="str">
        <f t="shared" si="1"/>
        <v>S</v>
      </c>
      <c r="P7" s="9" t="str">
        <f t="shared" si="1"/>
        <v>T</v>
      </c>
      <c r="Q7" s="9" t="str">
        <f t="shared" si="1"/>
        <v>U</v>
      </c>
      <c r="R7" s="9" t="str">
        <f t="shared" si="1"/>
        <v>V</v>
      </c>
      <c r="S7" s="9" t="str">
        <f t="shared" si="2"/>
        <v>W</v>
      </c>
      <c r="T7" s="9" t="str">
        <f t="shared" si="2"/>
        <v>X</v>
      </c>
      <c r="U7" s="9" t="str">
        <f t="shared" si="2"/>
        <v>Y</v>
      </c>
      <c r="V7" s="9" t="str">
        <f t="shared" si="2"/>
        <v>Z</v>
      </c>
      <c r="W7" s="9" t="str">
        <f t="shared" si="2"/>
        <v>A</v>
      </c>
      <c r="X7" s="9" t="str">
        <f t="shared" si="2"/>
        <v>B</v>
      </c>
      <c r="Y7" s="9" t="str">
        <f t="shared" si="2"/>
        <v>C</v>
      </c>
      <c r="Z7" s="9" t="str">
        <f t="shared" si="2"/>
        <v>D</v>
      </c>
      <c r="AA7" s="9" t="str">
        <f t="shared" si="4"/>
        <v>E</v>
      </c>
      <c r="AB7" s="10">
        <v>5</v>
      </c>
    </row>
    <row r="8" spans="1:28" x14ac:dyDescent="0.25">
      <c r="A8" s="8" t="s">
        <v>17</v>
      </c>
      <c r="B8" s="9" t="str">
        <f t="shared" si="3"/>
        <v>G</v>
      </c>
      <c r="C8" s="9" t="str">
        <f t="shared" si="1"/>
        <v>H</v>
      </c>
      <c r="D8" s="9" t="str">
        <f t="shared" si="1"/>
        <v>I</v>
      </c>
      <c r="E8" s="9" t="str">
        <f t="shared" si="1"/>
        <v>J</v>
      </c>
      <c r="F8" s="9" t="str">
        <f t="shared" si="1"/>
        <v>K</v>
      </c>
      <c r="G8" s="9" t="str">
        <f t="shared" si="1"/>
        <v>L</v>
      </c>
      <c r="H8" s="9" t="str">
        <f t="shared" si="1"/>
        <v>M</v>
      </c>
      <c r="I8" s="9" t="str">
        <f t="shared" si="1"/>
        <v>N</v>
      </c>
      <c r="J8" s="9" t="str">
        <f t="shared" si="1"/>
        <v>O</v>
      </c>
      <c r="K8" s="9" t="str">
        <f t="shared" si="1"/>
        <v>P</v>
      </c>
      <c r="L8" s="9" t="str">
        <f t="shared" si="1"/>
        <v>Q</v>
      </c>
      <c r="M8" s="9" t="str">
        <f t="shared" si="1"/>
        <v>R</v>
      </c>
      <c r="N8" s="9" t="str">
        <f t="shared" si="1"/>
        <v>S</v>
      </c>
      <c r="O8" s="9" t="str">
        <f t="shared" si="1"/>
        <v>T</v>
      </c>
      <c r="P8" s="9" t="str">
        <f t="shared" si="1"/>
        <v>U</v>
      </c>
      <c r="Q8" s="9" t="str">
        <f t="shared" si="1"/>
        <v>V</v>
      </c>
      <c r="R8" s="9" t="str">
        <f t="shared" si="1"/>
        <v>W</v>
      </c>
      <c r="S8" s="9" t="str">
        <f t="shared" si="2"/>
        <v>X</v>
      </c>
      <c r="T8" s="9" t="str">
        <f t="shared" si="2"/>
        <v>Y</v>
      </c>
      <c r="U8" s="9" t="str">
        <f t="shared" si="2"/>
        <v>Z</v>
      </c>
      <c r="V8" s="9" t="str">
        <f t="shared" si="2"/>
        <v>A</v>
      </c>
      <c r="W8" s="9" t="str">
        <f t="shared" si="2"/>
        <v>B</v>
      </c>
      <c r="X8" s="9" t="str">
        <f t="shared" si="2"/>
        <v>C</v>
      </c>
      <c r="Y8" s="9" t="str">
        <f t="shared" si="2"/>
        <v>D</v>
      </c>
      <c r="Z8" s="9" t="str">
        <f t="shared" si="2"/>
        <v>E</v>
      </c>
      <c r="AA8" s="9" t="str">
        <f t="shared" si="4"/>
        <v>F</v>
      </c>
      <c r="AB8" s="10">
        <v>6</v>
      </c>
    </row>
    <row r="9" spans="1:28" x14ac:dyDescent="0.25">
      <c r="A9" s="8" t="s">
        <v>18</v>
      </c>
      <c r="B9" s="9" t="str">
        <f t="shared" si="3"/>
        <v>H</v>
      </c>
      <c r="C9" s="9" t="str">
        <f t="shared" si="1"/>
        <v>I</v>
      </c>
      <c r="D9" s="9" t="str">
        <f t="shared" si="1"/>
        <v>J</v>
      </c>
      <c r="E9" s="9" t="str">
        <f t="shared" si="1"/>
        <v>K</v>
      </c>
      <c r="F9" s="9" t="str">
        <f t="shared" si="1"/>
        <v>L</v>
      </c>
      <c r="G9" s="9" t="str">
        <f t="shared" si="1"/>
        <v>M</v>
      </c>
      <c r="H9" s="9" t="str">
        <f t="shared" si="1"/>
        <v>N</v>
      </c>
      <c r="I9" s="9" t="str">
        <f t="shared" si="1"/>
        <v>O</v>
      </c>
      <c r="J9" s="9" t="str">
        <f t="shared" si="1"/>
        <v>P</v>
      </c>
      <c r="K9" s="9" t="str">
        <f t="shared" si="1"/>
        <v>Q</v>
      </c>
      <c r="L9" s="9" t="str">
        <f t="shared" si="1"/>
        <v>R</v>
      </c>
      <c r="M9" s="9" t="str">
        <f t="shared" si="1"/>
        <v>S</v>
      </c>
      <c r="N9" s="9" t="str">
        <f t="shared" si="1"/>
        <v>T</v>
      </c>
      <c r="O9" s="9" t="str">
        <f t="shared" si="1"/>
        <v>U</v>
      </c>
      <c r="P9" s="9" t="str">
        <f t="shared" si="1"/>
        <v>V</v>
      </c>
      <c r="Q9" s="9" t="str">
        <f t="shared" si="1"/>
        <v>W</v>
      </c>
      <c r="R9" s="9" t="str">
        <f t="shared" si="1"/>
        <v>X</v>
      </c>
      <c r="S9" s="9" t="str">
        <f t="shared" si="2"/>
        <v>Y</v>
      </c>
      <c r="T9" s="9" t="str">
        <f t="shared" si="2"/>
        <v>Z</v>
      </c>
      <c r="U9" s="9" t="str">
        <f t="shared" si="2"/>
        <v>A</v>
      </c>
      <c r="V9" s="9" t="str">
        <f t="shared" si="2"/>
        <v>B</v>
      </c>
      <c r="W9" s="9" t="str">
        <f t="shared" si="2"/>
        <v>C</v>
      </c>
      <c r="X9" s="9" t="str">
        <f t="shared" si="2"/>
        <v>D</v>
      </c>
      <c r="Y9" s="9" t="str">
        <f t="shared" si="2"/>
        <v>E</v>
      </c>
      <c r="Z9" s="9" t="str">
        <f t="shared" si="2"/>
        <v>F</v>
      </c>
      <c r="AA9" s="9" t="str">
        <f t="shared" si="4"/>
        <v>G</v>
      </c>
      <c r="AB9" s="10">
        <v>7</v>
      </c>
    </row>
    <row r="10" spans="1:28" x14ac:dyDescent="0.25">
      <c r="A10" s="8" t="s">
        <v>19</v>
      </c>
      <c r="B10" s="9" t="str">
        <f t="shared" si="3"/>
        <v>I</v>
      </c>
      <c r="C10" s="9" t="str">
        <f t="shared" si="1"/>
        <v>J</v>
      </c>
      <c r="D10" s="9" t="str">
        <f t="shared" si="1"/>
        <v>K</v>
      </c>
      <c r="E10" s="9" t="str">
        <f t="shared" si="1"/>
        <v>L</v>
      </c>
      <c r="F10" s="9" t="str">
        <f t="shared" si="1"/>
        <v>M</v>
      </c>
      <c r="G10" s="9" t="str">
        <f t="shared" si="1"/>
        <v>N</v>
      </c>
      <c r="H10" s="9" t="str">
        <f t="shared" si="1"/>
        <v>O</v>
      </c>
      <c r="I10" s="9" t="str">
        <f t="shared" si="1"/>
        <v>P</v>
      </c>
      <c r="J10" s="9" t="str">
        <f t="shared" si="1"/>
        <v>Q</v>
      </c>
      <c r="K10" s="9" t="str">
        <f t="shared" si="1"/>
        <v>R</v>
      </c>
      <c r="L10" s="9" t="str">
        <f t="shared" si="1"/>
        <v>S</v>
      </c>
      <c r="M10" s="9" t="str">
        <f t="shared" si="1"/>
        <v>T</v>
      </c>
      <c r="N10" s="9" t="str">
        <f t="shared" si="1"/>
        <v>U</v>
      </c>
      <c r="O10" s="9" t="str">
        <f t="shared" si="1"/>
        <v>V</v>
      </c>
      <c r="P10" s="9" t="str">
        <f t="shared" si="1"/>
        <v>W</v>
      </c>
      <c r="Q10" s="9" t="str">
        <f t="shared" si="1"/>
        <v>X</v>
      </c>
      <c r="R10" s="9" t="str">
        <f t="shared" si="1"/>
        <v>Y</v>
      </c>
      <c r="S10" s="9" t="str">
        <f t="shared" si="2"/>
        <v>Z</v>
      </c>
      <c r="T10" s="9" t="str">
        <f t="shared" si="2"/>
        <v>A</v>
      </c>
      <c r="U10" s="9" t="str">
        <f t="shared" si="2"/>
        <v>B</v>
      </c>
      <c r="V10" s="9" t="str">
        <f t="shared" si="2"/>
        <v>C</v>
      </c>
      <c r="W10" s="9" t="str">
        <f t="shared" si="2"/>
        <v>D</v>
      </c>
      <c r="X10" s="9" t="str">
        <f t="shared" si="2"/>
        <v>E</v>
      </c>
      <c r="Y10" s="9" t="str">
        <f t="shared" si="2"/>
        <v>F</v>
      </c>
      <c r="Z10" s="9" t="str">
        <f t="shared" si="2"/>
        <v>G</v>
      </c>
      <c r="AA10" s="9" t="str">
        <f t="shared" si="4"/>
        <v>H</v>
      </c>
      <c r="AB10" s="10">
        <v>8</v>
      </c>
    </row>
    <row r="11" spans="1:28" x14ac:dyDescent="0.25">
      <c r="A11" s="8" t="s">
        <v>20</v>
      </c>
      <c r="B11" s="9" t="str">
        <f t="shared" si="3"/>
        <v>J</v>
      </c>
      <c r="C11" s="9" t="str">
        <f t="shared" si="1"/>
        <v>K</v>
      </c>
      <c r="D11" s="9" t="str">
        <f t="shared" si="1"/>
        <v>L</v>
      </c>
      <c r="E11" s="9" t="str">
        <f t="shared" si="1"/>
        <v>M</v>
      </c>
      <c r="F11" s="9" t="str">
        <f t="shared" si="1"/>
        <v>N</v>
      </c>
      <c r="G11" s="9" t="str">
        <f t="shared" si="1"/>
        <v>O</v>
      </c>
      <c r="H11" s="9" t="str">
        <f t="shared" si="1"/>
        <v>P</v>
      </c>
      <c r="I11" s="9" t="str">
        <f t="shared" si="1"/>
        <v>Q</v>
      </c>
      <c r="J11" s="9" t="str">
        <f t="shared" si="1"/>
        <v>R</v>
      </c>
      <c r="K11" s="9" t="str">
        <f t="shared" si="1"/>
        <v>S</v>
      </c>
      <c r="L11" s="9" t="str">
        <f t="shared" si="1"/>
        <v>T</v>
      </c>
      <c r="M11" s="9" t="str">
        <f t="shared" si="1"/>
        <v>U</v>
      </c>
      <c r="N11" s="9" t="str">
        <f t="shared" si="1"/>
        <v>V</v>
      </c>
      <c r="O11" s="9" t="str">
        <f t="shared" si="1"/>
        <v>W</v>
      </c>
      <c r="P11" s="9" t="str">
        <f t="shared" si="1"/>
        <v>X</v>
      </c>
      <c r="Q11" s="9" t="str">
        <f t="shared" si="1"/>
        <v>Y</v>
      </c>
      <c r="R11" s="9" t="str">
        <f t="shared" si="1"/>
        <v>Z</v>
      </c>
      <c r="S11" s="9" t="str">
        <f t="shared" si="2"/>
        <v>A</v>
      </c>
      <c r="T11" s="9" t="str">
        <f t="shared" si="2"/>
        <v>B</v>
      </c>
      <c r="U11" s="9" t="str">
        <f t="shared" si="2"/>
        <v>C</v>
      </c>
      <c r="V11" s="9" t="str">
        <f t="shared" si="2"/>
        <v>D</v>
      </c>
      <c r="W11" s="9" t="str">
        <f t="shared" si="2"/>
        <v>E</v>
      </c>
      <c r="X11" s="9" t="str">
        <f t="shared" si="2"/>
        <v>F</v>
      </c>
      <c r="Y11" s="9" t="str">
        <f t="shared" si="2"/>
        <v>G</v>
      </c>
      <c r="Z11" s="9" t="str">
        <f t="shared" si="2"/>
        <v>H</v>
      </c>
      <c r="AA11" s="9" t="str">
        <f t="shared" si="4"/>
        <v>I</v>
      </c>
      <c r="AB11" s="10">
        <v>9</v>
      </c>
    </row>
    <row r="12" spans="1:28" x14ac:dyDescent="0.25">
      <c r="A12" s="8" t="s">
        <v>21</v>
      </c>
      <c r="B12" s="9" t="str">
        <f t="shared" si="3"/>
        <v>K</v>
      </c>
      <c r="C12" s="9" t="str">
        <f t="shared" si="1"/>
        <v>L</v>
      </c>
      <c r="D12" s="9" t="str">
        <f t="shared" si="1"/>
        <v>M</v>
      </c>
      <c r="E12" s="9" t="str">
        <f t="shared" si="1"/>
        <v>N</v>
      </c>
      <c r="F12" s="9" t="str">
        <f t="shared" si="1"/>
        <v>O</v>
      </c>
      <c r="G12" s="9" t="str">
        <f t="shared" si="1"/>
        <v>P</v>
      </c>
      <c r="H12" s="9" t="str">
        <f t="shared" si="1"/>
        <v>Q</v>
      </c>
      <c r="I12" s="9" t="str">
        <f t="shared" si="1"/>
        <v>R</v>
      </c>
      <c r="J12" s="9" t="str">
        <f t="shared" si="1"/>
        <v>S</v>
      </c>
      <c r="K12" s="9" t="str">
        <f t="shared" si="1"/>
        <v>T</v>
      </c>
      <c r="L12" s="9" t="str">
        <f t="shared" si="1"/>
        <v>U</v>
      </c>
      <c r="M12" s="9" t="str">
        <f t="shared" si="1"/>
        <v>V</v>
      </c>
      <c r="N12" s="9" t="str">
        <f t="shared" si="1"/>
        <v>W</v>
      </c>
      <c r="O12" s="9" t="str">
        <f t="shared" si="1"/>
        <v>X</v>
      </c>
      <c r="P12" s="9" t="str">
        <f t="shared" si="1"/>
        <v>Y</v>
      </c>
      <c r="Q12" s="9" t="str">
        <f t="shared" si="1"/>
        <v>Z</v>
      </c>
      <c r="R12" s="9" t="str">
        <f t="shared" si="1"/>
        <v>A</v>
      </c>
      <c r="S12" s="9" t="str">
        <f t="shared" si="2"/>
        <v>B</v>
      </c>
      <c r="T12" s="9" t="str">
        <f t="shared" si="2"/>
        <v>C</v>
      </c>
      <c r="U12" s="9" t="str">
        <f t="shared" si="2"/>
        <v>D</v>
      </c>
      <c r="V12" s="9" t="str">
        <f t="shared" si="2"/>
        <v>E</v>
      </c>
      <c r="W12" s="9" t="str">
        <f t="shared" si="2"/>
        <v>F</v>
      </c>
      <c r="X12" s="9" t="str">
        <f t="shared" si="2"/>
        <v>G</v>
      </c>
      <c r="Y12" s="9" t="str">
        <f t="shared" si="2"/>
        <v>H</v>
      </c>
      <c r="Z12" s="9" t="str">
        <f t="shared" si="2"/>
        <v>I</v>
      </c>
      <c r="AA12" s="9" t="str">
        <f t="shared" si="4"/>
        <v>J</v>
      </c>
      <c r="AB12" s="10">
        <v>10</v>
      </c>
    </row>
    <row r="13" spans="1:28" x14ac:dyDescent="0.25">
      <c r="A13" s="8" t="s">
        <v>22</v>
      </c>
      <c r="B13" s="9" t="str">
        <f t="shared" si="3"/>
        <v>L</v>
      </c>
      <c r="C13" s="9" t="str">
        <f t="shared" si="1"/>
        <v>M</v>
      </c>
      <c r="D13" s="9" t="str">
        <f t="shared" si="1"/>
        <v>N</v>
      </c>
      <c r="E13" s="9" t="str">
        <f t="shared" si="1"/>
        <v>O</v>
      </c>
      <c r="F13" s="9" t="str">
        <f t="shared" si="1"/>
        <v>P</v>
      </c>
      <c r="G13" s="9" t="str">
        <f t="shared" si="1"/>
        <v>Q</v>
      </c>
      <c r="H13" s="9" t="str">
        <f t="shared" si="1"/>
        <v>R</v>
      </c>
      <c r="I13" s="9" t="str">
        <f t="shared" si="1"/>
        <v>S</v>
      </c>
      <c r="J13" s="9" t="str">
        <f t="shared" si="1"/>
        <v>T</v>
      </c>
      <c r="K13" s="9" t="str">
        <f t="shared" si="1"/>
        <v>U</v>
      </c>
      <c r="L13" s="9" t="str">
        <f t="shared" si="1"/>
        <v>V</v>
      </c>
      <c r="M13" s="9" t="str">
        <f t="shared" si="1"/>
        <v>W</v>
      </c>
      <c r="N13" s="9" t="str">
        <f t="shared" si="1"/>
        <v>X</v>
      </c>
      <c r="O13" s="9" t="str">
        <f t="shared" si="1"/>
        <v>Y</v>
      </c>
      <c r="P13" s="9" t="str">
        <f t="shared" si="1"/>
        <v>Z</v>
      </c>
      <c r="Q13" s="9" t="str">
        <f t="shared" si="1"/>
        <v>A</v>
      </c>
      <c r="R13" s="9" t="str">
        <f t="shared" si="1"/>
        <v>B</v>
      </c>
      <c r="S13" s="9" t="str">
        <f t="shared" si="2"/>
        <v>C</v>
      </c>
      <c r="T13" s="9" t="str">
        <f t="shared" si="2"/>
        <v>D</v>
      </c>
      <c r="U13" s="9" t="str">
        <f t="shared" si="2"/>
        <v>E</v>
      </c>
      <c r="V13" s="9" t="str">
        <f t="shared" si="2"/>
        <v>F</v>
      </c>
      <c r="W13" s="9" t="str">
        <f t="shared" si="2"/>
        <v>G</v>
      </c>
      <c r="X13" s="9" t="str">
        <f t="shared" si="2"/>
        <v>H</v>
      </c>
      <c r="Y13" s="9" t="str">
        <f t="shared" si="2"/>
        <v>I</v>
      </c>
      <c r="Z13" s="9" t="str">
        <f t="shared" si="2"/>
        <v>J</v>
      </c>
      <c r="AA13" s="9" t="str">
        <f t="shared" si="4"/>
        <v>K</v>
      </c>
      <c r="AB13" s="10">
        <v>11</v>
      </c>
    </row>
    <row r="14" spans="1:28" x14ac:dyDescent="0.25">
      <c r="A14" s="8" t="s">
        <v>23</v>
      </c>
      <c r="B14" s="9" t="str">
        <f t="shared" si="3"/>
        <v>M</v>
      </c>
      <c r="C14" s="9" t="str">
        <f t="shared" si="3"/>
        <v>N</v>
      </c>
      <c r="D14" s="9" t="str">
        <f t="shared" si="3"/>
        <v>O</v>
      </c>
      <c r="E14" s="9" t="str">
        <f t="shared" si="3"/>
        <v>P</v>
      </c>
      <c r="F14" s="9" t="str">
        <f t="shared" si="3"/>
        <v>Q</v>
      </c>
      <c r="G14" s="9" t="str">
        <f t="shared" si="3"/>
        <v>R</v>
      </c>
      <c r="H14" s="9" t="str">
        <f t="shared" si="3"/>
        <v>S</v>
      </c>
      <c r="I14" s="9" t="str">
        <f t="shared" si="3"/>
        <v>T</v>
      </c>
      <c r="J14" s="9" t="str">
        <f t="shared" si="3"/>
        <v>U</v>
      </c>
      <c r="K14" s="9" t="str">
        <f t="shared" si="3"/>
        <v>V</v>
      </c>
      <c r="L14" s="9" t="str">
        <f t="shared" si="3"/>
        <v>W</v>
      </c>
      <c r="M14" s="9" t="str">
        <f t="shared" si="3"/>
        <v>X</v>
      </c>
      <c r="N14" s="9" t="str">
        <f t="shared" si="3"/>
        <v>Y</v>
      </c>
      <c r="O14" s="9" t="str">
        <f t="shared" si="3"/>
        <v>Z</v>
      </c>
      <c r="P14" s="9" t="str">
        <f t="shared" si="3"/>
        <v>A</v>
      </c>
      <c r="Q14" s="9" t="str">
        <f t="shared" si="3"/>
        <v>B</v>
      </c>
      <c r="R14" s="9" t="str">
        <f t="shared" si="2"/>
        <v>C</v>
      </c>
      <c r="S14" s="9" t="str">
        <f t="shared" si="2"/>
        <v>D</v>
      </c>
      <c r="T14" s="9" t="str">
        <f t="shared" si="2"/>
        <v>E</v>
      </c>
      <c r="U14" s="9" t="str">
        <f t="shared" si="2"/>
        <v>F</v>
      </c>
      <c r="V14" s="9" t="str">
        <f t="shared" si="2"/>
        <v>G</v>
      </c>
      <c r="W14" s="9" t="str">
        <f t="shared" si="2"/>
        <v>H</v>
      </c>
      <c r="X14" s="9" t="str">
        <f t="shared" si="2"/>
        <v>I</v>
      </c>
      <c r="Y14" s="9" t="str">
        <f t="shared" si="2"/>
        <v>J</v>
      </c>
      <c r="Z14" s="9" t="str">
        <f t="shared" si="2"/>
        <v>K</v>
      </c>
      <c r="AA14" s="9" t="str">
        <f t="shared" si="4"/>
        <v>L</v>
      </c>
      <c r="AB14" s="10">
        <v>12</v>
      </c>
    </row>
    <row r="15" spans="1:28" x14ac:dyDescent="0.25">
      <c r="A15" s="8" t="s">
        <v>24</v>
      </c>
      <c r="B15" s="9" t="str">
        <f t="shared" si="3"/>
        <v>N</v>
      </c>
      <c r="C15" s="9" t="str">
        <f t="shared" si="3"/>
        <v>O</v>
      </c>
      <c r="D15" s="9" t="str">
        <f t="shared" si="3"/>
        <v>P</v>
      </c>
      <c r="E15" s="9" t="str">
        <f t="shared" si="3"/>
        <v>Q</v>
      </c>
      <c r="F15" s="9" t="str">
        <f t="shared" si="3"/>
        <v>R</v>
      </c>
      <c r="G15" s="9" t="str">
        <f t="shared" si="3"/>
        <v>S</v>
      </c>
      <c r="H15" s="9" t="str">
        <f t="shared" si="3"/>
        <v>T</v>
      </c>
      <c r="I15" s="9" t="str">
        <f t="shared" si="3"/>
        <v>U</v>
      </c>
      <c r="J15" s="9" t="str">
        <f t="shared" si="3"/>
        <v>V</v>
      </c>
      <c r="K15" s="9" t="str">
        <f t="shared" si="3"/>
        <v>W</v>
      </c>
      <c r="L15" s="9" t="str">
        <f t="shared" si="3"/>
        <v>X</v>
      </c>
      <c r="M15" s="9" t="str">
        <f t="shared" si="3"/>
        <v>Y</v>
      </c>
      <c r="N15" s="9" t="str">
        <f t="shared" si="3"/>
        <v>Z</v>
      </c>
      <c r="O15" s="9" t="str">
        <f t="shared" si="3"/>
        <v>A</v>
      </c>
      <c r="P15" s="9" t="str">
        <f t="shared" si="3"/>
        <v>B</v>
      </c>
      <c r="Q15" s="9" t="str">
        <f t="shared" si="3"/>
        <v>C</v>
      </c>
      <c r="R15" s="9" t="str">
        <f t="shared" si="2"/>
        <v>D</v>
      </c>
      <c r="S15" s="9" t="str">
        <f t="shared" si="2"/>
        <v>E</v>
      </c>
      <c r="T15" s="9" t="str">
        <f t="shared" si="2"/>
        <v>F</v>
      </c>
      <c r="U15" s="9" t="str">
        <f t="shared" si="2"/>
        <v>G</v>
      </c>
      <c r="V15" s="9" t="str">
        <f t="shared" si="2"/>
        <v>H</v>
      </c>
      <c r="W15" s="9" t="str">
        <f t="shared" si="2"/>
        <v>I</v>
      </c>
      <c r="X15" s="9" t="str">
        <f t="shared" si="2"/>
        <v>J</v>
      </c>
      <c r="Y15" s="9" t="str">
        <f t="shared" si="2"/>
        <v>K</v>
      </c>
      <c r="Z15" s="9" t="str">
        <f t="shared" si="2"/>
        <v>L</v>
      </c>
      <c r="AA15" s="9" t="str">
        <f t="shared" si="4"/>
        <v>M</v>
      </c>
      <c r="AB15" s="10">
        <v>13</v>
      </c>
    </row>
    <row r="16" spans="1:28" x14ac:dyDescent="0.25">
      <c r="A16" s="8" t="s">
        <v>25</v>
      </c>
      <c r="B16" s="9" t="str">
        <f t="shared" si="3"/>
        <v>O</v>
      </c>
      <c r="C16" s="9" t="str">
        <f t="shared" si="3"/>
        <v>P</v>
      </c>
      <c r="D16" s="9" t="str">
        <f t="shared" si="3"/>
        <v>Q</v>
      </c>
      <c r="E16" s="9" t="str">
        <f t="shared" si="3"/>
        <v>R</v>
      </c>
      <c r="F16" s="9" t="str">
        <f t="shared" si="3"/>
        <v>S</v>
      </c>
      <c r="G16" s="9" t="str">
        <f t="shared" si="3"/>
        <v>T</v>
      </c>
      <c r="H16" s="9" t="str">
        <f t="shared" si="3"/>
        <v>U</v>
      </c>
      <c r="I16" s="9" t="str">
        <f t="shared" si="3"/>
        <v>V</v>
      </c>
      <c r="J16" s="9" t="str">
        <f t="shared" si="3"/>
        <v>W</v>
      </c>
      <c r="K16" s="9" t="str">
        <f t="shared" si="3"/>
        <v>X</v>
      </c>
      <c r="L16" s="9" t="str">
        <f t="shared" si="3"/>
        <v>Y</v>
      </c>
      <c r="M16" s="9" t="str">
        <f t="shared" si="3"/>
        <v>Z</v>
      </c>
      <c r="N16" s="9" t="str">
        <f t="shared" si="3"/>
        <v>A</v>
      </c>
      <c r="O16" s="9" t="str">
        <f t="shared" si="3"/>
        <v>B</v>
      </c>
      <c r="P16" s="9" t="str">
        <f t="shared" si="3"/>
        <v>C</v>
      </c>
      <c r="Q16" s="9" t="str">
        <f t="shared" si="3"/>
        <v>D</v>
      </c>
      <c r="R16" s="9" t="str">
        <f t="shared" si="2"/>
        <v>E</v>
      </c>
      <c r="S16" s="9" t="str">
        <f t="shared" si="2"/>
        <v>F</v>
      </c>
      <c r="T16" s="9" t="str">
        <f t="shared" si="2"/>
        <v>G</v>
      </c>
      <c r="U16" s="9" t="str">
        <f t="shared" si="2"/>
        <v>H</v>
      </c>
      <c r="V16" s="9" t="str">
        <f t="shared" si="2"/>
        <v>I</v>
      </c>
      <c r="W16" s="9" t="str">
        <f t="shared" si="2"/>
        <v>J</v>
      </c>
      <c r="X16" s="9" t="str">
        <f t="shared" si="2"/>
        <v>K</v>
      </c>
      <c r="Y16" s="9" t="str">
        <f t="shared" si="2"/>
        <v>L</v>
      </c>
      <c r="Z16" s="9" t="str">
        <f t="shared" si="2"/>
        <v>M</v>
      </c>
      <c r="AA16" s="9" t="str">
        <f t="shared" si="4"/>
        <v>N</v>
      </c>
      <c r="AB16" s="10">
        <v>14</v>
      </c>
    </row>
    <row r="17" spans="1:28" x14ac:dyDescent="0.25">
      <c r="A17" s="8" t="s">
        <v>26</v>
      </c>
      <c r="B17" s="9" t="str">
        <f t="shared" si="3"/>
        <v>P</v>
      </c>
      <c r="C17" s="9" t="str">
        <f t="shared" si="3"/>
        <v>Q</v>
      </c>
      <c r="D17" s="9" t="str">
        <f t="shared" si="3"/>
        <v>R</v>
      </c>
      <c r="E17" s="9" t="str">
        <f t="shared" si="3"/>
        <v>S</v>
      </c>
      <c r="F17" s="9" t="str">
        <f t="shared" si="3"/>
        <v>T</v>
      </c>
      <c r="G17" s="9" t="str">
        <f t="shared" si="3"/>
        <v>U</v>
      </c>
      <c r="H17" s="9" t="str">
        <f t="shared" si="3"/>
        <v>V</v>
      </c>
      <c r="I17" s="9" t="str">
        <f t="shared" si="3"/>
        <v>W</v>
      </c>
      <c r="J17" s="9" t="str">
        <f t="shared" si="3"/>
        <v>X</v>
      </c>
      <c r="K17" s="9" t="str">
        <f t="shared" si="3"/>
        <v>Y</v>
      </c>
      <c r="L17" s="9" t="str">
        <f t="shared" si="3"/>
        <v>Z</v>
      </c>
      <c r="M17" s="9" t="str">
        <f t="shared" si="3"/>
        <v>A</v>
      </c>
      <c r="N17" s="9" t="str">
        <f t="shared" si="3"/>
        <v>B</v>
      </c>
      <c r="O17" s="9" t="str">
        <f t="shared" si="3"/>
        <v>C</v>
      </c>
      <c r="P17" s="9" t="str">
        <f t="shared" si="3"/>
        <v>D</v>
      </c>
      <c r="Q17" s="9" t="str">
        <f t="shared" si="3"/>
        <v>E</v>
      </c>
      <c r="R17" s="9" t="str">
        <f t="shared" si="2"/>
        <v>F</v>
      </c>
      <c r="S17" s="9" t="str">
        <f t="shared" si="2"/>
        <v>G</v>
      </c>
      <c r="T17" s="9" t="str">
        <f t="shared" si="2"/>
        <v>H</v>
      </c>
      <c r="U17" s="9" t="str">
        <f t="shared" si="2"/>
        <v>I</v>
      </c>
      <c r="V17" s="9" t="str">
        <f t="shared" si="2"/>
        <v>J</v>
      </c>
      <c r="W17" s="9" t="str">
        <f t="shared" si="2"/>
        <v>K</v>
      </c>
      <c r="X17" s="9" t="str">
        <f t="shared" si="2"/>
        <v>L</v>
      </c>
      <c r="Y17" s="9" t="str">
        <f t="shared" si="2"/>
        <v>M</v>
      </c>
      <c r="Z17" s="9" t="str">
        <f t="shared" si="2"/>
        <v>N</v>
      </c>
      <c r="AA17" s="9" t="str">
        <f t="shared" si="4"/>
        <v>O</v>
      </c>
      <c r="AB17" s="10">
        <v>15</v>
      </c>
    </row>
    <row r="18" spans="1:28" x14ac:dyDescent="0.25">
      <c r="A18" s="8" t="s">
        <v>27</v>
      </c>
      <c r="B18" s="9" t="str">
        <f t="shared" si="3"/>
        <v>Q</v>
      </c>
      <c r="C18" s="9" t="str">
        <f t="shared" si="3"/>
        <v>R</v>
      </c>
      <c r="D18" s="9" t="str">
        <f t="shared" si="3"/>
        <v>S</v>
      </c>
      <c r="E18" s="9" t="str">
        <f t="shared" si="3"/>
        <v>T</v>
      </c>
      <c r="F18" s="9" t="str">
        <f t="shared" si="3"/>
        <v>U</v>
      </c>
      <c r="G18" s="9" t="str">
        <f t="shared" si="3"/>
        <v>V</v>
      </c>
      <c r="H18" s="9" t="str">
        <f t="shared" si="3"/>
        <v>W</v>
      </c>
      <c r="I18" s="9" t="str">
        <f t="shared" si="3"/>
        <v>X</v>
      </c>
      <c r="J18" s="9" t="str">
        <f t="shared" si="3"/>
        <v>Y</v>
      </c>
      <c r="K18" s="9" t="str">
        <f t="shared" si="3"/>
        <v>Z</v>
      </c>
      <c r="L18" s="9" t="str">
        <f t="shared" si="3"/>
        <v>A</v>
      </c>
      <c r="M18" s="9" t="str">
        <f t="shared" si="3"/>
        <v>B</v>
      </c>
      <c r="N18" s="9" t="str">
        <f t="shared" si="3"/>
        <v>C</v>
      </c>
      <c r="O18" s="9" t="str">
        <f t="shared" si="3"/>
        <v>D</v>
      </c>
      <c r="P18" s="9" t="str">
        <f t="shared" si="3"/>
        <v>E</v>
      </c>
      <c r="Q18" s="9" t="str">
        <f t="shared" si="3"/>
        <v>F</v>
      </c>
      <c r="R18" s="9" t="str">
        <f t="shared" si="2"/>
        <v>G</v>
      </c>
      <c r="S18" s="9" t="str">
        <f t="shared" si="2"/>
        <v>H</v>
      </c>
      <c r="T18" s="9" t="str">
        <f t="shared" si="2"/>
        <v>I</v>
      </c>
      <c r="U18" s="9" t="str">
        <f t="shared" si="2"/>
        <v>J</v>
      </c>
      <c r="V18" s="9" t="str">
        <f t="shared" si="2"/>
        <v>K</v>
      </c>
      <c r="W18" s="9" t="str">
        <f t="shared" si="2"/>
        <v>L</v>
      </c>
      <c r="X18" s="9" t="str">
        <f t="shared" si="2"/>
        <v>M</v>
      </c>
      <c r="Y18" s="9" t="str">
        <f t="shared" si="2"/>
        <v>N</v>
      </c>
      <c r="Z18" s="9" t="str">
        <f t="shared" si="2"/>
        <v>O</v>
      </c>
      <c r="AA18" s="9" t="str">
        <f t="shared" si="4"/>
        <v>P</v>
      </c>
      <c r="AB18" s="10">
        <v>16</v>
      </c>
    </row>
    <row r="19" spans="1:28" x14ac:dyDescent="0.25">
      <c r="A19" s="8" t="s">
        <v>28</v>
      </c>
      <c r="B19" s="9" t="str">
        <f t="shared" si="3"/>
        <v>R</v>
      </c>
      <c r="C19" s="9" t="str">
        <f t="shared" si="3"/>
        <v>S</v>
      </c>
      <c r="D19" s="9" t="str">
        <f t="shared" si="3"/>
        <v>T</v>
      </c>
      <c r="E19" s="9" t="str">
        <f t="shared" si="3"/>
        <v>U</v>
      </c>
      <c r="F19" s="9" t="str">
        <f t="shared" si="3"/>
        <v>V</v>
      </c>
      <c r="G19" s="9" t="str">
        <f t="shared" si="3"/>
        <v>W</v>
      </c>
      <c r="H19" s="9" t="str">
        <f t="shared" si="3"/>
        <v>X</v>
      </c>
      <c r="I19" s="9" t="str">
        <f t="shared" si="3"/>
        <v>Y</v>
      </c>
      <c r="J19" s="9" t="str">
        <f t="shared" si="3"/>
        <v>Z</v>
      </c>
      <c r="K19" s="9" t="str">
        <f t="shared" si="3"/>
        <v>A</v>
      </c>
      <c r="L19" s="9" t="str">
        <f t="shared" si="3"/>
        <v>B</v>
      </c>
      <c r="M19" s="9" t="str">
        <f t="shared" si="3"/>
        <v>C</v>
      </c>
      <c r="N19" s="9" t="str">
        <f t="shared" si="3"/>
        <v>D</v>
      </c>
      <c r="O19" s="9" t="str">
        <f t="shared" si="3"/>
        <v>E</v>
      </c>
      <c r="P19" s="9" t="str">
        <f t="shared" si="3"/>
        <v>F</v>
      </c>
      <c r="Q19" s="9" t="str">
        <f t="shared" si="3"/>
        <v>G</v>
      </c>
      <c r="R19" s="9" t="str">
        <f t="shared" ref="R19:Z27" si="5">S18</f>
        <v>H</v>
      </c>
      <c r="S19" s="9" t="str">
        <f t="shared" si="5"/>
        <v>I</v>
      </c>
      <c r="T19" s="9" t="str">
        <f t="shared" si="5"/>
        <v>J</v>
      </c>
      <c r="U19" s="9" t="str">
        <f t="shared" si="5"/>
        <v>K</v>
      </c>
      <c r="V19" s="9" t="str">
        <f t="shared" si="5"/>
        <v>L</v>
      </c>
      <c r="W19" s="9" t="str">
        <f t="shared" si="5"/>
        <v>M</v>
      </c>
      <c r="X19" s="9" t="str">
        <f t="shared" si="5"/>
        <v>N</v>
      </c>
      <c r="Y19" s="9" t="str">
        <f t="shared" si="5"/>
        <v>O</v>
      </c>
      <c r="Z19" s="9" t="str">
        <f t="shared" si="5"/>
        <v>P</v>
      </c>
      <c r="AA19" s="9" t="str">
        <f t="shared" si="4"/>
        <v>Q</v>
      </c>
      <c r="AB19" s="10">
        <v>17</v>
      </c>
    </row>
    <row r="20" spans="1:28" x14ac:dyDescent="0.25">
      <c r="A20" s="8" t="s">
        <v>29</v>
      </c>
      <c r="B20" s="9" t="str">
        <f t="shared" si="3"/>
        <v>S</v>
      </c>
      <c r="C20" s="9" t="str">
        <f t="shared" si="3"/>
        <v>T</v>
      </c>
      <c r="D20" s="9" t="str">
        <f t="shared" si="3"/>
        <v>U</v>
      </c>
      <c r="E20" s="9" t="str">
        <f t="shared" si="3"/>
        <v>V</v>
      </c>
      <c r="F20" s="9" t="str">
        <f t="shared" si="3"/>
        <v>W</v>
      </c>
      <c r="G20" s="9" t="str">
        <f t="shared" si="3"/>
        <v>X</v>
      </c>
      <c r="H20" s="9" t="str">
        <f t="shared" si="3"/>
        <v>Y</v>
      </c>
      <c r="I20" s="9" t="str">
        <f t="shared" si="3"/>
        <v>Z</v>
      </c>
      <c r="J20" s="9" t="str">
        <f t="shared" si="3"/>
        <v>A</v>
      </c>
      <c r="K20" s="9" t="str">
        <f t="shared" si="3"/>
        <v>B</v>
      </c>
      <c r="L20" s="9" t="str">
        <f t="shared" si="3"/>
        <v>C</v>
      </c>
      <c r="M20" s="9" t="str">
        <f t="shared" si="3"/>
        <v>D</v>
      </c>
      <c r="N20" s="9" t="str">
        <f t="shared" si="3"/>
        <v>E</v>
      </c>
      <c r="O20" s="9" t="str">
        <f t="shared" si="3"/>
        <v>F</v>
      </c>
      <c r="P20" s="9" t="str">
        <f t="shared" si="3"/>
        <v>G</v>
      </c>
      <c r="Q20" s="9" t="str">
        <f t="shared" si="3"/>
        <v>H</v>
      </c>
      <c r="R20" s="9" t="str">
        <f t="shared" si="5"/>
        <v>I</v>
      </c>
      <c r="S20" s="9" t="str">
        <f t="shared" si="5"/>
        <v>J</v>
      </c>
      <c r="T20" s="9" t="str">
        <f t="shared" si="5"/>
        <v>K</v>
      </c>
      <c r="U20" s="9" t="str">
        <f t="shared" si="5"/>
        <v>L</v>
      </c>
      <c r="V20" s="9" t="str">
        <f t="shared" si="5"/>
        <v>M</v>
      </c>
      <c r="W20" s="9" t="str">
        <f t="shared" si="5"/>
        <v>N</v>
      </c>
      <c r="X20" s="9" t="str">
        <f t="shared" si="5"/>
        <v>O</v>
      </c>
      <c r="Y20" s="9" t="str">
        <f t="shared" si="5"/>
        <v>P</v>
      </c>
      <c r="Z20" s="9" t="str">
        <f t="shared" si="5"/>
        <v>Q</v>
      </c>
      <c r="AA20" s="9" t="str">
        <f t="shared" si="4"/>
        <v>R</v>
      </c>
      <c r="AB20" s="10">
        <v>18</v>
      </c>
    </row>
    <row r="21" spans="1:28" x14ac:dyDescent="0.25">
      <c r="A21" s="8" t="s">
        <v>30</v>
      </c>
      <c r="B21" s="9" t="str">
        <f t="shared" si="3"/>
        <v>T</v>
      </c>
      <c r="C21" s="9" t="str">
        <f t="shared" si="3"/>
        <v>U</v>
      </c>
      <c r="D21" s="9" t="str">
        <f t="shared" si="3"/>
        <v>V</v>
      </c>
      <c r="E21" s="9" t="str">
        <f t="shared" si="3"/>
        <v>W</v>
      </c>
      <c r="F21" s="9" t="str">
        <f t="shared" si="3"/>
        <v>X</v>
      </c>
      <c r="G21" s="9" t="str">
        <f t="shared" si="3"/>
        <v>Y</v>
      </c>
      <c r="H21" s="9" t="str">
        <f t="shared" si="3"/>
        <v>Z</v>
      </c>
      <c r="I21" s="9" t="str">
        <f t="shared" si="3"/>
        <v>A</v>
      </c>
      <c r="J21" s="9" t="str">
        <f t="shared" si="3"/>
        <v>B</v>
      </c>
      <c r="K21" s="9" t="str">
        <f t="shared" si="3"/>
        <v>C</v>
      </c>
      <c r="L21" s="9" t="str">
        <f t="shared" si="3"/>
        <v>D</v>
      </c>
      <c r="M21" s="9" t="str">
        <f t="shared" si="3"/>
        <v>E</v>
      </c>
      <c r="N21" s="9" t="str">
        <f t="shared" si="3"/>
        <v>F</v>
      </c>
      <c r="O21" s="9" t="str">
        <f t="shared" si="3"/>
        <v>G</v>
      </c>
      <c r="P21" s="9" t="str">
        <f t="shared" si="3"/>
        <v>H</v>
      </c>
      <c r="Q21" s="9" t="str">
        <f t="shared" si="3"/>
        <v>I</v>
      </c>
      <c r="R21" s="9" t="str">
        <f t="shared" si="5"/>
        <v>J</v>
      </c>
      <c r="S21" s="9" t="str">
        <f t="shared" si="5"/>
        <v>K</v>
      </c>
      <c r="T21" s="9" t="str">
        <f t="shared" si="5"/>
        <v>L</v>
      </c>
      <c r="U21" s="9" t="str">
        <f t="shared" si="5"/>
        <v>M</v>
      </c>
      <c r="V21" s="9" t="str">
        <f t="shared" si="5"/>
        <v>N</v>
      </c>
      <c r="W21" s="9" t="str">
        <f t="shared" si="5"/>
        <v>O</v>
      </c>
      <c r="X21" s="9" t="str">
        <f t="shared" si="5"/>
        <v>P</v>
      </c>
      <c r="Y21" s="9" t="str">
        <f t="shared" si="5"/>
        <v>Q</v>
      </c>
      <c r="Z21" s="9" t="str">
        <f t="shared" si="5"/>
        <v>R</v>
      </c>
      <c r="AA21" s="9" t="str">
        <f t="shared" si="4"/>
        <v>S</v>
      </c>
      <c r="AB21" s="10">
        <v>19</v>
      </c>
    </row>
    <row r="22" spans="1:28" x14ac:dyDescent="0.25">
      <c r="A22" s="8" t="s">
        <v>31</v>
      </c>
      <c r="B22" s="9" t="str">
        <f t="shared" si="3"/>
        <v>U</v>
      </c>
      <c r="C22" s="9" t="str">
        <f t="shared" si="3"/>
        <v>V</v>
      </c>
      <c r="D22" s="9" t="str">
        <f t="shared" si="3"/>
        <v>W</v>
      </c>
      <c r="E22" s="9" t="str">
        <f t="shared" si="3"/>
        <v>X</v>
      </c>
      <c r="F22" s="9" t="str">
        <f t="shared" si="3"/>
        <v>Y</v>
      </c>
      <c r="G22" s="9" t="str">
        <f t="shared" si="3"/>
        <v>Z</v>
      </c>
      <c r="H22" s="9" t="str">
        <f t="shared" si="3"/>
        <v>A</v>
      </c>
      <c r="I22" s="9" t="str">
        <f t="shared" si="3"/>
        <v>B</v>
      </c>
      <c r="J22" s="9" t="str">
        <f t="shared" si="3"/>
        <v>C</v>
      </c>
      <c r="K22" s="9" t="str">
        <f t="shared" si="3"/>
        <v>D</v>
      </c>
      <c r="L22" s="9" t="str">
        <f t="shared" si="3"/>
        <v>E</v>
      </c>
      <c r="M22" s="9" t="str">
        <f t="shared" si="3"/>
        <v>F</v>
      </c>
      <c r="N22" s="9" t="str">
        <f t="shared" si="3"/>
        <v>G</v>
      </c>
      <c r="O22" s="9" t="str">
        <f t="shared" si="3"/>
        <v>H</v>
      </c>
      <c r="P22" s="9" t="str">
        <f t="shared" si="3"/>
        <v>I</v>
      </c>
      <c r="Q22" s="9" t="str">
        <f t="shared" si="3"/>
        <v>J</v>
      </c>
      <c r="R22" s="9" t="str">
        <f t="shared" si="5"/>
        <v>K</v>
      </c>
      <c r="S22" s="9" t="str">
        <f t="shared" si="5"/>
        <v>L</v>
      </c>
      <c r="T22" s="9" t="str">
        <f t="shared" si="5"/>
        <v>M</v>
      </c>
      <c r="U22" s="9" t="str">
        <f t="shared" si="5"/>
        <v>N</v>
      </c>
      <c r="V22" s="9" t="str">
        <f t="shared" si="5"/>
        <v>O</v>
      </c>
      <c r="W22" s="9" t="str">
        <f t="shared" si="5"/>
        <v>P</v>
      </c>
      <c r="X22" s="9" t="str">
        <f t="shared" si="5"/>
        <v>Q</v>
      </c>
      <c r="Y22" s="9" t="str">
        <f t="shared" si="5"/>
        <v>R</v>
      </c>
      <c r="Z22" s="9" t="str">
        <f t="shared" si="5"/>
        <v>S</v>
      </c>
      <c r="AA22" s="9" t="str">
        <f t="shared" si="4"/>
        <v>T</v>
      </c>
      <c r="AB22" s="10">
        <v>20</v>
      </c>
    </row>
    <row r="23" spans="1:28" x14ac:dyDescent="0.25">
      <c r="A23" s="8" t="s">
        <v>32</v>
      </c>
      <c r="B23" s="9" t="str">
        <f t="shared" si="3"/>
        <v>V</v>
      </c>
      <c r="C23" s="9" t="str">
        <f t="shared" si="3"/>
        <v>W</v>
      </c>
      <c r="D23" s="9" t="str">
        <f t="shared" si="3"/>
        <v>X</v>
      </c>
      <c r="E23" s="9" t="str">
        <f t="shared" si="3"/>
        <v>Y</v>
      </c>
      <c r="F23" s="9" t="str">
        <f t="shared" si="3"/>
        <v>Z</v>
      </c>
      <c r="G23" s="9" t="str">
        <f t="shared" si="3"/>
        <v>A</v>
      </c>
      <c r="H23" s="9" t="str">
        <f t="shared" si="3"/>
        <v>B</v>
      </c>
      <c r="I23" s="9" t="str">
        <f t="shared" si="3"/>
        <v>C</v>
      </c>
      <c r="J23" s="9" t="str">
        <f t="shared" si="3"/>
        <v>D</v>
      </c>
      <c r="K23" s="9" t="str">
        <f t="shared" si="3"/>
        <v>E</v>
      </c>
      <c r="L23" s="9" t="str">
        <f t="shared" si="3"/>
        <v>F</v>
      </c>
      <c r="M23" s="9" t="str">
        <f t="shared" si="3"/>
        <v>G</v>
      </c>
      <c r="N23" s="9" t="str">
        <f t="shared" si="3"/>
        <v>H</v>
      </c>
      <c r="O23" s="9" t="str">
        <f t="shared" si="3"/>
        <v>I</v>
      </c>
      <c r="P23" s="9" t="str">
        <f t="shared" si="3"/>
        <v>J</v>
      </c>
      <c r="Q23" s="9" t="str">
        <f t="shared" si="3"/>
        <v>K</v>
      </c>
      <c r="R23" s="9" t="str">
        <f t="shared" si="5"/>
        <v>L</v>
      </c>
      <c r="S23" s="9" t="str">
        <f t="shared" si="5"/>
        <v>M</v>
      </c>
      <c r="T23" s="9" t="str">
        <f t="shared" si="5"/>
        <v>N</v>
      </c>
      <c r="U23" s="9" t="str">
        <f t="shared" si="5"/>
        <v>O</v>
      </c>
      <c r="V23" s="9" t="str">
        <f t="shared" si="5"/>
        <v>P</v>
      </c>
      <c r="W23" s="9" t="str">
        <f t="shared" si="5"/>
        <v>Q</v>
      </c>
      <c r="X23" s="9" t="str">
        <f t="shared" si="5"/>
        <v>R</v>
      </c>
      <c r="Y23" s="9" t="str">
        <f t="shared" si="5"/>
        <v>S</v>
      </c>
      <c r="Z23" s="9" t="str">
        <f t="shared" si="5"/>
        <v>T</v>
      </c>
      <c r="AA23" s="9" t="str">
        <f t="shared" si="4"/>
        <v>U</v>
      </c>
      <c r="AB23" s="10">
        <v>21</v>
      </c>
    </row>
    <row r="24" spans="1:28" x14ac:dyDescent="0.25">
      <c r="A24" s="8" t="s">
        <v>33</v>
      </c>
      <c r="B24" s="9" t="str">
        <f t="shared" si="3"/>
        <v>W</v>
      </c>
      <c r="C24" s="9" t="str">
        <f t="shared" si="3"/>
        <v>X</v>
      </c>
      <c r="D24" s="9" t="str">
        <f t="shared" si="3"/>
        <v>Y</v>
      </c>
      <c r="E24" s="9" t="str">
        <f t="shared" si="3"/>
        <v>Z</v>
      </c>
      <c r="F24" s="9" t="str">
        <f t="shared" si="3"/>
        <v>A</v>
      </c>
      <c r="G24" s="9" t="str">
        <f t="shared" si="3"/>
        <v>B</v>
      </c>
      <c r="H24" s="9" t="str">
        <f t="shared" si="3"/>
        <v>C</v>
      </c>
      <c r="I24" s="9" t="str">
        <f t="shared" si="3"/>
        <v>D</v>
      </c>
      <c r="J24" s="9" t="str">
        <f t="shared" si="3"/>
        <v>E</v>
      </c>
      <c r="K24" s="9" t="str">
        <f t="shared" si="3"/>
        <v>F</v>
      </c>
      <c r="L24" s="9" t="str">
        <f t="shared" si="3"/>
        <v>G</v>
      </c>
      <c r="M24" s="9" t="str">
        <f t="shared" si="3"/>
        <v>H</v>
      </c>
      <c r="N24" s="9" t="str">
        <f t="shared" si="3"/>
        <v>I</v>
      </c>
      <c r="O24" s="9" t="str">
        <f t="shared" si="3"/>
        <v>J</v>
      </c>
      <c r="P24" s="9" t="str">
        <f t="shared" si="3"/>
        <v>K</v>
      </c>
      <c r="Q24" s="9" t="str">
        <f t="shared" si="3"/>
        <v>L</v>
      </c>
      <c r="R24" s="9" t="str">
        <f t="shared" si="5"/>
        <v>M</v>
      </c>
      <c r="S24" s="9" t="str">
        <f t="shared" si="5"/>
        <v>N</v>
      </c>
      <c r="T24" s="9" t="str">
        <f t="shared" si="5"/>
        <v>O</v>
      </c>
      <c r="U24" s="9" t="str">
        <f t="shared" si="5"/>
        <v>P</v>
      </c>
      <c r="V24" s="9" t="str">
        <f t="shared" si="5"/>
        <v>Q</v>
      </c>
      <c r="W24" s="9" t="str">
        <f t="shared" si="5"/>
        <v>R</v>
      </c>
      <c r="X24" s="9" t="str">
        <f t="shared" si="5"/>
        <v>S</v>
      </c>
      <c r="Y24" s="9" t="str">
        <f t="shared" si="5"/>
        <v>T</v>
      </c>
      <c r="Z24" s="9" t="str">
        <f t="shared" si="5"/>
        <v>U</v>
      </c>
      <c r="AA24" s="9" t="str">
        <f t="shared" si="4"/>
        <v>V</v>
      </c>
      <c r="AB24" s="10">
        <v>22</v>
      </c>
    </row>
    <row r="25" spans="1:28" x14ac:dyDescent="0.25">
      <c r="A25" s="8" t="s">
        <v>34</v>
      </c>
      <c r="B25" s="9" t="str">
        <f t="shared" si="3"/>
        <v>X</v>
      </c>
      <c r="C25" s="9" t="str">
        <f t="shared" si="3"/>
        <v>Y</v>
      </c>
      <c r="D25" s="9" t="str">
        <f t="shared" si="3"/>
        <v>Z</v>
      </c>
      <c r="E25" s="9" t="str">
        <f t="shared" si="3"/>
        <v>A</v>
      </c>
      <c r="F25" s="9" t="str">
        <f t="shared" si="3"/>
        <v>B</v>
      </c>
      <c r="G25" s="9" t="str">
        <f t="shared" si="3"/>
        <v>C</v>
      </c>
      <c r="H25" s="9" t="str">
        <f t="shared" si="3"/>
        <v>D</v>
      </c>
      <c r="I25" s="9" t="str">
        <f t="shared" si="3"/>
        <v>E</v>
      </c>
      <c r="J25" s="9" t="str">
        <f t="shared" si="3"/>
        <v>F</v>
      </c>
      <c r="K25" s="9" t="str">
        <f t="shared" si="3"/>
        <v>G</v>
      </c>
      <c r="L25" s="9" t="str">
        <f t="shared" si="3"/>
        <v>H</v>
      </c>
      <c r="M25" s="9" t="str">
        <f t="shared" si="3"/>
        <v>I</v>
      </c>
      <c r="N25" s="9" t="str">
        <f t="shared" si="3"/>
        <v>J</v>
      </c>
      <c r="O25" s="9" t="str">
        <f t="shared" si="3"/>
        <v>K</v>
      </c>
      <c r="P25" s="9" t="str">
        <f t="shared" si="3"/>
        <v>L</v>
      </c>
      <c r="Q25" s="9" t="str">
        <f t="shared" si="3"/>
        <v>M</v>
      </c>
      <c r="R25" s="9" t="str">
        <f t="shared" si="5"/>
        <v>N</v>
      </c>
      <c r="S25" s="9" t="str">
        <f t="shared" si="5"/>
        <v>O</v>
      </c>
      <c r="T25" s="9" t="str">
        <f t="shared" si="5"/>
        <v>P</v>
      </c>
      <c r="U25" s="9" t="str">
        <f t="shared" si="5"/>
        <v>Q</v>
      </c>
      <c r="V25" s="9" t="str">
        <f t="shared" si="5"/>
        <v>R</v>
      </c>
      <c r="W25" s="9" t="str">
        <f t="shared" si="5"/>
        <v>S</v>
      </c>
      <c r="X25" s="9" t="str">
        <f t="shared" si="5"/>
        <v>T</v>
      </c>
      <c r="Y25" s="9" t="str">
        <f t="shared" si="5"/>
        <v>U</v>
      </c>
      <c r="Z25" s="9" t="str">
        <f t="shared" si="5"/>
        <v>V</v>
      </c>
      <c r="AA25" s="9" t="str">
        <f t="shared" si="4"/>
        <v>W</v>
      </c>
      <c r="AB25" s="10">
        <v>23</v>
      </c>
    </row>
    <row r="26" spans="1:28" x14ac:dyDescent="0.25">
      <c r="A26" s="8" t="s">
        <v>35</v>
      </c>
      <c r="B26" s="9" t="str">
        <f t="shared" si="3"/>
        <v>Y</v>
      </c>
      <c r="C26" s="9" t="str">
        <f t="shared" si="3"/>
        <v>Z</v>
      </c>
      <c r="D26" s="9" t="str">
        <f t="shared" si="3"/>
        <v>A</v>
      </c>
      <c r="E26" s="9" t="str">
        <f t="shared" si="3"/>
        <v>B</v>
      </c>
      <c r="F26" s="9" t="str">
        <f t="shared" si="3"/>
        <v>C</v>
      </c>
      <c r="G26" s="9" t="str">
        <f t="shared" si="3"/>
        <v>D</v>
      </c>
      <c r="H26" s="9" t="str">
        <f t="shared" si="3"/>
        <v>E</v>
      </c>
      <c r="I26" s="9" t="str">
        <f t="shared" si="3"/>
        <v>F</v>
      </c>
      <c r="J26" s="9" t="str">
        <f t="shared" si="3"/>
        <v>G</v>
      </c>
      <c r="K26" s="9" t="str">
        <f t="shared" si="3"/>
        <v>H</v>
      </c>
      <c r="L26" s="9" t="str">
        <f t="shared" si="3"/>
        <v>I</v>
      </c>
      <c r="M26" s="9" t="str">
        <f t="shared" si="3"/>
        <v>J</v>
      </c>
      <c r="N26" s="9" t="str">
        <f t="shared" si="3"/>
        <v>K</v>
      </c>
      <c r="O26" s="9" t="str">
        <f t="shared" si="3"/>
        <v>L</v>
      </c>
      <c r="P26" s="9" t="str">
        <f t="shared" si="3"/>
        <v>M</v>
      </c>
      <c r="Q26" s="9" t="str">
        <f t="shared" si="3"/>
        <v>N</v>
      </c>
      <c r="R26" s="9" t="str">
        <f t="shared" si="5"/>
        <v>O</v>
      </c>
      <c r="S26" s="9" t="str">
        <f t="shared" si="5"/>
        <v>P</v>
      </c>
      <c r="T26" s="9" t="str">
        <f t="shared" si="5"/>
        <v>Q</v>
      </c>
      <c r="U26" s="9" t="str">
        <f t="shared" si="5"/>
        <v>R</v>
      </c>
      <c r="V26" s="9" t="str">
        <f t="shared" si="5"/>
        <v>S</v>
      </c>
      <c r="W26" s="9" t="str">
        <f t="shared" si="5"/>
        <v>T</v>
      </c>
      <c r="X26" s="9" t="str">
        <f t="shared" si="5"/>
        <v>U</v>
      </c>
      <c r="Y26" s="9" t="str">
        <f t="shared" si="5"/>
        <v>V</v>
      </c>
      <c r="Z26" s="9" t="str">
        <f t="shared" si="5"/>
        <v>W</v>
      </c>
      <c r="AA26" s="9" t="str">
        <f t="shared" si="4"/>
        <v>X</v>
      </c>
      <c r="AB26" s="10">
        <v>24</v>
      </c>
    </row>
    <row r="27" spans="1:28" x14ac:dyDescent="0.25">
      <c r="A27" s="8" t="s">
        <v>36</v>
      </c>
      <c r="B27" s="9" t="str">
        <f t="shared" si="3"/>
        <v>Z</v>
      </c>
      <c r="C27" s="9" t="str">
        <f t="shared" si="3"/>
        <v>A</v>
      </c>
      <c r="D27" s="9" t="str">
        <f t="shared" si="3"/>
        <v>B</v>
      </c>
      <c r="E27" s="9" t="str">
        <f t="shared" si="3"/>
        <v>C</v>
      </c>
      <c r="F27" s="9" t="str">
        <f t="shared" si="3"/>
        <v>D</v>
      </c>
      <c r="G27" s="9" t="str">
        <f t="shared" si="3"/>
        <v>E</v>
      </c>
      <c r="H27" s="9" t="str">
        <f t="shared" si="3"/>
        <v>F</v>
      </c>
      <c r="I27" s="9" t="str">
        <f t="shared" si="3"/>
        <v>G</v>
      </c>
      <c r="J27" s="9" t="str">
        <f t="shared" si="3"/>
        <v>H</v>
      </c>
      <c r="K27" s="9" t="str">
        <f t="shared" si="3"/>
        <v>I</v>
      </c>
      <c r="L27" s="9" t="str">
        <f t="shared" si="3"/>
        <v>J</v>
      </c>
      <c r="M27" s="9" t="str">
        <f t="shared" si="3"/>
        <v>K</v>
      </c>
      <c r="N27" s="9" t="str">
        <f t="shared" si="3"/>
        <v>L</v>
      </c>
      <c r="O27" s="9" t="str">
        <f t="shared" si="3"/>
        <v>M</v>
      </c>
      <c r="P27" s="9" t="str">
        <f t="shared" si="3"/>
        <v>N</v>
      </c>
      <c r="Q27" s="9" t="str">
        <f t="shared" si="3"/>
        <v>O</v>
      </c>
      <c r="R27" s="9" t="str">
        <f t="shared" si="5"/>
        <v>P</v>
      </c>
      <c r="S27" s="9" t="str">
        <f t="shared" si="5"/>
        <v>Q</v>
      </c>
      <c r="T27" s="9" t="str">
        <f t="shared" si="5"/>
        <v>R</v>
      </c>
      <c r="U27" s="9" t="str">
        <f t="shared" si="5"/>
        <v>S</v>
      </c>
      <c r="V27" s="9" t="str">
        <f t="shared" si="5"/>
        <v>T</v>
      </c>
      <c r="W27" s="9" t="str">
        <f t="shared" si="5"/>
        <v>U</v>
      </c>
      <c r="X27" s="9" t="str">
        <f t="shared" si="5"/>
        <v>V</v>
      </c>
      <c r="Y27" s="9" t="str">
        <f t="shared" si="5"/>
        <v>W</v>
      </c>
      <c r="Z27" s="9" t="str">
        <f t="shared" si="5"/>
        <v>X</v>
      </c>
      <c r="AA27" s="9" t="str">
        <f t="shared" si="4"/>
        <v>Y</v>
      </c>
      <c r="AB27" s="10">
        <v>25</v>
      </c>
    </row>
    <row r="28" spans="1:28" x14ac:dyDescent="0.25">
      <c r="B28" s="10">
        <v>0</v>
      </c>
      <c r="C28" s="10">
        <v>1</v>
      </c>
      <c r="D28" s="10">
        <v>2</v>
      </c>
      <c r="E28" s="10">
        <v>3</v>
      </c>
      <c r="F28" s="10">
        <v>4</v>
      </c>
      <c r="G28" s="10">
        <v>5</v>
      </c>
      <c r="H28" s="10">
        <v>6</v>
      </c>
      <c r="I28" s="10">
        <v>7</v>
      </c>
      <c r="J28" s="10">
        <v>8</v>
      </c>
      <c r="K28" s="10">
        <v>9</v>
      </c>
      <c r="L28" s="10">
        <v>10</v>
      </c>
      <c r="M28" s="10">
        <v>11</v>
      </c>
      <c r="N28" s="10">
        <v>12</v>
      </c>
      <c r="O28" s="10">
        <v>13</v>
      </c>
      <c r="P28" s="10">
        <v>14</v>
      </c>
      <c r="Q28" s="10">
        <v>15</v>
      </c>
      <c r="R28" s="10">
        <v>16</v>
      </c>
      <c r="S28" s="10">
        <v>17</v>
      </c>
      <c r="T28" s="10">
        <v>18</v>
      </c>
      <c r="U28" s="10">
        <v>19</v>
      </c>
      <c r="V28" s="10">
        <v>20</v>
      </c>
      <c r="W28" s="10">
        <v>21</v>
      </c>
      <c r="X28" s="10">
        <v>22</v>
      </c>
      <c r="Y28" s="10">
        <v>23</v>
      </c>
      <c r="Z28" s="10">
        <v>24</v>
      </c>
      <c r="AA28" s="10">
        <v>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2889D-1ECC-41CA-B807-158E8BE22D7F}">
  <sheetPr codeName="Feuil4"/>
  <dimension ref="A1:AD85"/>
  <sheetViews>
    <sheetView workbookViewId="0">
      <selection activeCell="A2" sqref="A2"/>
    </sheetView>
  </sheetViews>
  <sheetFormatPr baseColWidth="10" defaultRowHeight="15" x14ac:dyDescent="0.25"/>
  <cols>
    <col min="1" max="16384" width="11.42578125" style="35"/>
  </cols>
  <sheetData>
    <row r="1" spans="1:30" x14ac:dyDescent="0.25">
      <c r="A1" s="35" t="s">
        <v>55</v>
      </c>
    </row>
    <row r="2" spans="1:30" x14ac:dyDescent="0.25">
      <c r="A2" s="35" t="s">
        <v>56</v>
      </c>
      <c r="B2" s="35" t="s">
        <v>57</v>
      </c>
      <c r="C2" s="35" t="s">
        <v>58</v>
      </c>
      <c r="D2" s="35" t="s">
        <v>59</v>
      </c>
      <c r="E2" s="35" t="s">
        <v>60</v>
      </c>
      <c r="F2" s="35" t="s">
        <v>61</v>
      </c>
      <c r="G2" s="35" t="s">
        <v>62</v>
      </c>
      <c r="H2" s="35" t="s">
        <v>63</v>
      </c>
      <c r="I2" s="35" t="s">
        <v>64</v>
      </c>
      <c r="J2" s="35" t="s">
        <v>65</v>
      </c>
      <c r="K2" s="35" t="s">
        <v>66</v>
      </c>
      <c r="L2" s="35" t="s">
        <v>67</v>
      </c>
      <c r="M2" s="35" t="s">
        <v>68</v>
      </c>
      <c r="N2" s="35" t="s">
        <v>69</v>
      </c>
      <c r="O2" s="35" t="s">
        <v>70</v>
      </c>
      <c r="P2" s="35" t="s">
        <v>71</v>
      </c>
      <c r="Q2" s="35" t="s">
        <v>72</v>
      </c>
      <c r="R2" s="35" t="s">
        <v>73</v>
      </c>
      <c r="S2" s="35" t="s">
        <v>74</v>
      </c>
      <c r="T2" s="35" t="s">
        <v>75</v>
      </c>
      <c r="U2" s="35" t="s">
        <v>76</v>
      </c>
      <c r="V2" s="35" t="s">
        <v>77</v>
      </c>
      <c r="W2" s="35" t="s">
        <v>78</v>
      </c>
      <c r="X2" s="35" t="s">
        <v>79</v>
      </c>
      <c r="Y2" s="35" t="s">
        <v>80</v>
      </c>
      <c r="Z2" s="35" t="s">
        <v>81</v>
      </c>
      <c r="AA2" s="35" t="s">
        <v>83</v>
      </c>
      <c r="AB2" s="35" t="s">
        <v>84</v>
      </c>
      <c r="AC2" s="35" t="s">
        <v>85</v>
      </c>
      <c r="AD2" s="35" t="s">
        <v>86</v>
      </c>
    </row>
    <row r="4" spans="1:30" x14ac:dyDescent="0.25">
      <c r="A4" s="35" t="s">
        <v>82</v>
      </c>
    </row>
    <row r="5" spans="1:30" x14ac:dyDescent="0.25">
      <c r="A5" s="35">
        <v>6</v>
      </c>
      <c r="B5" s="35">
        <v>0</v>
      </c>
      <c r="C5" s="35">
        <v>1</v>
      </c>
      <c r="D5" s="35">
        <v>0</v>
      </c>
      <c r="E5" s="35">
        <v>8</v>
      </c>
      <c r="F5" s="35">
        <v>6</v>
      </c>
      <c r="G5" s="35">
        <v>0</v>
      </c>
      <c r="H5" s="35">
        <v>1</v>
      </c>
      <c r="I5" s="35">
        <v>0</v>
      </c>
      <c r="J5" s="35">
        <v>8</v>
      </c>
      <c r="K5" s="35">
        <v>6</v>
      </c>
      <c r="L5" s="35">
        <v>0</v>
      </c>
      <c r="M5" s="35">
        <v>1</v>
      </c>
      <c r="N5" s="35">
        <v>0</v>
      </c>
      <c r="O5" s="35">
        <v>8</v>
      </c>
      <c r="P5" s="35">
        <v>6</v>
      </c>
      <c r="Q5" s="35">
        <v>0</v>
      </c>
      <c r="R5" s="35">
        <v>1</v>
      </c>
      <c r="S5" s="35">
        <v>0</v>
      </c>
      <c r="T5" s="35">
        <v>8</v>
      </c>
      <c r="U5" s="35">
        <v>6</v>
      </c>
      <c r="V5" s="35">
        <v>0</v>
      </c>
      <c r="W5" s="35">
        <v>1</v>
      </c>
      <c r="X5" s="35">
        <v>0</v>
      </c>
      <c r="Y5" s="35">
        <v>8</v>
      </c>
      <c r="Z5" s="35">
        <v>6</v>
      </c>
      <c r="AA5" s="35">
        <v>0</v>
      </c>
      <c r="AB5" s="35">
        <v>1</v>
      </c>
      <c r="AC5" s="35">
        <v>0</v>
      </c>
      <c r="AD5" s="35">
        <v>8</v>
      </c>
    </row>
    <row r="6" spans="1:30" x14ac:dyDescent="0.25">
      <c r="A6" s="35">
        <v>0</v>
      </c>
      <c r="B6" s="35">
        <v>0</v>
      </c>
      <c r="C6" s="35">
        <v>3</v>
      </c>
      <c r="D6" s="35">
        <v>8</v>
      </c>
      <c r="E6" s="35">
        <v>1</v>
      </c>
      <c r="F6" s="35">
        <v>0</v>
      </c>
      <c r="G6" s="35">
        <v>0</v>
      </c>
      <c r="H6" s="35">
        <v>3</v>
      </c>
      <c r="I6" s="35">
        <v>8</v>
      </c>
      <c r="J6" s="35">
        <v>1</v>
      </c>
      <c r="K6" s="35">
        <v>0</v>
      </c>
      <c r="L6" s="35">
        <v>0</v>
      </c>
      <c r="M6" s="35">
        <v>3</v>
      </c>
      <c r="N6" s="35">
        <v>8</v>
      </c>
      <c r="O6" s="35">
        <v>1</v>
      </c>
      <c r="P6" s="35">
        <v>0</v>
      </c>
      <c r="Q6" s="35">
        <v>0</v>
      </c>
      <c r="R6" s="35">
        <v>3</v>
      </c>
      <c r="S6" s="35">
        <v>8</v>
      </c>
      <c r="T6" s="35">
        <v>1</v>
      </c>
      <c r="U6" s="35">
        <v>0</v>
      </c>
      <c r="V6" s="35">
        <v>0</v>
      </c>
      <c r="W6" s="35">
        <v>3</v>
      </c>
      <c r="X6" s="35">
        <v>8</v>
      </c>
      <c r="Y6" s="35">
        <v>1</v>
      </c>
      <c r="Z6" s="35">
        <v>0</v>
      </c>
      <c r="AA6" s="35">
        <v>0</v>
      </c>
      <c r="AB6" s="35">
        <v>3</v>
      </c>
      <c r="AC6" s="35">
        <v>8</v>
      </c>
      <c r="AD6" s="35">
        <v>1</v>
      </c>
    </row>
    <row r="7" spans="1:30" x14ac:dyDescent="0.25">
      <c r="A7" s="35">
        <v>0</v>
      </c>
      <c r="B7" s="35">
        <v>7</v>
      </c>
      <c r="C7" s="35">
        <v>11</v>
      </c>
      <c r="D7" s="35">
        <v>2</v>
      </c>
      <c r="E7" s="35">
        <v>7</v>
      </c>
      <c r="F7" s="35">
        <v>0</v>
      </c>
      <c r="G7" s="35">
        <v>7</v>
      </c>
      <c r="H7" s="35">
        <v>11</v>
      </c>
      <c r="I7" s="35">
        <v>2</v>
      </c>
      <c r="J7" s="35">
        <v>7</v>
      </c>
      <c r="K7" s="35">
        <v>0</v>
      </c>
      <c r="L7" s="35">
        <v>7</v>
      </c>
      <c r="M7" s="35">
        <v>11</v>
      </c>
      <c r="N7" s="35">
        <v>2</v>
      </c>
      <c r="O7" s="35">
        <v>7</v>
      </c>
      <c r="P7" s="35">
        <v>0</v>
      </c>
      <c r="Q7" s="35">
        <v>7</v>
      </c>
      <c r="R7" s="35">
        <v>11</v>
      </c>
      <c r="S7" s="35">
        <v>2</v>
      </c>
      <c r="T7" s="35">
        <v>7</v>
      </c>
      <c r="U7" s="35">
        <v>0</v>
      </c>
      <c r="V7" s="35">
        <v>7</v>
      </c>
      <c r="W7" s="35">
        <v>11</v>
      </c>
      <c r="X7" s="35">
        <v>2</v>
      </c>
      <c r="Y7" s="35">
        <v>7</v>
      </c>
      <c r="Z7" s="35">
        <v>0</v>
      </c>
      <c r="AA7" s="35">
        <v>7</v>
      </c>
      <c r="AB7" s="35">
        <v>11</v>
      </c>
      <c r="AC7" s="35">
        <v>2</v>
      </c>
      <c r="AD7" s="35">
        <v>7</v>
      </c>
    </row>
    <row r="8" spans="1:30" x14ac:dyDescent="0.25">
      <c r="A8" s="35">
        <v>6</v>
      </c>
      <c r="B8" s="35">
        <v>0</v>
      </c>
      <c r="C8" s="35">
        <v>0</v>
      </c>
      <c r="D8" s="35">
        <v>4</v>
      </c>
      <c r="E8" s="35">
        <v>3</v>
      </c>
      <c r="F8" s="35">
        <v>6</v>
      </c>
      <c r="G8" s="35">
        <v>0</v>
      </c>
      <c r="H8" s="35">
        <v>0</v>
      </c>
      <c r="I8" s="35">
        <v>4</v>
      </c>
      <c r="J8" s="35">
        <v>3</v>
      </c>
      <c r="K8" s="35">
        <v>6</v>
      </c>
      <c r="L8" s="35">
        <v>0</v>
      </c>
      <c r="M8" s="35">
        <v>0</v>
      </c>
      <c r="N8" s="35">
        <v>4</v>
      </c>
      <c r="O8" s="35">
        <v>3</v>
      </c>
      <c r="P8" s="35">
        <v>6</v>
      </c>
      <c r="Q8" s="35">
        <v>0</v>
      </c>
      <c r="R8" s="35">
        <v>0</v>
      </c>
      <c r="S8" s="35">
        <v>4</v>
      </c>
      <c r="T8" s="35">
        <v>3</v>
      </c>
      <c r="U8" s="35">
        <v>6</v>
      </c>
      <c r="V8" s="35">
        <v>0</v>
      </c>
      <c r="W8" s="35">
        <v>0</v>
      </c>
      <c r="X8" s="35">
        <v>4</v>
      </c>
      <c r="Y8" s="35">
        <v>3</v>
      </c>
      <c r="Z8" s="35">
        <v>6</v>
      </c>
      <c r="AA8" s="35">
        <v>0</v>
      </c>
      <c r="AB8" s="35">
        <v>0</v>
      </c>
      <c r="AC8" s="35">
        <v>4</v>
      </c>
      <c r="AD8" s="35">
        <v>3</v>
      </c>
    </row>
    <row r="9" spans="1:30" x14ac:dyDescent="0.25">
      <c r="A9" s="35">
        <v>3</v>
      </c>
      <c r="B9" s="35">
        <v>3</v>
      </c>
      <c r="C9" s="35">
        <v>0</v>
      </c>
      <c r="D9" s="35">
        <v>4</v>
      </c>
      <c r="E9" s="35">
        <v>22</v>
      </c>
      <c r="F9" s="35">
        <v>3</v>
      </c>
      <c r="G9" s="35">
        <v>3</v>
      </c>
      <c r="H9" s="35">
        <v>0</v>
      </c>
      <c r="I9" s="35">
        <v>4</v>
      </c>
      <c r="J9" s="35">
        <v>21</v>
      </c>
      <c r="K9" s="35">
        <v>3</v>
      </c>
      <c r="L9" s="35">
        <v>3</v>
      </c>
      <c r="M9" s="35">
        <v>0</v>
      </c>
      <c r="N9" s="35">
        <v>4</v>
      </c>
      <c r="O9" s="35">
        <v>21</v>
      </c>
      <c r="P9" s="35">
        <v>3</v>
      </c>
      <c r="Q9" s="35">
        <v>3</v>
      </c>
      <c r="R9" s="35">
        <v>0</v>
      </c>
      <c r="S9" s="35">
        <v>4</v>
      </c>
      <c r="T9" s="35">
        <v>21</v>
      </c>
      <c r="U9" s="35">
        <v>3</v>
      </c>
      <c r="V9" s="35">
        <v>3</v>
      </c>
      <c r="W9" s="35">
        <v>0</v>
      </c>
      <c r="X9" s="35">
        <v>4</v>
      </c>
      <c r="Y9" s="35">
        <v>20</v>
      </c>
      <c r="Z9" s="35">
        <v>3</v>
      </c>
      <c r="AA9" s="35">
        <v>3</v>
      </c>
      <c r="AB9" s="35">
        <v>0</v>
      </c>
      <c r="AC9" s="35">
        <v>4</v>
      </c>
      <c r="AD9" s="35">
        <v>20</v>
      </c>
    </row>
    <row r="10" spans="1:30" x14ac:dyDescent="0.25">
      <c r="A10" s="35">
        <v>5</v>
      </c>
      <c r="B10" s="35">
        <v>2</v>
      </c>
      <c r="C10" s="35">
        <v>8</v>
      </c>
      <c r="D10" s="35">
        <v>16</v>
      </c>
      <c r="E10" s="35">
        <v>0</v>
      </c>
      <c r="F10" s="35">
        <v>5</v>
      </c>
      <c r="G10" s="35">
        <v>2</v>
      </c>
      <c r="H10" s="35">
        <v>8</v>
      </c>
      <c r="I10" s="35">
        <v>16</v>
      </c>
      <c r="J10" s="35">
        <v>0</v>
      </c>
      <c r="K10" s="35">
        <v>4</v>
      </c>
      <c r="L10" s="35">
        <v>2</v>
      </c>
      <c r="M10" s="35">
        <v>8</v>
      </c>
      <c r="N10" s="35">
        <v>16</v>
      </c>
      <c r="O10" s="35">
        <v>0</v>
      </c>
      <c r="P10" s="35">
        <v>4</v>
      </c>
      <c r="Q10" s="35">
        <v>2</v>
      </c>
      <c r="R10" s="35">
        <v>8</v>
      </c>
      <c r="S10" s="35">
        <v>16</v>
      </c>
      <c r="T10" s="35">
        <v>0</v>
      </c>
      <c r="U10" s="35">
        <v>4</v>
      </c>
      <c r="V10" s="35">
        <v>2</v>
      </c>
      <c r="W10" s="35">
        <v>8</v>
      </c>
      <c r="X10" s="35">
        <v>16</v>
      </c>
      <c r="Y10" s="35">
        <v>0</v>
      </c>
      <c r="Z10" s="35">
        <v>4</v>
      </c>
      <c r="AA10" s="35">
        <v>2</v>
      </c>
      <c r="AB10" s="35">
        <v>8</v>
      </c>
      <c r="AC10" s="35">
        <v>16</v>
      </c>
      <c r="AD10" s="35">
        <v>0</v>
      </c>
    </row>
    <row r="11" spans="1:30" x14ac:dyDescent="0.25">
      <c r="A11" s="35">
        <v>6</v>
      </c>
      <c r="B11" s="35">
        <v>17</v>
      </c>
      <c r="C11" s="35">
        <v>0</v>
      </c>
      <c r="D11" s="35">
        <v>1</v>
      </c>
      <c r="E11" s="35">
        <v>3</v>
      </c>
      <c r="F11" s="35">
        <v>6</v>
      </c>
      <c r="G11" s="35">
        <v>17</v>
      </c>
      <c r="H11" s="35">
        <v>0</v>
      </c>
      <c r="I11" s="35">
        <v>1</v>
      </c>
      <c r="J11" s="35">
        <v>3</v>
      </c>
      <c r="K11" s="35">
        <v>6</v>
      </c>
      <c r="L11" s="35">
        <v>17</v>
      </c>
      <c r="M11" s="35">
        <v>0</v>
      </c>
      <c r="N11" s="35">
        <v>1</v>
      </c>
      <c r="O11" s="35">
        <v>3</v>
      </c>
      <c r="P11" s="35">
        <v>6</v>
      </c>
      <c r="Q11" s="35">
        <v>17</v>
      </c>
      <c r="R11" s="35">
        <v>0</v>
      </c>
      <c r="S11" s="35">
        <v>1</v>
      </c>
      <c r="T11" s="35">
        <v>3</v>
      </c>
      <c r="U11" s="35">
        <v>6</v>
      </c>
      <c r="V11" s="35">
        <v>16</v>
      </c>
      <c r="W11" s="35">
        <v>0</v>
      </c>
      <c r="X11" s="35">
        <v>1</v>
      </c>
      <c r="Y11" s="35">
        <v>3</v>
      </c>
      <c r="Z11" s="35">
        <v>6</v>
      </c>
      <c r="AA11" s="35">
        <v>16</v>
      </c>
      <c r="AB11" s="35">
        <v>0</v>
      </c>
      <c r="AC11" s="35">
        <v>1</v>
      </c>
      <c r="AD11" s="35">
        <v>3</v>
      </c>
    </row>
    <row r="12" spans="1:30" x14ac:dyDescent="0.25">
      <c r="A12" s="35">
        <v>2</v>
      </c>
      <c r="B12" s="35">
        <v>0</v>
      </c>
      <c r="C12" s="35">
        <v>5</v>
      </c>
      <c r="D12" s="35">
        <v>2</v>
      </c>
      <c r="E12" s="35">
        <v>1</v>
      </c>
      <c r="F12" s="35">
        <v>2</v>
      </c>
      <c r="G12" s="35">
        <v>0</v>
      </c>
      <c r="H12" s="35">
        <v>5</v>
      </c>
      <c r="I12" s="35">
        <v>2</v>
      </c>
      <c r="J12" s="35">
        <v>1</v>
      </c>
      <c r="K12" s="35">
        <v>2</v>
      </c>
      <c r="L12" s="35">
        <v>0</v>
      </c>
      <c r="M12" s="35">
        <v>5</v>
      </c>
      <c r="N12" s="35">
        <v>2</v>
      </c>
      <c r="O12" s="35">
        <v>1</v>
      </c>
      <c r="P12" s="35">
        <v>2</v>
      </c>
      <c r="Q12" s="35">
        <v>0</v>
      </c>
      <c r="R12" s="35">
        <v>5</v>
      </c>
      <c r="S12" s="35">
        <v>2</v>
      </c>
      <c r="T12" s="35">
        <v>1</v>
      </c>
      <c r="U12" s="35">
        <v>2</v>
      </c>
      <c r="V12" s="35">
        <v>0</v>
      </c>
      <c r="W12" s="35">
        <v>5</v>
      </c>
      <c r="X12" s="35">
        <v>2</v>
      </c>
      <c r="Y12" s="35">
        <v>1</v>
      </c>
      <c r="Z12" s="35">
        <v>2</v>
      </c>
      <c r="AA12" s="35">
        <v>0</v>
      </c>
      <c r="AB12" s="35">
        <v>5</v>
      </c>
      <c r="AC12" s="35">
        <v>2</v>
      </c>
      <c r="AD12" s="35">
        <v>1</v>
      </c>
    </row>
    <row r="13" spans="1:30" x14ac:dyDescent="0.25">
      <c r="A13" s="35">
        <v>2</v>
      </c>
      <c r="B13" s="35">
        <v>2</v>
      </c>
      <c r="C13" s="35">
        <v>5</v>
      </c>
      <c r="D13" s="35">
        <v>0</v>
      </c>
      <c r="E13" s="35">
        <v>3</v>
      </c>
      <c r="F13" s="35">
        <v>2</v>
      </c>
      <c r="G13" s="35">
        <v>2</v>
      </c>
      <c r="H13" s="35">
        <v>5</v>
      </c>
      <c r="I13" s="35">
        <v>0</v>
      </c>
      <c r="J13" s="35">
        <v>3</v>
      </c>
      <c r="K13" s="35">
        <v>2</v>
      </c>
      <c r="L13" s="35">
        <v>2</v>
      </c>
      <c r="M13" s="35">
        <v>5</v>
      </c>
      <c r="N13" s="35">
        <v>0</v>
      </c>
      <c r="O13" s="35">
        <v>3</v>
      </c>
      <c r="P13" s="35">
        <v>2</v>
      </c>
      <c r="Q13" s="35">
        <v>2</v>
      </c>
      <c r="R13" s="35">
        <v>5</v>
      </c>
      <c r="S13" s="35">
        <v>0</v>
      </c>
      <c r="T13" s="35">
        <v>3</v>
      </c>
      <c r="U13" s="35">
        <v>2</v>
      </c>
      <c r="V13" s="35">
        <v>2</v>
      </c>
      <c r="W13" s="35">
        <v>5</v>
      </c>
      <c r="X13" s="35">
        <v>0</v>
      </c>
      <c r="Y13" s="35">
        <v>3</v>
      </c>
      <c r="Z13" s="35">
        <v>2</v>
      </c>
      <c r="AA13" s="35">
        <v>2</v>
      </c>
      <c r="AB13" s="35">
        <v>4</v>
      </c>
      <c r="AC13" s="35">
        <v>0</v>
      </c>
      <c r="AD13" s="35">
        <v>3</v>
      </c>
    </row>
    <row r="14" spans="1:30" x14ac:dyDescent="0.25">
      <c r="A14" s="35">
        <v>6</v>
      </c>
      <c r="B14" s="35">
        <v>1</v>
      </c>
      <c r="C14" s="35">
        <v>5</v>
      </c>
      <c r="D14" s="35">
        <v>5</v>
      </c>
      <c r="E14" s="35">
        <v>0</v>
      </c>
      <c r="F14" s="35">
        <v>6</v>
      </c>
      <c r="G14" s="35">
        <v>1</v>
      </c>
      <c r="H14" s="35">
        <v>5</v>
      </c>
      <c r="I14" s="35">
        <v>5</v>
      </c>
      <c r="J14" s="35">
        <v>0</v>
      </c>
      <c r="K14" s="35">
        <v>6</v>
      </c>
      <c r="L14" s="35">
        <v>1</v>
      </c>
      <c r="M14" s="35">
        <v>4</v>
      </c>
      <c r="N14" s="35">
        <v>5</v>
      </c>
      <c r="O14" s="35">
        <v>0</v>
      </c>
      <c r="P14" s="35">
        <v>5</v>
      </c>
      <c r="Q14" s="35">
        <v>1</v>
      </c>
      <c r="R14" s="35">
        <v>4</v>
      </c>
      <c r="S14" s="35">
        <v>5</v>
      </c>
      <c r="T14" s="35">
        <v>0</v>
      </c>
      <c r="U14" s="35">
        <v>5</v>
      </c>
      <c r="V14" s="35">
        <v>1</v>
      </c>
      <c r="W14" s="35">
        <v>4</v>
      </c>
      <c r="X14" s="35">
        <v>5</v>
      </c>
      <c r="Y14" s="35">
        <v>0</v>
      </c>
      <c r="Z14" s="35">
        <v>5</v>
      </c>
      <c r="AA14" s="35">
        <v>0</v>
      </c>
      <c r="AB14" s="35">
        <v>4</v>
      </c>
      <c r="AC14" s="35">
        <v>5</v>
      </c>
      <c r="AD14" s="35">
        <v>0</v>
      </c>
    </row>
    <row r="15" spans="1:30" x14ac:dyDescent="0.25">
      <c r="A15" s="35">
        <v>8</v>
      </c>
      <c r="B15" s="35">
        <v>8</v>
      </c>
      <c r="C15" s="35">
        <v>1</v>
      </c>
      <c r="D15" s="35">
        <v>0</v>
      </c>
      <c r="E15" s="35">
        <v>0</v>
      </c>
      <c r="F15" s="35">
        <v>7</v>
      </c>
      <c r="G15" s="35">
        <v>8</v>
      </c>
      <c r="H15" s="35">
        <v>1</v>
      </c>
      <c r="I15" s="35">
        <v>0</v>
      </c>
      <c r="J15" s="35">
        <v>0</v>
      </c>
      <c r="K15" s="35">
        <v>7</v>
      </c>
      <c r="L15" s="35">
        <v>8</v>
      </c>
      <c r="M15" s="35">
        <v>1</v>
      </c>
      <c r="N15" s="35">
        <v>0</v>
      </c>
      <c r="O15" s="35">
        <v>0</v>
      </c>
      <c r="P15" s="35">
        <v>7</v>
      </c>
      <c r="Q15" s="35">
        <v>8</v>
      </c>
      <c r="R15" s="35">
        <v>1</v>
      </c>
      <c r="S15" s="35">
        <v>0</v>
      </c>
      <c r="T15" s="35">
        <v>0</v>
      </c>
      <c r="U15" s="35">
        <v>6</v>
      </c>
      <c r="V15" s="35">
        <v>8</v>
      </c>
      <c r="W15" s="35">
        <v>1</v>
      </c>
      <c r="X15" s="35">
        <v>0</v>
      </c>
      <c r="Y15" s="35">
        <v>0</v>
      </c>
      <c r="Z15" s="35">
        <v>5</v>
      </c>
      <c r="AA15" s="35">
        <v>8</v>
      </c>
      <c r="AB15" s="35">
        <v>1</v>
      </c>
      <c r="AC15" s="35">
        <v>0</v>
      </c>
      <c r="AD15" s="35">
        <v>0</v>
      </c>
    </row>
    <row r="16" spans="1:30" x14ac:dyDescent="0.25">
      <c r="A16" s="35">
        <v>3</v>
      </c>
      <c r="B16" s="35">
        <v>0</v>
      </c>
      <c r="C16" s="35">
        <v>6</v>
      </c>
      <c r="D16" s="35">
        <v>0</v>
      </c>
      <c r="E16" s="35">
        <v>5</v>
      </c>
      <c r="F16" s="35">
        <v>3</v>
      </c>
      <c r="G16" s="35">
        <v>0</v>
      </c>
      <c r="H16" s="35">
        <v>6</v>
      </c>
      <c r="I16" s="35">
        <v>0</v>
      </c>
      <c r="J16" s="35">
        <v>5</v>
      </c>
      <c r="K16" s="35">
        <v>3</v>
      </c>
      <c r="L16" s="35">
        <v>0</v>
      </c>
      <c r="M16" s="35">
        <v>6</v>
      </c>
      <c r="N16" s="35">
        <v>0</v>
      </c>
      <c r="O16" s="35">
        <v>5</v>
      </c>
      <c r="P16" s="35">
        <v>3</v>
      </c>
      <c r="Q16" s="35">
        <v>0</v>
      </c>
      <c r="R16" s="35">
        <v>6</v>
      </c>
      <c r="S16" s="35">
        <v>0</v>
      </c>
      <c r="T16" s="35">
        <v>5</v>
      </c>
      <c r="U16" s="35">
        <v>3</v>
      </c>
      <c r="V16" s="35">
        <v>0</v>
      </c>
      <c r="W16" s="35">
        <v>5</v>
      </c>
      <c r="X16" s="35">
        <v>0</v>
      </c>
      <c r="Y16" s="35">
        <v>5</v>
      </c>
      <c r="Z16" s="35">
        <v>3</v>
      </c>
      <c r="AA16" s="35">
        <v>0</v>
      </c>
      <c r="AB16" s="35">
        <v>5</v>
      </c>
      <c r="AC16" s="35">
        <v>0</v>
      </c>
      <c r="AD16" s="35">
        <v>5</v>
      </c>
    </row>
    <row r="17" spans="1:30" x14ac:dyDescent="0.25">
      <c r="A17" s="35">
        <v>9</v>
      </c>
      <c r="B17" s="35">
        <v>0</v>
      </c>
      <c r="C17" s="35">
        <v>10</v>
      </c>
      <c r="D17" s="35">
        <v>7</v>
      </c>
      <c r="E17" s="35">
        <v>3</v>
      </c>
      <c r="F17" s="35">
        <v>9</v>
      </c>
      <c r="G17" s="35">
        <v>0</v>
      </c>
      <c r="H17" s="35">
        <v>10</v>
      </c>
      <c r="I17" s="35">
        <v>7</v>
      </c>
      <c r="J17" s="35">
        <v>3</v>
      </c>
      <c r="K17" s="35">
        <v>9</v>
      </c>
      <c r="L17" s="35">
        <v>0</v>
      </c>
      <c r="M17" s="35">
        <v>10</v>
      </c>
      <c r="N17" s="35">
        <v>7</v>
      </c>
      <c r="O17" s="35">
        <v>3</v>
      </c>
      <c r="P17" s="35">
        <v>9</v>
      </c>
      <c r="Q17" s="35">
        <v>0</v>
      </c>
      <c r="R17" s="35">
        <v>10</v>
      </c>
      <c r="S17" s="35">
        <v>7</v>
      </c>
      <c r="T17" s="35">
        <v>3</v>
      </c>
      <c r="U17" s="35">
        <v>9</v>
      </c>
      <c r="V17" s="35">
        <v>0</v>
      </c>
      <c r="W17" s="35">
        <v>10</v>
      </c>
      <c r="X17" s="35">
        <v>6</v>
      </c>
      <c r="Y17" s="35">
        <v>3</v>
      </c>
      <c r="Z17" s="35">
        <v>9</v>
      </c>
      <c r="AA17" s="35">
        <v>0</v>
      </c>
      <c r="AB17" s="35">
        <v>10</v>
      </c>
      <c r="AC17" s="35">
        <v>6</v>
      </c>
      <c r="AD17" s="35">
        <v>2</v>
      </c>
    </row>
    <row r="18" spans="1:30" x14ac:dyDescent="0.25">
      <c r="A18" s="35">
        <v>1</v>
      </c>
      <c r="B18" s="35">
        <v>8</v>
      </c>
      <c r="C18" s="35">
        <v>7</v>
      </c>
      <c r="D18" s="35">
        <v>4</v>
      </c>
      <c r="E18" s="35">
        <v>9</v>
      </c>
      <c r="F18" s="35">
        <v>1</v>
      </c>
      <c r="G18" s="35">
        <v>8</v>
      </c>
      <c r="H18" s="35">
        <v>7</v>
      </c>
      <c r="I18" s="35">
        <v>4</v>
      </c>
      <c r="J18" s="35">
        <v>9</v>
      </c>
      <c r="K18" s="35">
        <v>1</v>
      </c>
      <c r="L18" s="35">
        <v>8</v>
      </c>
      <c r="M18" s="35">
        <v>7</v>
      </c>
      <c r="N18" s="35">
        <v>4</v>
      </c>
      <c r="O18" s="35">
        <v>9</v>
      </c>
      <c r="P18" s="35">
        <v>1</v>
      </c>
      <c r="Q18" s="35">
        <v>8</v>
      </c>
      <c r="R18" s="35">
        <v>7</v>
      </c>
      <c r="S18" s="35">
        <v>3</v>
      </c>
      <c r="T18" s="35">
        <v>9</v>
      </c>
      <c r="U18" s="35">
        <v>1</v>
      </c>
      <c r="V18" s="35">
        <v>8</v>
      </c>
      <c r="W18" s="35">
        <v>7</v>
      </c>
      <c r="X18" s="35">
        <v>3</v>
      </c>
      <c r="Y18" s="35">
        <v>9</v>
      </c>
      <c r="Z18" s="35">
        <v>1</v>
      </c>
      <c r="AA18" s="35">
        <v>8</v>
      </c>
      <c r="AB18" s="35">
        <v>7</v>
      </c>
      <c r="AC18" s="35">
        <v>2</v>
      </c>
      <c r="AD18" s="35">
        <v>9</v>
      </c>
    </row>
    <row r="19" spans="1:30" x14ac:dyDescent="0.25">
      <c r="A19" s="35">
        <v>0</v>
      </c>
      <c r="B19" s="35">
        <v>8</v>
      </c>
      <c r="C19" s="35">
        <v>6</v>
      </c>
      <c r="D19" s="35">
        <v>4</v>
      </c>
      <c r="E19" s="35">
        <v>3</v>
      </c>
      <c r="F19" s="35">
        <v>0</v>
      </c>
      <c r="G19" s="35">
        <v>8</v>
      </c>
      <c r="H19" s="35">
        <v>5</v>
      </c>
      <c r="I19" s="35">
        <v>4</v>
      </c>
      <c r="J19" s="35">
        <v>3</v>
      </c>
      <c r="K19" s="35">
        <v>0</v>
      </c>
      <c r="L19" s="35">
        <v>8</v>
      </c>
      <c r="M19" s="35">
        <v>5</v>
      </c>
      <c r="N19" s="35">
        <v>4</v>
      </c>
      <c r="O19" s="35">
        <v>3</v>
      </c>
      <c r="P19" s="35">
        <v>0</v>
      </c>
      <c r="Q19" s="35">
        <v>8</v>
      </c>
      <c r="R19" s="35">
        <v>5</v>
      </c>
      <c r="S19" s="35">
        <v>4</v>
      </c>
      <c r="T19" s="35">
        <v>3</v>
      </c>
      <c r="U19" s="35">
        <v>0</v>
      </c>
      <c r="V19" s="35">
        <v>8</v>
      </c>
      <c r="W19" s="35">
        <v>5</v>
      </c>
      <c r="X19" s="35">
        <v>4</v>
      </c>
      <c r="Y19" s="35">
        <v>3</v>
      </c>
      <c r="Z19" s="35">
        <v>0</v>
      </c>
      <c r="AA19" s="35">
        <v>8</v>
      </c>
      <c r="AB19" s="35">
        <v>5</v>
      </c>
      <c r="AC19" s="35">
        <v>4</v>
      </c>
      <c r="AD19" s="35">
        <v>3</v>
      </c>
    </row>
    <row r="20" spans="1:30" x14ac:dyDescent="0.25">
      <c r="A20" s="35">
        <v>0</v>
      </c>
      <c r="B20" s="35">
        <v>8</v>
      </c>
      <c r="C20" s="35">
        <v>2</v>
      </c>
      <c r="D20" s="35">
        <v>4</v>
      </c>
      <c r="E20" s="35">
        <v>1</v>
      </c>
      <c r="F20" s="35">
        <v>0</v>
      </c>
      <c r="G20" s="35">
        <v>8</v>
      </c>
      <c r="H20" s="35">
        <v>2</v>
      </c>
      <c r="I20" s="35">
        <v>4</v>
      </c>
      <c r="J20" s="35">
        <v>1</v>
      </c>
      <c r="K20" s="35">
        <v>0</v>
      </c>
      <c r="L20" s="35">
        <v>8</v>
      </c>
      <c r="M20" s="35">
        <v>2</v>
      </c>
      <c r="N20" s="35">
        <v>3</v>
      </c>
      <c r="O20" s="35">
        <v>1</v>
      </c>
      <c r="P20" s="35">
        <v>0</v>
      </c>
      <c r="Q20" s="35">
        <v>8</v>
      </c>
      <c r="R20" s="35">
        <v>2</v>
      </c>
      <c r="S20" s="35">
        <v>3</v>
      </c>
      <c r="T20" s="35">
        <v>1</v>
      </c>
      <c r="U20" s="35">
        <v>0</v>
      </c>
      <c r="V20" s="35">
        <v>8</v>
      </c>
      <c r="W20" s="35">
        <v>2</v>
      </c>
      <c r="X20" s="35">
        <v>3</v>
      </c>
      <c r="Y20" s="35">
        <v>1</v>
      </c>
      <c r="Z20" s="35">
        <v>0</v>
      </c>
      <c r="AA20" s="35">
        <v>8</v>
      </c>
      <c r="AB20" s="35">
        <v>2</v>
      </c>
      <c r="AC20" s="35">
        <v>3</v>
      </c>
      <c r="AD20" s="35">
        <v>1</v>
      </c>
    </row>
    <row r="21" spans="1:30" x14ac:dyDescent="0.25">
      <c r="A21" s="35">
        <v>0</v>
      </c>
      <c r="B21" s="35">
        <v>7</v>
      </c>
      <c r="C21" s="35">
        <v>0</v>
      </c>
      <c r="D21" s="35">
        <v>1</v>
      </c>
      <c r="E21" s="35">
        <v>2</v>
      </c>
      <c r="F21" s="35">
        <v>0</v>
      </c>
      <c r="G21" s="35">
        <v>6</v>
      </c>
      <c r="H21" s="35">
        <v>0</v>
      </c>
      <c r="I21" s="35">
        <v>1</v>
      </c>
      <c r="J21" s="35">
        <v>2</v>
      </c>
      <c r="K21" s="35">
        <v>0</v>
      </c>
      <c r="L21" s="35">
        <v>6</v>
      </c>
      <c r="M21" s="35">
        <v>0</v>
      </c>
      <c r="N21" s="35">
        <v>1</v>
      </c>
      <c r="O21" s="35">
        <v>2</v>
      </c>
      <c r="P21" s="35">
        <v>0</v>
      </c>
      <c r="Q21" s="35">
        <v>6</v>
      </c>
      <c r="R21" s="35">
        <v>0</v>
      </c>
      <c r="S21" s="35">
        <v>1</v>
      </c>
      <c r="T21" s="35">
        <v>2</v>
      </c>
      <c r="U21" s="35">
        <v>0</v>
      </c>
      <c r="V21" s="35">
        <v>6</v>
      </c>
      <c r="W21" s="35">
        <v>0</v>
      </c>
      <c r="X21" s="35">
        <v>1</v>
      </c>
      <c r="Y21" s="35">
        <v>2</v>
      </c>
      <c r="Z21" s="35">
        <v>0</v>
      </c>
      <c r="AA21" s="35">
        <v>6</v>
      </c>
      <c r="AB21" s="35">
        <v>0</v>
      </c>
      <c r="AC21" s="35">
        <v>1</v>
      </c>
      <c r="AD21" s="35">
        <v>2</v>
      </c>
    </row>
    <row r="22" spans="1:30" x14ac:dyDescent="0.25">
      <c r="A22" s="35">
        <v>0</v>
      </c>
      <c r="B22" s="35">
        <v>2</v>
      </c>
      <c r="C22" s="35">
        <v>1</v>
      </c>
      <c r="D22" s="35">
        <v>2</v>
      </c>
      <c r="E22" s="35">
        <v>8</v>
      </c>
      <c r="F22" s="35">
        <v>0</v>
      </c>
      <c r="G22" s="35">
        <v>2</v>
      </c>
      <c r="H22" s="35">
        <v>1</v>
      </c>
      <c r="I22" s="35">
        <v>2</v>
      </c>
      <c r="J22" s="35">
        <v>8</v>
      </c>
      <c r="K22" s="35">
        <v>0</v>
      </c>
      <c r="L22" s="35">
        <v>2</v>
      </c>
      <c r="M22" s="35">
        <v>1</v>
      </c>
      <c r="N22" s="35">
        <v>2</v>
      </c>
      <c r="O22" s="35">
        <v>8</v>
      </c>
      <c r="P22" s="35">
        <v>0</v>
      </c>
      <c r="Q22" s="35">
        <v>2</v>
      </c>
      <c r="R22" s="35">
        <v>1</v>
      </c>
      <c r="S22" s="35">
        <v>2</v>
      </c>
      <c r="T22" s="35">
        <v>8</v>
      </c>
      <c r="U22" s="35">
        <v>0</v>
      </c>
      <c r="V22" s="35">
        <v>2</v>
      </c>
      <c r="W22" s="35">
        <v>1</v>
      </c>
      <c r="X22" s="35">
        <v>2</v>
      </c>
      <c r="Y22" s="35">
        <v>8</v>
      </c>
      <c r="Z22" s="35">
        <v>0</v>
      </c>
      <c r="AA22" s="35">
        <v>2</v>
      </c>
      <c r="AB22" s="35">
        <v>1</v>
      </c>
      <c r="AC22" s="35">
        <v>2</v>
      </c>
      <c r="AD22" s="35">
        <v>8</v>
      </c>
    </row>
    <row r="23" spans="1:30" x14ac:dyDescent="0.25">
      <c r="A23" s="35">
        <v>12</v>
      </c>
      <c r="B23" s="35">
        <v>0</v>
      </c>
      <c r="C23" s="35">
        <v>0</v>
      </c>
      <c r="D23" s="35">
        <v>4</v>
      </c>
      <c r="E23" s="35">
        <v>9</v>
      </c>
      <c r="F23" s="35">
        <v>12</v>
      </c>
      <c r="G23" s="35">
        <v>0</v>
      </c>
      <c r="H23" s="35">
        <v>0</v>
      </c>
      <c r="I23" s="35">
        <v>4</v>
      </c>
      <c r="J23" s="35">
        <v>9</v>
      </c>
      <c r="K23" s="35">
        <v>12</v>
      </c>
      <c r="L23" s="35">
        <v>0</v>
      </c>
      <c r="M23" s="35">
        <v>0</v>
      </c>
      <c r="N23" s="35">
        <v>4</v>
      </c>
      <c r="O23" s="35">
        <v>9</v>
      </c>
      <c r="P23" s="35">
        <v>12</v>
      </c>
      <c r="Q23" s="35">
        <v>0</v>
      </c>
      <c r="R23" s="35">
        <v>0</v>
      </c>
      <c r="S23" s="35">
        <v>4</v>
      </c>
      <c r="T23" s="35">
        <v>9</v>
      </c>
      <c r="U23" s="35">
        <v>12</v>
      </c>
      <c r="V23" s="35">
        <v>0</v>
      </c>
      <c r="W23" s="35">
        <v>0</v>
      </c>
      <c r="X23" s="35">
        <v>4</v>
      </c>
      <c r="Y23" s="35">
        <v>9</v>
      </c>
      <c r="Z23" s="35">
        <v>12</v>
      </c>
      <c r="AA23" s="35">
        <v>0</v>
      </c>
      <c r="AB23" s="35">
        <v>0</v>
      </c>
      <c r="AC23" s="35">
        <v>4</v>
      </c>
      <c r="AD23" s="35">
        <v>9</v>
      </c>
    </row>
    <row r="24" spans="1:30" x14ac:dyDescent="0.25">
      <c r="A24" s="35">
        <v>3</v>
      </c>
      <c r="B24" s="35">
        <v>4</v>
      </c>
      <c r="C24" s="35">
        <v>1</v>
      </c>
      <c r="D24" s="35">
        <v>13</v>
      </c>
      <c r="E24" s="35">
        <v>5</v>
      </c>
      <c r="F24" s="35">
        <v>3</v>
      </c>
      <c r="G24" s="35">
        <v>4</v>
      </c>
      <c r="H24" s="35">
        <v>1</v>
      </c>
      <c r="I24" s="35">
        <v>13</v>
      </c>
      <c r="J24" s="35">
        <v>5</v>
      </c>
      <c r="K24" s="35">
        <v>3</v>
      </c>
      <c r="L24" s="35">
        <v>4</v>
      </c>
      <c r="M24" s="35">
        <v>1</v>
      </c>
      <c r="N24" s="35">
        <v>13</v>
      </c>
      <c r="O24" s="35">
        <v>5</v>
      </c>
      <c r="P24" s="35">
        <v>3</v>
      </c>
      <c r="Q24" s="35">
        <v>4</v>
      </c>
      <c r="R24" s="35">
        <v>1</v>
      </c>
      <c r="S24" s="35">
        <v>13</v>
      </c>
      <c r="T24" s="35">
        <v>5</v>
      </c>
      <c r="U24" s="35">
        <v>3</v>
      </c>
      <c r="V24" s="35">
        <v>4</v>
      </c>
      <c r="W24" s="35">
        <v>1</v>
      </c>
      <c r="X24" s="35">
        <v>13</v>
      </c>
      <c r="Y24" s="35">
        <v>5</v>
      </c>
      <c r="Z24" s="35">
        <v>3</v>
      </c>
      <c r="AA24" s="35">
        <v>4</v>
      </c>
      <c r="AB24" s="35">
        <v>1</v>
      </c>
      <c r="AC24" s="35">
        <v>13</v>
      </c>
      <c r="AD24" s="35">
        <v>5</v>
      </c>
    </row>
    <row r="25" spans="1:30" x14ac:dyDescent="0.25">
      <c r="A25" s="35">
        <v>1</v>
      </c>
      <c r="B25" s="35">
        <v>9</v>
      </c>
      <c r="C25" s="35">
        <v>7</v>
      </c>
      <c r="D25" s="35">
        <v>10</v>
      </c>
      <c r="E25" s="35">
        <v>9</v>
      </c>
      <c r="F25" s="35">
        <v>1</v>
      </c>
      <c r="G25" s="35">
        <v>9</v>
      </c>
      <c r="H25" s="35">
        <v>7</v>
      </c>
      <c r="I25" s="35">
        <v>10</v>
      </c>
      <c r="J25" s="35">
        <v>9</v>
      </c>
      <c r="K25" s="35">
        <v>1</v>
      </c>
      <c r="L25" s="35">
        <v>9</v>
      </c>
      <c r="M25" s="35">
        <v>7</v>
      </c>
      <c r="N25" s="35">
        <v>10</v>
      </c>
      <c r="O25" s="35">
        <v>8</v>
      </c>
      <c r="P25" s="35">
        <v>1</v>
      </c>
      <c r="Q25" s="35">
        <v>8</v>
      </c>
      <c r="R25" s="35">
        <v>6</v>
      </c>
      <c r="S25" s="35">
        <v>10</v>
      </c>
      <c r="T25" s="35">
        <v>7</v>
      </c>
      <c r="U25" s="35">
        <v>1</v>
      </c>
      <c r="V25" s="35">
        <v>8</v>
      </c>
      <c r="W25" s="35">
        <v>6</v>
      </c>
      <c r="X25" s="35">
        <v>10</v>
      </c>
      <c r="Y25" s="35">
        <v>7</v>
      </c>
      <c r="Z25" s="35">
        <v>1</v>
      </c>
      <c r="AA25" s="35">
        <v>8</v>
      </c>
      <c r="AB25" s="35">
        <v>6</v>
      </c>
      <c r="AC25" s="35">
        <v>10</v>
      </c>
      <c r="AD25" s="35">
        <v>7</v>
      </c>
    </row>
    <row r="26" spans="1:30" x14ac:dyDescent="0.25">
      <c r="A26" s="35">
        <v>2</v>
      </c>
      <c r="B26" s="35">
        <v>6</v>
      </c>
      <c r="C26" s="35">
        <v>3</v>
      </c>
      <c r="D26" s="35">
        <v>5</v>
      </c>
      <c r="E26" s="35">
        <v>0</v>
      </c>
      <c r="F26" s="35">
        <v>2</v>
      </c>
      <c r="G26" s="35">
        <v>6</v>
      </c>
      <c r="H26" s="35">
        <v>3</v>
      </c>
      <c r="I26" s="35">
        <v>5</v>
      </c>
      <c r="J26" s="35">
        <v>0</v>
      </c>
      <c r="K26" s="35">
        <v>2</v>
      </c>
      <c r="L26" s="35">
        <v>5</v>
      </c>
      <c r="M26" s="35">
        <v>3</v>
      </c>
      <c r="N26" s="35">
        <v>5</v>
      </c>
      <c r="O26" s="35">
        <v>0</v>
      </c>
      <c r="P26" s="35">
        <v>2</v>
      </c>
      <c r="Q26" s="35">
        <v>5</v>
      </c>
      <c r="R26" s="35">
        <v>3</v>
      </c>
      <c r="S26" s="35">
        <v>5</v>
      </c>
      <c r="T26" s="35">
        <v>0</v>
      </c>
      <c r="U26" s="35">
        <v>2</v>
      </c>
      <c r="V26" s="35">
        <v>5</v>
      </c>
      <c r="W26" s="35">
        <v>3</v>
      </c>
      <c r="X26" s="35">
        <v>5</v>
      </c>
      <c r="Y26" s="35">
        <v>0</v>
      </c>
      <c r="Z26" s="35">
        <v>2</v>
      </c>
      <c r="AA26" s="35">
        <v>5</v>
      </c>
      <c r="AB26" s="35">
        <v>3</v>
      </c>
      <c r="AC26" s="35">
        <v>5</v>
      </c>
      <c r="AD26" s="35">
        <v>0</v>
      </c>
    </row>
    <row r="27" spans="1:30" x14ac:dyDescent="0.25">
      <c r="A27" s="35">
        <v>22</v>
      </c>
      <c r="B27" s="35">
        <v>6</v>
      </c>
      <c r="C27" s="35">
        <v>0</v>
      </c>
      <c r="D27" s="35">
        <v>2</v>
      </c>
      <c r="E27" s="35">
        <v>0</v>
      </c>
      <c r="F27" s="35">
        <v>22</v>
      </c>
      <c r="G27" s="35">
        <v>6</v>
      </c>
      <c r="H27" s="35">
        <v>0</v>
      </c>
      <c r="I27" s="35">
        <v>1</v>
      </c>
      <c r="J27" s="35">
        <v>0</v>
      </c>
      <c r="K27" s="35">
        <v>22</v>
      </c>
      <c r="L27" s="35">
        <v>6</v>
      </c>
      <c r="M27" s="35">
        <v>0</v>
      </c>
      <c r="N27" s="35">
        <v>1</v>
      </c>
      <c r="O27" s="35">
        <v>0</v>
      </c>
      <c r="P27" s="35">
        <v>22</v>
      </c>
      <c r="Q27" s="35">
        <v>6</v>
      </c>
      <c r="R27" s="35">
        <v>0</v>
      </c>
      <c r="S27" s="35">
        <v>1</v>
      </c>
      <c r="T27" s="35">
        <v>0</v>
      </c>
      <c r="U27" s="35">
        <v>22</v>
      </c>
      <c r="V27" s="35">
        <v>6</v>
      </c>
      <c r="W27" s="35">
        <v>0</v>
      </c>
      <c r="X27" s="35">
        <v>1</v>
      </c>
      <c r="Y27" s="35">
        <v>0</v>
      </c>
      <c r="Z27" s="35">
        <v>22</v>
      </c>
      <c r="AA27" s="35">
        <v>6</v>
      </c>
      <c r="AB27" s="35">
        <v>0</v>
      </c>
      <c r="AC27" s="35">
        <v>1</v>
      </c>
      <c r="AD27" s="35">
        <v>0</v>
      </c>
    </row>
    <row r="28" spans="1:30" x14ac:dyDescent="0.25">
      <c r="A28" s="35">
        <v>1</v>
      </c>
      <c r="B28" s="35">
        <v>5</v>
      </c>
      <c r="C28" s="35">
        <v>4</v>
      </c>
      <c r="D28" s="35">
        <v>0</v>
      </c>
      <c r="E28" s="35">
        <v>0</v>
      </c>
      <c r="F28" s="35">
        <v>1</v>
      </c>
      <c r="G28" s="35">
        <v>5</v>
      </c>
      <c r="H28" s="35">
        <v>4</v>
      </c>
      <c r="I28" s="35">
        <v>0</v>
      </c>
      <c r="J28" s="35">
        <v>0</v>
      </c>
      <c r="K28" s="35">
        <v>1</v>
      </c>
      <c r="L28" s="35">
        <v>5</v>
      </c>
      <c r="M28" s="35">
        <v>4</v>
      </c>
      <c r="N28" s="35">
        <v>0</v>
      </c>
      <c r="O28" s="35">
        <v>0</v>
      </c>
      <c r="P28" s="35">
        <v>1</v>
      </c>
      <c r="Q28" s="35">
        <v>5</v>
      </c>
      <c r="R28" s="35">
        <v>4</v>
      </c>
      <c r="S28" s="35">
        <v>0</v>
      </c>
      <c r="T28" s="35">
        <v>0</v>
      </c>
      <c r="U28" s="35">
        <v>1</v>
      </c>
      <c r="V28" s="35">
        <v>5</v>
      </c>
      <c r="W28" s="35">
        <v>4</v>
      </c>
      <c r="X28" s="35">
        <v>0</v>
      </c>
      <c r="Y28" s="35">
        <v>0</v>
      </c>
      <c r="Z28" s="35">
        <v>1</v>
      </c>
      <c r="AA28" s="35">
        <v>5</v>
      </c>
      <c r="AB28" s="35">
        <v>4</v>
      </c>
      <c r="AC28" s="35">
        <v>0</v>
      </c>
      <c r="AD28" s="35">
        <v>0</v>
      </c>
    </row>
    <row r="29" spans="1:30" x14ac:dyDescent="0.25">
      <c r="A29" s="35">
        <v>3</v>
      </c>
      <c r="B29" s="35">
        <v>0</v>
      </c>
      <c r="C29" s="35">
        <v>15</v>
      </c>
      <c r="D29" s="35">
        <v>2</v>
      </c>
      <c r="E29" s="35">
        <v>0</v>
      </c>
      <c r="F29" s="35">
        <v>3</v>
      </c>
      <c r="G29" s="35">
        <v>0</v>
      </c>
      <c r="H29" s="35">
        <v>15</v>
      </c>
      <c r="I29" s="35">
        <v>2</v>
      </c>
      <c r="J29" s="35">
        <v>0</v>
      </c>
      <c r="K29" s="35">
        <v>3</v>
      </c>
      <c r="L29" s="35">
        <v>0</v>
      </c>
      <c r="M29" s="35">
        <v>15</v>
      </c>
      <c r="N29" s="35">
        <v>2</v>
      </c>
      <c r="O29" s="35">
        <v>0</v>
      </c>
      <c r="P29" s="35">
        <v>3</v>
      </c>
      <c r="Q29" s="35">
        <v>0</v>
      </c>
      <c r="R29" s="35">
        <v>15</v>
      </c>
      <c r="S29" s="35">
        <v>2</v>
      </c>
      <c r="T29" s="35">
        <v>0</v>
      </c>
      <c r="U29" s="35">
        <v>3</v>
      </c>
      <c r="V29" s="35">
        <v>0</v>
      </c>
      <c r="W29" s="35">
        <v>15</v>
      </c>
      <c r="X29" s="35">
        <v>2</v>
      </c>
      <c r="Y29" s="35">
        <v>0</v>
      </c>
      <c r="Z29" s="35">
        <v>3</v>
      </c>
      <c r="AA29" s="35">
        <v>0</v>
      </c>
      <c r="AB29" s="35">
        <v>15</v>
      </c>
      <c r="AC29" s="35">
        <v>2</v>
      </c>
      <c r="AD29" s="35">
        <v>0</v>
      </c>
    </row>
    <row r="30" spans="1:30" x14ac:dyDescent="0.25">
      <c r="A30" s="35">
        <v>2</v>
      </c>
      <c r="B30" s="35">
        <v>0</v>
      </c>
      <c r="C30" s="35">
        <v>1</v>
      </c>
      <c r="D30" s="35">
        <v>2</v>
      </c>
      <c r="E30" s="35">
        <v>0</v>
      </c>
      <c r="F30" s="35">
        <v>2</v>
      </c>
      <c r="G30" s="35">
        <v>0</v>
      </c>
      <c r="H30" s="35">
        <v>1</v>
      </c>
      <c r="I30" s="35">
        <v>2</v>
      </c>
      <c r="J30" s="35">
        <v>0</v>
      </c>
      <c r="K30" s="35">
        <v>2</v>
      </c>
      <c r="L30" s="35">
        <v>0</v>
      </c>
      <c r="M30" s="35">
        <v>1</v>
      </c>
      <c r="N30" s="35">
        <v>2</v>
      </c>
      <c r="O30" s="35">
        <v>0</v>
      </c>
      <c r="P30" s="35">
        <v>2</v>
      </c>
      <c r="Q30" s="35">
        <v>0</v>
      </c>
      <c r="R30" s="35">
        <v>1</v>
      </c>
      <c r="S30" s="35">
        <v>2</v>
      </c>
      <c r="T30" s="35">
        <v>0</v>
      </c>
      <c r="U30" s="35">
        <v>2</v>
      </c>
      <c r="V30" s="35">
        <v>0</v>
      </c>
      <c r="W30" s="35">
        <v>1</v>
      </c>
      <c r="X30" s="35">
        <v>2</v>
      </c>
      <c r="Y30" s="35">
        <v>0</v>
      </c>
      <c r="Z30" s="35">
        <v>2</v>
      </c>
      <c r="AA30" s="35">
        <v>0</v>
      </c>
      <c r="AB30" s="35">
        <v>1</v>
      </c>
      <c r="AC30" s="35">
        <v>2</v>
      </c>
      <c r="AD30" s="35">
        <v>0</v>
      </c>
    </row>
    <row r="57" spans="1:26" x14ac:dyDescent="0.25">
      <c r="A57" s="36"/>
    </row>
    <row r="60" spans="1:26" customFormat="1" ht="15.75" thickBot="1" x14ac:dyDescent="0.3">
      <c r="A60" s="32"/>
      <c r="B60" s="33"/>
      <c r="C60" s="33"/>
      <c r="D60" s="33"/>
      <c r="E60" s="33"/>
      <c r="F60" s="33"/>
      <c r="G60" s="33"/>
      <c r="H60" s="33"/>
      <c r="I60" s="33"/>
      <c r="J60" s="33"/>
      <c r="K60" s="33"/>
      <c r="L60" s="33"/>
      <c r="M60" s="33"/>
      <c r="N60" s="33"/>
      <c r="O60" s="33"/>
      <c r="P60" s="33"/>
      <c r="Q60" s="33"/>
      <c r="R60" s="33"/>
      <c r="S60" s="33"/>
      <c r="T60" s="33"/>
      <c r="U60" s="33"/>
      <c r="V60" s="33"/>
      <c r="W60" s="33"/>
      <c r="X60" s="33"/>
      <c r="Y60" s="33"/>
      <c r="Z60" s="34"/>
    </row>
    <row r="84" spans="1:5" x14ac:dyDescent="0.25">
      <c r="A84" s="36"/>
      <c r="B84" s="36"/>
      <c r="C84" s="36"/>
      <c r="D84" s="36"/>
      <c r="E84" s="36"/>
    </row>
    <row r="85" spans="1:5" x14ac:dyDescent="0.25">
      <c r="A85" s="37"/>
      <c r="B85" s="37"/>
      <c r="C85" s="37"/>
    </row>
  </sheetData>
  <conditionalFormatting sqref="A61:Z61">
    <cfRule type="dataBar" priority="2">
      <dataBar>
        <cfvo type="min"/>
        <cfvo type="max"/>
        <color rgb="FF638EC6"/>
      </dataBar>
      <extLst>
        <ext xmlns:x14="http://schemas.microsoft.com/office/spreadsheetml/2009/9/main" uri="{B025F937-C7B1-47D3-B67F-A62EFF666E3E}">
          <x14:id>{358F6A51-94CC-401C-B9EE-6C7872F82209}</x14:id>
        </ext>
      </extLst>
    </cfRule>
    <cfRule type="cellIs" dxfId="0" priority="3" operator="equal">
      <formula>MIN($A$61:$Z$61)</formula>
    </cfRule>
  </conditionalFormatting>
  <conditionalFormatting sqref="A60:S60">
    <cfRule type="dataBar" priority="1">
      <dataBar>
        <cfvo type="num" val="0"/>
        <cfvo type="num" val="100"/>
        <color rgb="FF63C384"/>
      </dataBar>
      <extLst>
        <ext xmlns:x14="http://schemas.microsoft.com/office/spreadsheetml/2009/9/main" uri="{B025F937-C7B1-47D3-B67F-A62EFF666E3E}">
          <x14:id>{62DB6B49-61F1-4A1D-A648-59152AF529B2}</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Analyse_Des_Frequences">
                <anchor moveWithCells="1" sizeWithCells="1">
                  <from>
                    <xdr:col>13</xdr:col>
                    <xdr:colOff>752475</xdr:colOff>
                    <xdr:row>0</xdr:row>
                    <xdr:rowOff>171450</xdr:rowOff>
                  </from>
                  <to>
                    <xdr:col>16</xdr:col>
                    <xdr:colOff>428625</xdr:colOff>
                    <xdr:row>2</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58F6A51-94CC-401C-B9EE-6C7872F82209}">
            <x14:dataBar minLength="0" maxLength="100" gradient="0">
              <x14:cfvo type="autoMin"/>
              <x14:cfvo type="autoMax"/>
              <x14:negativeFillColor rgb="FFFF0000"/>
              <x14:axisColor rgb="FF000000"/>
            </x14:dataBar>
          </x14:cfRule>
          <xm:sqref>A61:Z61</xm:sqref>
        </x14:conditionalFormatting>
        <x14:conditionalFormatting xmlns:xm="http://schemas.microsoft.com/office/excel/2006/main">
          <x14:cfRule type="dataBar" id="{62DB6B49-61F1-4A1D-A648-59152AF529B2}">
            <x14:dataBar minLength="0" maxLength="100" gradient="0">
              <x14:cfvo type="num">
                <xm:f>0</xm:f>
              </x14:cfvo>
              <x14:cfvo type="num">
                <xm:f>100</xm:f>
              </x14:cfvo>
              <x14:negativeFillColor rgb="FFFF0000"/>
              <x14:axisColor rgb="FF000000"/>
            </x14:dataBar>
          </x14:cfRule>
          <xm:sqref>A60:S60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Traitement</vt:lpstr>
      <vt:lpstr>Test_De_Friedman</vt:lpstr>
      <vt:lpstr>Analyse_Des_Frequences</vt:lpstr>
      <vt:lpstr>De_Crypte_Avec_Cle</vt:lpstr>
      <vt:lpstr>TableauVigenere</vt:lpstr>
      <vt:lpstr>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Rémi LOUCHE</dc:creator>
  <cp:lastModifiedBy>Rémi LOUCHE</cp:lastModifiedBy>
  <dcterms:created xsi:type="dcterms:W3CDTF">2020-04-17T17:51:56Z</dcterms:created>
  <dcterms:modified xsi:type="dcterms:W3CDTF">2020-05-08T20:18:05Z</dcterms:modified>
</cp:coreProperties>
</file>